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dinglasanefren/Desktop/"/>
    </mc:Choice>
  </mc:AlternateContent>
  <xr:revisionPtr revIDLastSave="0" documentId="8_{E880DCE7-D031-B244-A62B-8742F70EFBF9}" xr6:coauthVersionLast="47" xr6:coauthVersionMax="47" xr10:uidLastSave="{00000000-0000-0000-0000-000000000000}"/>
  <bookViews>
    <workbookView xWindow="0" yWindow="780" windowWidth="34200" windowHeight="21460" xr2:uid="{4BCACE64-F563-5E4E-AADE-1DE67653CAF9}"/>
  </bookViews>
  <sheets>
    <sheet name="Sheet1" sheetId="1" r:id="rId1"/>
  </sheets>
  <externalReferences>
    <externalReference r:id="rId2"/>
    <externalReference r:id="rId3"/>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2134" i="1" l="1"/>
  <c r="G2134" i="1"/>
  <c r="F2134" i="1"/>
  <c r="J2132" i="1"/>
  <c r="K2132" i="1" s="1"/>
  <c r="I2132" i="1"/>
  <c r="E2132" i="1"/>
  <c r="D2132" i="1"/>
  <c r="C2132" i="1"/>
  <c r="B2132" i="1"/>
  <c r="A2132" i="1"/>
  <c r="J2131" i="1"/>
  <c r="K2131" i="1" s="1"/>
  <c r="I2131" i="1"/>
  <c r="E2131" i="1"/>
  <c r="D2131" i="1"/>
  <c r="C2131" i="1"/>
  <c r="B2131" i="1"/>
  <c r="A2131" i="1"/>
  <c r="J2130" i="1"/>
  <c r="K2130" i="1" s="1"/>
  <c r="I2130" i="1"/>
  <c r="E2130" i="1"/>
  <c r="D2130" i="1"/>
  <c r="C2130" i="1"/>
  <c r="B2130" i="1"/>
  <c r="A2130" i="1"/>
  <c r="J2129" i="1"/>
  <c r="K2129" i="1" s="1"/>
  <c r="I2129" i="1"/>
  <c r="E2129" i="1"/>
  <c r="D2129" i="1"/>
  <c r="C2129" i="1"/>
  <c r="B2129" i="1"/>
  <c r="A2129" i="1"/>
  <c r="J2128" i="1"/>
  <c r="K2128" i="1" s="1"/>
  <c r="L2132" i="1" s="1"/>
  <c r="I2128" i="1"/>
  <c r="E2128" i="1"/>
  <c r="D2128" i="1"/>
  <c r="C2128" i="1"/>
  <c r="B2128" i="1"/>
  <c r="A2128" i="1"/>
  <c r="J2127" i="1"/>
  <c r="K2127" i="1" s="1"/>
  <c r="I2127" i="1"/>
  <c r="E2127" i="1"/>
  <c r="D2127" i="1"/>
  <c r="C2127" i="1"/>
  <c r="B2127" i="1"/>
  <c r="A2127" i="1"/>
  <c r="J2126" i="1"/>
  <c r="K2126" i="1" s="1"/>
  <c r="I2126" i="1"/>
  <c r="E2126" i="1"/>
  <c r="D2126" i="1"/>
  <c r="C2126" i="1"/>
  <c r="B2126" i="1"/>
  <c r="A2126" i="1"/>
  <c r="J2125" i="1"/>
  <c r="K2125" i="1" s="1"/>
  <c r="I2125" i="1"/>
  <c r="E2125" i="1"/>
  <c r="D2125" i="1"/>
  <c r="C2125" i="1"/>
  <c r="B2125" i="1"/>
  <c r="A2125" i="1"/>
  <c r="J2124" i="1"/>
  <c r="K2124" i="1" s="1"/>
  <c r="I2124" i="1"/>
  <c r="E2124" i="1"/>
  <c r="D2124" i="1"/>
  <c r="C2124" i="1"/>
  <c r="B2124" i="1"/>
  <c r="A2124" i="1"/>
  <c r="J2123" i="1"/>
  <c r="K2123" i="1" s="1"/>
  <c r="I2123" i="1"/>
  <c r="E2123" i="1"/>
  <c r="D2123" i="1"/>
  <c r="C2123" i="1"/>
  <c r="B2123" i="1"/>
  <c r="A2123" i="1"/>
  <c r="J2122" i="1"/>
  <c r="K2122" i="1" s="1"/>
  <c r="L2127" i="1" s="1"/>
  <c r="I2122" i="1"/>
  <c r="E2122" i="1"/>
  <c r="D2122" i="1"/>
  <c r="C2122" i="1"/>
  <c r="B2122" i="1"/>
  <c r="A2122" i="1"/>
  <c r="J2121" i="1"/>
  <c r="K2121" i="1" s="1"/>
  <c r="I2121" i="1"/>
  <c r="E2121" i="1"/>
  <c r="D2121" i="1"/>
  <c r="C2121" i="1"/>
  <c r="B2121" i="1"/>
  <c r="A2121" i="1"/>
  <c r="J2120" i="1"/>
  <c r="K2120" i="1" s="1"/>
  <c r="I2120" i="1"/>
  <c r="E2120" i="1"/>
  <c r="D2120" i="1"/>
  <c r="C2120" i="1"/>
  <c r="B2120" i="1"/>
  <c r="A2120" i="1"/>
  <c r="J2119" i="1"/>
  <c r="K2119" i="1" s="1"/>
  <c r="I2119" i="1"/>
  <c r="E2119" i="1"/>
  <c r="D2119" i="1"/>
  <c r="C2119" i="1"/>
  <c r="B2119" i="1"/>
  <c r="A2119" i="1"/>
  <c r="J2118" i="1"/>
  <c r="K2118" i="1" s="1"/>
  <c r="I2118" i="1"/>
  <c r="E2118" i="1"/>
  <c r="D2118" i="1"/>
  <c r="C2118" i="1"/>
  <c r="B2118" i="1"/>
  <c r="A2118" i="1"/>
  <c r="J2117" i="1"/>
  <c r="K2117" i="1" s="1"/>
  <c r="L2120" i="1" s="1"/>
  <c r="I2117" i="1"/>
  <c r="E2117" i="1"/>
  <c r="D2117" i="1"/>
  <c r="C2117" i="1"/>
  <c r="B2117" i="1"/>
  <c r="A2117" i="1"/>
  <c r="J2116" i="1"/>
  <c r="K2116" i="1" s="1"/>
  <c r="I2116" i="1"/>
  <c r="E2116" i="1"/>
  <c r="D2116" i="1"/>
  <c r="C2116" i="1"/>
  <c r="B2116" i="1"/>
  <c r="A2116" i="1"/>
  <c r="J2115" i="1"/>
  <c r="K2115" i="1" s="1"/>
  <c r="I2115" i="1"/>
  <c r="E2115" i="1"/>
  <c r="D2115" i="1"/>
  <c r="C2115" i="1"/>
  <c r="B2115" i="1"/>
  <c r="A2115" i="1"/>
  <c r="J2114" i="1"/>
  <c r="K2114" i="1" s="1"/>
  <c r="I2114" i="1"/>
  <c r="E2114" i="1"/>
  <c r="D2114" i="1"/>
  <c r="C2114" i="1"/>
  <c r="B2114" i="1"/>
  <c r="A2114" i="1"/>
  <c r="J2113" i="1"/>
  <c r="K2113" i="1" s="1"/>
  <c r="I2113" i="1"/>
  <c r="E2113" i="1"/>
  <c r="D2113" i="1"/>
  <c r="C2113" i="1"/>
  <c r="B2113" i="1"/>
  <c r="A2113" i="1"/>
  <c r="J2112" i="1"/>
  <c r="K2112" i="1" s="1"/>
  <c r="I2112" i="1"/>
  <c r="E2112" i="1"/>
  <c r="D2112" i="1"/>
  <c r="C2112" i="1"/>
  <c r="B2112" i="1"/>
  <c r="A2112" i="1"/>
  <c r="J2111" i="1"/>
  <c r="K2111" i="1" s="1"/>
  <c r="L2116" i="1" s="1"/>
  <c r="I2111" i="1"/>
  <c r="E2111" i="1"/>
  <c r="D2111" i="1"/>
  <c r="C2111" i="1"/>
  <c r="B2111" i="1"/>
  <c r="A2111" i="1"/>
  <c r="J2110" i="1"/>
  <c r="K2110" i="1" s="1"/>
  <c r="I2110" i="1"/>
  <c r="E2110" i="1"/>
  <c r="D2110" i="1"/>
  <c r="C2110" i="1"/>
  <c r="B2110" i="1"/>
  <c r="A2110" i="1"/>
  <c r="J2109" i="1"/>
  <c r="K2109" i="1" s="1"/>
  <c r="I2109" i="1"/>
  <c r="E2109" i="1"/>
  <c r="D2109" i="1"/>
  <c r="C2109" i="1"/>
  <c r="B2109" i="1"/>
  <c r="A2109" i="1"/>
  <c r="J2108" i="1"/>
  <c r="K2108" i="1" s="1"/>
  <c r="I2108" i="1"/>
  <c r="E2108" i="1"/>
  <c r="D2108" i="1"/>
  <c r="C2108" i="1"/>
  <c r="B2108" i="1"/>
  <c r="A2108" i="1"/>
  <c r="J2107" i="1"/>
  <c r="K2107" i="1" s="1"/>
  <c r="L2110" i="1" s="1"/>
  <c r="I2107" i="1"/>
  <c r="E2107" i="1"/>
  <c r="D2107" i="1"/>
  <c r="C2107" i="1"/>
  <c r="B2107" i="1"/>
  <c r="A2107" i="1"/>
  <c r="J2106" i="1"/>
  <c r="K2106" i="1" s="1"/>
  <c r="L2106" i="1" s="1"/>
  <c r="I2106" i="1"/>
  <c r="E2106" i="1"/>
  <c r="D2106" i="1"/>
  <c r="C2106" i="1"/>
  <c r="B2106" i="1"/>
  <c r="A2106" i="1"/>
  <c r="J2105" i="1"/>
  <c r="K2105" i="1" s="1"/>
  <c r="I2105" i="1"/>
  <c r="E2105" i="1"/>
  <c r="D2105" i="1"/>
  <c r="C2105" i="1"/>
  <c r="B2105" i="1"/>
  <c r="A2105" i="1"/>
  <c r="J2104" i="1"/>
  <c r="K2104" i="1" s="1"/>
  <c r="I2104" i="1"/>
  <c r="E2104" i="1"/>
  <c r="D2104" i="1"/>
  <c r="C2104" i="1"/>
  <c r="B2104" i="1"/>
  <c r="A2104" i="1"/>
  <c r="J2103" i="1"/>
  <c r="K2103" i="1" s="1"/>
  <c r="I2103" i="1"/>
  <c r="E2103" i="1"/>
  <c r="D2103" i="1"/>
  <c r="C2103" i="1"/>
  <c r="B2103" i="1"/>
  <c r="A2103" i="1"/>
  <c r="J2102" i="1"/>
  <c r="K2102" i="1" s="1"/>
  <c r="I2102" i="1"/>
  <c r="E2102" i="1"/>
  <c r="D2102" i="1"/>
  <c r="C2102" i="1"/>
  <c r="B2102" i="1"/>
  <c r="A2102" i="1"/>
  <c r="J2101" i="1"/>
  <c r="K2101" i="1" s="1"/>
  <c r="L2105" i="1" s="1"/>
  <c r="I2101" i="1"/>
  <c r="E2101" i="1"/>
  <c r="D2101" i="1"/>
  <c r="C2101" i="1"/>
  <c r="B2101" i="1"/>
  <c r="A2101" i="1"/>
  <c r="J2100" i="1"/>
  <c r="K2100" i="1" s="1"/>
  <c r="I2100" i="1"/>
  <c r="E2100" i="1"/>
  <c r="D2100" i="1"/>
  <c r="C2100" i="1"/>
  <c r="B2100" i="1"/>
  <c r="A2100" i="1"/>
  <c r="J2099" i="1"/>
  <c r="K2099" i="1" s="1"/>
  <c r="L2099" i="1" s="1"/>
  <c r="I2099" i="1"/>
  <c r="E2099" i="1"/>
  <c r="D2099" i="1"/>
  <c r="C2099" i="1"/>
  <c r="B2099" i="1"/>
  <c r="A2099" i="1"/>
  <c r="J2098" i="1"/>
  <c r="K2098" i="1" s="1"/>
  <c r="I2098" i="1"/>
  <c r="E2098" i="1"/>
  <c r="D2098" i="1"/>
  <c r="C2098" i="1"/>
  <c r="B2098" i="1"/>
  <c r="A2098" i="1"/>
  <c r="J2097" i="1"/>
  <c r="K2097" i="1" s="1"/>
  <c r="L2097" i="1" s="1"/>
  <c r="I2097" i="1"/>
  <c r="E2097" i="1"/>
  <c r="D2097" i="1"/>
  <c r="C2097" i="1"/>
  <c r="B2097" i="1"/>
  <c r="A2097" i="1"/>
  <c r="J2096" i="1"/>
  <c r="K2096" i="1" s="1"/>
  <c r="I2096" i="1"/>
  <c r="E2096" i="1"/>
  <c r="D2096" i="1"/>
  <c r="C2096" i="1"/>
  <c r="B2096" i="1"/>
  <c r="A2096" i="1"/>
  <c r="J2095" i="1"/>
  <c r="K2095" i="1" s="1"/>
  <c r="L2096" i="1" s="1"/>
  <c r="I2095" i="1"/>
  <c r="E2095" i="1"/>
  <c r="D2095" i="1"/>
  <c r="C2095" i="1"/>
  <c r="B2095" i="1"/>
  <c r="A2095" i="1"/>
  <c r="J2094" i="1"/>
  <c r="K2094" i="1" s="1"/>
  <c r="L2094" i="1" s="1"/>
  <c r="I2094" i="1"/>
  <c r="E2094" i="1"/>
  <c r="D2094" i="1"/>
  <c r="C2094" i="1"/>
  <c r="B2094" i="1"/>
  <c r="A2094" i="1"/>
  <c r="J2093" i="1"/>
  <c r="K2093" i="1" s="1"/>
  <c r="I2093" i="1"/>
  <c r="E2093" i="1"/>
  <c r="D2093" i="1"/>
  <c r="C2093" i="1"/>
  <c r="B2093" i="1"/>
  <c r="A2093" i="1"/>
  <c r="J2092" i="1"/>
  <c r="K2092" i="1" s="1"/>
  <c r="L2093" i="1" s="1"/>
  <c r="I2092" i="1"/>
  <c r="E2092" i="1"/>
  <c r="D2092" i="1"/>
  <c r="C2092" i="1"/>
  <c r="B2092" i="1"/>
  <c r="A2092" i="1"/>
  <c r="J2091" i="1"/>
  <c r="K2091" i="1" s="1"/>
  <c r="I2091" i="1"/>
  <c r="E2091" i="1"/>
  <c r="D2091" i="1"/>
  <c r="C2091" i="1"/>
  <c r="B2091" i="1"/>
  <c r="A2091" i="1"/>
  <c r="J2090" i="1"/>
  <c r="K2090" i="1" s="1"/>
  <c r="I2090" i="1"/>
  <c r="E2090" i="1"/>
  <c r="D2090" i="1"/>
  <c r="C2090" i="1"/>
  <c r="B2090" i="1"/>
  <c r="A2090" i="1"/>
  <c r="J2089" i="1"/>
  <c r="K2089" i="1" s="1"/>
  <c r="I2089" i="1"/>
  <c r="E2089" i="1"/>
  <c r="D2089" i="1"/>
  <c r="C2089" i="1"/>
  <c r="B2089" i="1"/>
  <c r="A2089" i="1"/>
  <c r="J2088" i="1"/>
  <c r="K2088" i="1" s="1"/>
  <c r="L2088" i="1" s="1"/>
  <c r="I2088" i="1"/>
  <c r="E2088" i="1"/>
  <c r="D2088" i="1"/>
  <c r="C2088" i="1"/>
  <c r="B2088" i="1"/>
  <c r="A2088" i="1"/>
  <c r="J2087" i="1"/>
  <c r="K2087" i="1" s="1"/>
  <c r="I2087" i="1"/>
  <c r="E2087" i="1"/>
  <c r="D2087" i="1"/>
  <c r="C2087" i="1"/>
  <c r="B2087" i="1"/>
  <c r="A2087" i="1"/>
  <c r="J2086" i="1"/>
  <c r="K2086" i="1" s="1"/>
  <c r="I2086" i="1"/>
  <c r="E2086" i="1"/>
  <c r="D2086" i="1"/>
  <c r="C2086" i="1"/>
  <c r="B2086" i="1"/>
  <c r="A2086" i="1"/>
  <c r="J2085" i="1"/>
  <c r="K2085" i="1" s="1"/>
  <c r="I2085" i="1"/>
  <c r="E2085" i="1"/>
  <c r="D2085" i="1"/>
  <c r="C2085" i="1"/>
  <c r="B2085" i="1"/>
  <c r="A2085" i="1"/>
  <c r="J2084" i="1"/>
  <c r="K2084" i="1" s="1"/>
  <c r="I2084" i="1"/>
  <c r="E2084" i="1"/>
  <c r="D2084" i="1"/>
  <c r="C2084" i="1"/>
  <c r="B2084" i="1"/>
  <c r="A2084" i="1"/>
  <c r="J2083" i="1"/>
  <c r="K2083" i="1" s="1"/>
  <c r="I2083" i="1"/>
  <c r="E2083" i="1"/>
  <c r="D2083" i="1"/>
  <c r="C2083" i="1"/>
  <c r="B2083" i="1"/>
  <c r="A2083" i="1"/>
  <c r="J2082" i="1"/>
  <c r="K2082" i="1" s="1"/>
  <c r="L2086" i="1" s="1"/>
  <c r="I2082" i="1"/>
  <c r="E2082" i="1"/>
  <c r="D2082" i="1"/>
  <c r="C2082" i="1"/>
  <c r="B2082" i="1"/>
  <c r="A2082" i="1"/>
  <c r="J2081" i="1"/>
  <c r="K2081" i="1" s="1"/>
  <c r="I2081" i="1"/>
  <c r="E2081" i="1"/>
  <c r="D2081" i="1"/>
  <c r="C2081" i="1"/>
  <c r="B2081" i="1"/>
  <c r="A2081" i="1"/>
  <c r="J2080" i="1"/>
  <c r="K2080" i="1" s="1"/>
  <c r="I2080" i="1"/>
  <c r="E2080" i="1"/>
  <c r="D2080" i="1"/>
  <c r="C2080" i="1"/>
  <c r="B2080" i="1"/>
  <c r="A2080" i="1"/>
  <c r="J2079" i="1"/>
  <c r="K2079" i="1" s="1"/>
  <c r="L2079" i="1" s="1"/>
  <c r="I2079" i="1"/>
  <c r="E2079" i="1"/>
  <c r="D2079" i="1"/>
  <c r="C2079" i="1"/>
  <c r="B2079" i="1"/>
  <c r="A2079" i="1"/>
  <c r="J2078" i="1"/>
  <c r="K2078" i="1" s="1"/>
  <c r="L2078" i="1" s="1"/>
  <c r="I2078" i="1"/>
  <c r="E2078" i="1"/>
  <c r="D2078" i="1"/>
  <c r="C2078" i="1"/>
  <c r="B2078" i="1"/>
  <c r="A2078" i="1"/>
  <c r="J2077" i="1"/>
  <c r="K2077" i="1" s="1"/>
  <c r="L2077" i="1" s="1"/>
  <c r="I2077" i="1"/>
  <c r="E2077" i="1"/>
  <c r="D2077" i="1"/>
  <c r="C2077" i="1"/>
  <c r="B2077" i="1"/>
  <c r="A2077" i="1"/>
  <c r="J2076" i="1"/>
  <c r="K2076" i="1" s="1"/>
  <c r="I2076" i="1"/>
  <c r="E2076" i="1"/>
  <c r="D2076" i="1"/>
  <c r="C2076" i="1"/>
  <c r="B2076" i="1"/>
  <c r="A2076" i="1"/>
  <c r="J2075" i="1"/>
  <c r="K2075" i="1" s="1"/>
  <c r="I2075" i="1"/>
  <c r="E2075" i="1"/>
  <c r="D2075" i="1"/>
  <c r="C2075" i="1"/>
  <c r="B2075" i="1"/>
  <c r="A2075" i="1"/>
  <c r="J2074" i="1"/>
  <c r="K2074" i="1" s="1"/>
  <c r="L2076" i="1" s="1"/>
  <c r="I2074" i="1"/>
  <c r="E2074" i="1"/>
  <c r="D2074" i="1"/>
  <c r="C2074" i="1"/>
  <c r="B2074" i="1"/>
  <c r="A2074" i="1"/>
  <c r="J2073" i="1"/>
  <c r="K2073" i="1" s="1"/>
  <c r="I2073" i="1"/>
  <c r="E2073" i="1"/>
  <c r="D2073" i="1"/>
  <c r="C2073" i="1"/>
  <c r="B2073" i="1"/>
  <c r="A2073" i="1"/>
  <c r="J2072" i="1"/>
  <c r="K2072" i="1" s="1"/>
  <c r="I2072" i="1"/>
  <c r="E2072" i="1"/>
  <c r="D2072" i="1"/>
  <c r="C2072" i="1"/>
  <c r="B2072" i="1"/>
  <c r="A2072" i="1"/>
  <c r="J2071" i="1"/>
  <c r="K2071" i="1" s="1"/>
  <c r="I2071" i="1"/>
  <c r="E2071" i="1"/>
  <c r="D2071" i="1"/>
  <c r="C2071" i="1"/>
  <c r="B2071" i="1"/>
  <c r="A2071" i="1"/>
  <c r="J2070" i="1"/>
  <c r="K2070" i="1" s="1"/>
  <c r="I2070" i="1"/>
  <c r="E2070" i="1"/>
  <c r="D2070" i="1"/>
  <c r="C2070" i="1"/>
  <c r="B2070" i="1"/>
  <c r="A2070" i="1"/>
  <c r="J2069" i="1"/>
  <c r="K2069" i="1" s="1"/>
  <c r="L2073" i="1" s="1"/>
  <c r="I2069" i="1"/>
  <c r="E2069" i="1"/>
  <c r="D2069" i="1"/>
  <c r="C2069" i="1"/>
  <c r="B2069" i="1"/>
  <c r="A2069" i="1"/>
  <c r="J2068" i="1"/>
  <c r="K2068" i="1" s="1"/>
  <c r="I2068" i="1"/>
  <c r="E2068" i="1"/>
  <c r="D2068" i="1"/>
  <c r="C2068" i="1"/>
  <c r="B2068" i="1"/>
  <c r="A2068" i="1"/>
  <c r="J2067" i="1"/>
  <c r="K2067" i="1" s="1"/>
  <c r="I2067" i="1"/>
  <c r="E2067" i="1"/>
  <c r="D2067" i="1"/>
  <c r="C2067" i="1"/>
  <c r="B2067" i="1"/>
  <c r="A2067" i="1"/>
  <c r="J2066" i="1"/>
  <c r="K2066" i="1" s="1"/>
  <c r="I2066" i="1"/>
  <c r="E2066" i="1"/>
  <c r="D2066" i="1"/>
  <c r="C2066" i="1"/>
  <c r="B2066" i="1"/>
  <c r="A2066" i="1"/>
  <c r="J2065" i="1"/>
  <c r="K2065" i="1" s="1"/>
  <c r="I2065" i="1"/>
  <c r="E2065" i="1"/>
  <c r="D2065" i="1"/>
  <c r="C2065" i="1"/>
  <c r="B2065" i="1"/>
  <c r="A2065" i="1"/>
  <c r="J2064" i="1"/>
  <c r="K2064" i="1" s="1"/>
  <c r="I2064" i="1"/>
  <c r="E2064" i="1"/>
  <c r="D2064" i="1"/>
  <c r="C2064" i="1"/>
  <c r="B2064" i="1"/>
  <c r="A2064" i="1"/>
  <c r="J2063" i="1"/>
  <c r="K2063" i="1" s="1"/>
  <c r="I2063" i="1"/>
  <c r="E2063" i="1"/>
  <c r="D2063" i="1"/>
  <c r="C2063" i="1"/>
  <c r="B2063" i="1"/>
  <c r="A2063" i="1"/>
  <c r="K2062" i="1"/>
  <c r="J2062" i="1"/>
  <c r="I2062" i="1"/>
  <c r="E2062" i="1"/>
  <c r="D2062" i="1"/>
  <c r="C2062" i="1"/>
  <c r="B2062" i="1"/>
  <c r="A2062" i="1"/>
  <c r="J2061" i="1"/>
  <c r="I2061" i="1"/>
  <c r="K2061" i="1" s="1"/>
  <c r="E2061" i="1"/>
  <c r="D2061" i="1"/>
  <c r="C2061" i="1"/>
  <c r="B2061" i="1"/>
  <c r="A2061" i="1"/>
  <c r="J2060" i="1"/>
  <c r="K2060" i="1" s="1"/>
  <c r="I2060" i="1"/>
  <c r="E2060" i="1"/>
  <c r="D2060" i="1"/>
  <c r="C2060" i="1"/>
  <c r="B2060" i="1"/>
  <c r="A2060" i="1"/>
  <c r="J2059" i="1"/>
  <c r="K2059" i="1" s="1"/>
  <c r="I2059" i="1"/>
  <c r="E2059" i="1"/>
  <c r="D2059" i="1"/>
  <c r="C2059" i="1"/>
  <c r="B2059" i="1"/>
  <c r="A2059" i="1"/>
  <c r="K2058" i="1"/>
  <c r="J2058" i="1"/>
  <c r="I2058" i="1"/>
  <c r="E2058" i="1"/>
  <c r="D2058" i="1"/>
  <c r="C2058" i="1"/>
  <c r="B2058" i="1"/>
  <c r="A2058" i="1"/>
  <c r="J2057" i="1"/>
  <c r="I2057" i="1"/>
  <c r="K2057" i="1" s="1"/>
  <c r="E2057" i="1"/>
  <c r="D2057" i="1"/>
  <c r="C2057" i="1"/>
  <c r="B2057" i="1"/>
  <c r="A2057" i="1"/>
  <c r="J2056" i="1"/>
  <c r="K2056" i="1" s="1"/>
  <c r="I2056" i="1"/>
  <c r="E2056" i="1"/>
  <c r="D2056" i="1"/>
  <c r="C2056" i="1"/>
  <c r="B2056" i="1"/>
  <c r="A2056" i="1"/>
  <c r="J2055" i="1"/>
  <c r="K2055" i="1" s="1"/>
  <c r="I2055" i="1"/>
  <c r="E2055" i="1"/>
  <c r="D2055" i="1"/>
  <c r="C2055" i="1"/>
  <c r="B2055" i="1"/>
  <c r="A2055" i="1"/>
  <c r="J2054" i="1"/>
  <c r="K2054" i="1" s="1"/>
  <c r="I2054" i="1"/>
  <c r="E2054" i="1"/>
  <c r="D2054" i="1"/>
  <c r="C2054" i="1"/>
  <c r="B2054" i="1"/>
  <c r="A2054" i="1"/>
  <c r="J2053" i="1"/>
  <c r="K2053" i="1" s="1"/>
  <c r="I2053" i="1"/>
  <c r="E2053" i="1"/>
  <c r="D2053" i="1"/>
  <c r="C2053" i="1"/>
  <c r="B2053" i="1"/>
  <c r="A2053" i="1"/>
  <c r="J2052" i="1"/>
  <c r="K2052" i="1" s="1"/>
  <c r="L2067" i="1" s="1"/>
  <c r="I2052" i="1"/>
  <c r="E2052" i="1"/>
  <c r="D2052" i="1"/>
  <c r="C2052" i="1"/>
  <c r="B2052" i="1"/>
  <c r="A2052" i="1"/>
  <c r="J2051" i="1"/>
  <c r="K2051" i="1" s="1"/>
  <c r="I2051" i="1"/>
  <c r="E2051" i="1"/>
  <c r="D2051" i="1"/>
  <c r="C2051" i="1"/>
  <c r="B2051" i="1"/>
  <c r="A2051" i="1"/>
  <c r="J2050" i="1"/>
  <c r="K2050" i="1" s="1"/>
  <c r="I2050" i="1"/>
  <c r="E2050" i="1"/>
  <c r="D2050" i="1"/>
  <c r="C2050" i="1"/>
  <c r="B2050" i="1"/>
  <c r="A2050" i="1"/>
  <c r="J2049" i="1"/>
  <c r="K2049" i="1" s="1"/>
  <c r="I2049" i="1"/>
  <c r="E2049" i="1"/>
  <c r="D2049" i="1"/>
  <c r="C2049" i="1"/>
  <c r="B2049" i="1"/>
  <c r="A2049" i="1"/>
  <c r="J2048" i="1"/>
  <c r="K2048" i="1" s="1"/>
  <c r="I2048" i="1"/>
  <c r="E2048" i="1"/>
  <c r="D2048" i="1"/>
  <c r="C2048" i="1"/>
  <c r="B2048" i="1"/>
  <c r="A2048" i="1"/>
  <c r="J2047" i="1"/>
  <c r="K2047" i="1" s="1"/>
  <c r="I2047" i="1"/>
  <c r="E2047" i="1"/>
  <c r="D2047" i="1"/>
  <c r="C2047" i="1"/>
  <c r="B2047" i="1"/>
  <c r="A2047" i="1"/>
  <c r="J2046" i="1"/>
  <c r="K2046" i="1" s="1"/>
  <c r="I2046" i="1"/>
  <c r="E2046" i="1"/>
  <c r="D2046" i="1"/>
  <c r="C2046" i="1"/>
  <c r="B2046" i="1"/>
  <c r="A2046" i="1"/>
  <c r="J2045" i="1"/>
  <c r="K2045" i="1" s="1"/>
  <c r="I2045" i="1"/>
  <c r="E2045" i="1"/>
  <c r="D2045" i="1"/>
  <c r="C2045" i="1"/>
  <c r="B2045" i="1"/>
  <c r="A2045" i="1"/>
  <c r="K2044" i="1"/>
  <c r="J2044" i="1"/>
  <c r="I2044" i="1"/>
  <c r="E2044" i="1"/>
  <c r="D2044" i="1"/>
  <c r="C2044" i="1"/>
  <c r="B2044" i="1"/>
  <c r="A2044" i="1"/>
  <c r="J2043" i="1"/>
  <c r="K2043" i="1" s="1"/>
  <c r="I2043" i="1"/>
  <c r="E2043" i="1"/>
  <c r="D2043" i="1"/>
  <c r="C2043" i="1"/>
  <c r="B2043" i="1"/>
  <c r="A2043" i="1"/>
  <c r="J2042" i="1"/>
  <c r="K2042" i="1" s="1"/>
  <c r="I2042" i="1"/>
  <c r="E2042" i="1"/>
  <c r="D2042" i="1"/>
  <c r="C2042" i="1"/>
  <c r="B2042" i="1"/>
  <c r="A2042" i="1"/>
  <c r="J2041" i="1"/>
  <c r="K2041" i="1" s="1"/>
  <c r="I2041" i="1"/>
  <c r="E2041" i="1"/>
  <c r="D2041" i="1"/>
  <c r="C2041" i="1"/>
  <c r="B2041" i="1"/>
  <c r="A2041" i="1"/>
  <c r="J2040" i="1"/>
  <c r="K2040" i="1" s="1"/>
  <c r="I2040" i="1"/>
  <c r="E2040" i="1"/>
  <c r="D2040" i="1"/>
  <c r="C2040" i="1"/>
  <c r="B2040" i="1"/>
  <c r="A2040" i="1"/>
  <c r="J2039" i="1"/>
  <c r="K2039" i="1" s="1"/>
  <c r="I2039" i="1"/>
  <c r="E2039" i="1"/>
  <c r="D2039" i="1"/>
  <c r="C2039" i="1"/>
  <c r="B2039" i="1"/>
  <c r="A2039" i="1"/>
  <c r="J2038" i="1"/>
  <c r="K2038" i="1" s="1"/>
  <c r="I2038" i="1"/>
  <c r="E2038" i="1"/>
  <c r="D2038" i="1"/>
  <c r="C2038" i="1"/>
  <c r="B2038" i="1"/>
  <c r="A2038" i="1"/>
  <c r="J2037" i="1"/>
  <c r="K2037" i="1" s="1"/>
  <c r="I2037" i="1"/>
  <c r="E2037" i="1"/>
  <c r="D2037" i="1"/>
  <c r="C2037" i="1"/>
  <c r="B2037" i="1"/>
  <c r="A2037" i="1"/>
  <c r="J2036" i="1"/>
  <c r="K2036" i="1" s="1"/>
  <c r="I2036" i="1"/>
  <c r="E2036" i="1"/>
  <c r="D2036" i="1"/>
  <c r="C2036" i="1"/>
  <c r="B2036" i="1"/>
  <c r="A2036" i="1"/>
  <c r="J2035" i="1"/>
  <c r="K2035" i="1" s="1"/>
  <c r="I2035" i="1"/>
  <c r="E2035" i="1"/>
  <c r="D2035" i="1"/>
  <c r="C2035" i="1"/>
  <c r="B2035" i="1"/>
  <c r="A2035" i="1"/>
  <c r="J2034" i="1"/>
  <c r="K2034" i="1" s="1"/>
  <c r="L2051" i="1" s="1"/>
  <c r="I2034" i="1"/>
  <c r="E2034" i="1"/>
  <c r="D2034" i="1"/>
  <c r="C2034" i="1"/>
  <c r="B2034" i="1"/>
  <c r="A2034" i="1"/>
  <c r="J2033" i="1"/>
  <c r="K2033" i="1" s="1"/>
  <c r="I2033" i="1"/>
  <c r="E2033" i="1"/>
  <c r="D2033" i="1"/>
  <c r="C2033" i="1"/>
  <c r="B2033" i="1"/>
  <c r="A2033" i="1"/>
  <c r="J2032" i="1"/>
  <c r="K2032" i="1" s="1"/>
  <c r="I2032" i="1"/>
  <c r="E2032" i="1"/>
  <c r="D2032" i="1"/>
  <c r="C2032" i="1"/>
  <c r="B2032" i="1"/>
  <c r="A2032" i="1"/>
  <c r="J2031" i="1"/>
  <c r="K2031" i="1" s="1"/>
  <c r="I2031" i="1"/>
  <c r="E2031" i="1"/>
  <c r="D2031" i="1"/>
  <c r="C2031" i="1"/>
  <c r="B2031" i="1"/>
  <c r="A2031" i="1"/>
  <c r="J2030" i="1"/>
  <c r="K2030" i="1" s="1"/>
  <c r="I2030" i="1"/>
  <c r="E2030" i="1"/>
  <c r="D2030" i="1"/>
  <c r="C2030" i="1"/>
  <c r="B2030" i="1"/>
  <c r="A2030" i="1"/>
  <c r="J2029" i="1"/>
  <c r="K2029" i="1" s="1"/>
  <c r="I2029" i="1"/>
  <c r="E2029" i="1"/>
  <c r="D2029" i="1"/>
  <c r="C2029" i="1"/>
  <c r="B2029" i="1"/>
  <c r="A2029" i="1"/>
  <c r="J2028" i="1"/>
  <c r="I2028" i="1"/>
  <c r="K2028" i="1" s="1"/>
  <c r="L2033" i="1" s="1"/>
  <c r="E2028" i="1"/>
  <c r="D2028" i="1"/>
  <c r="C2028" i="1"/>
  <c r="B2028" i="1"/>
  <c r="A2028" i="1"/>
  <c r="J2027" i="1"/>
  <c r="K2027" i="1" s="1"/>
  <c r="I2027" i="1"/>
  <c r="E2027" i="1"/>
  <c r="D2027" i="1"/>
  <c r="C2027" i="1"/>
  <c r="B2027" i="1"/>
  <c r="A2027" i="1"/>
  <c r="J2026" i="1"/>
  <c r="K2026" i="1" s="1"/>
  <c r="I2026" i="1"/>
  <c r="E2026" i="1"/>
  <c r="D2026" i="1"/>
  <c r="C2026" i="1"/>
  <c r="B2026" i="1"/>
  <c r="A2026" i="1"/>
  <c r="J2025" i="1"/>
  <c r="K2025" i="1" s="1"/>
  <c r="I2025" i="1"/>
  <c r="E2025" i="1"/>
  <c r="D2025" i="1"/>
  <c r="C2025" i="1"/>
  <c r="B2025" i="1"/>
  <c r="A2025" i="1"/>
  <c r="J2024" i="1"/>
  <c r="K2024" i="1" s="1"/>
  <c r="I2024" i="1"/>
  <c r="E2024" i="1"/>
  <c r="D2024" i="1"/>
  <c r="C2024" i="1"/>
  <c r="B2024" i="1"/>
  <c r="A2024" i="1"/>
  <c r="J2023" i="1"/>
  <c r="K2023" i="1" s="1"/>
  <c r="I2023" i="1"/>
  <c r="E2023" i="1"/>
  <c r="D2023" i="1"/>
  <c r="C2023" i="1"/>
  <c r="B2023" i="1"/>
  <c r="A2023" i="1"/>
  <c r="J2022" i="1"/>
  <c r="K2022" i="1" s="1"/>
  <c r="I2022" i="1"/>
  <c r="E2022" i="1"/>
  <c r="D2022" i="1"/>
  <c r="C2022" i="1"/>
  <c r="B2022" i="1"/>
  <c r="A2022" i="1"/>
  <c r="J2021" i="1"/>
  <c r="K2021" i="1" s="1"/>
  <c r="I2021" i="1"/>
  <c r="E2021" i="1"/>
  <c r="D2021" i="1"/>
  <c r="C2021" i="1"/>
  <c r="B2021" i="1"/>
  <c r="A2021" i="1"/>
  <c r="J2020" i="1"/>
  <c r="K2020" i="1" s="1"/>
  <c r="I2020" i="1"/>
  <c r="E2020" i="1"/>
  <c r="D2020" i="1"/>
  <c r="C2020" i="1"/>
  <c r="B2020" i="1"/>
  <c r="A2020" i="1"/>
  <c r="J2019" i="1"/>
  <c r="K2019" i="1" s="1"/>
  <c r="I2019" i="1"/>
  <c r="E2019" i="1"/>
  <c r="D2019" i="1"/>
  <c r="C2019" i="1"/>
  <c r="B2019" i="1"/>
  <c r="A2019" i="1"/>
  <c r="J2018" i="1"/>
  <c r="K2018" i="1" s="1"/>
  <c r="I2018" i="1"/>
  <c r="E2018" i="1"/>
  <c r="D2018" i="1"/>
  <c r="C2018" i="1"/>
  <c r="B2018" i="1"/>
  <c r="A2018" i="1"/>
  <c r="J2017" i="1"/>
  <c r="K2017" i="1" s="1"/>
  <c r="I2017" i="1"/>
  <c r="E2017" i="1"/>
  <c r="D2017" i="1"/>
  <c r="C2017" i="1"/>
  <c r="B2017" i="1"/>
  <c r="A2017" i="1"/>
  <c r="J2016" i="1"/>
  <c r="K2016" i="1" s="1"/>
  <c r="I2016" i="1"/>
  <c r="E2016" i="1"/>
  <c r="D2016" i="1"/>
  <c r="C2016" i="1"/>
  <c r="B2016" i="1"/>
  <c r="A2016" i="1"/>
  <c r="J2015" i="1"/>
  <c r="K2015" i="1" s="1"/>
  <c r="I2015" i="1"/>
  <c r="E2015" i="1"/>
  <c r="D2015" i="1"/>
  <c r="C2015" i="1"/>
  <c r="B2015" i="1"/>
  <c r="A2015" i="1"/>
  <c r="J2014" i="1"/>
  <c r="K2014" i="1" s="1"/>
  <c r="I2014" i="1"/>
  <c r="E2014" i="1"/>
  <c r="D2014" i="1"/>
  <c r="C2014" i="1"/>
  <c r="B2014" i="1"/>
  <c r="A2014" i="1"/>
  <c r="J2013" i="1"/>
  <c r="K2013" i="1" s="1"/>
  <c r="I2013" i="1"/>
  <c r="E2013" i="1"/>
  <c r="D2013" i="1"/>
  <c r="C2013" i="1"/>
  <c r="B2013" i="1"/>
  <c r="A2013" i="1"/>
  <c r="J2012" i="1"/>
  <c r="K2012" i="1" s="1"/>
  <c r="I2012" i="1"/>
  <c r="E2012" i="1"/>
  <c r="D2012" i="1"/>
  <c r="C2012" i="1"/>
  <c r="B2012" i="1"/>
  <c r="A2012" i="1"/>
  <c r="J2011" i="1"/>
  <c r="K2011" i="1" s="1"/>
  <c r="I2011" i="1"/>
  <c r="E2011" i="1"/>
  <c r="D2011" i="1"/>
  <c r="C2011" i="1"/>
  <c r="B2011" i="1"/>
  <c r="A2011" i="1"/>
  <c r="J2010" i="1"/>
  <c r="K2010" i="1" s="1"/>
  <c r="I2010" i="1"/>
  <c r="E2010" i="1"/>
  <c r="D2010" i="1"/>
  <c r="C2010" i="1"/>
  <c r="B2010" i="1"/>
  <c r="A2010" i="1"/>
  <c r="J2009" i="1"/>
  <c r="K2009" i="1" s="1"/>
  <c r="I2009" i="1"/>
  <c r="E2009" i="1"/>
  <c r="D2009" i="1"/>
  <c r="C2009" i="1"/>
  <c r="B2009" i="1"/>
  <c r="A2009" i="1"/>
  <c r="J2008" i="1"/>
  <c r="K2008" i="1" s="1"/>
  <c r="I2008" i="1"/>
  <c r="E2008" i="1"/>
  <c r="D2008" i="1"/>
  <c r="C2008" i="1"/>
  <c r="B2008" i="1"/>
  <c r="A2008" i="1"/>
  <c r="J2007" i="1"/>
  <c r="K2007" i="1" s="1"/>
  <c r="I2007" i="1"/>
  <c r="E2007" i="1"/>
  <c r="D2007" i="1"/>
  <c r="C2007" i="1"/>
  <c r="B2007" i="1"/>
  <c r="A2007" i="1"/>
  <c r="J2006" i="1"/>
  <c r="K2006" i="1" s="1"/>
  <c r="I2006" i="1"/>
  <c r="E2006" i="1"/>
  <c r="D2006" i="1"/>
  <c r="C2006" i="1"/>
  <c r="B2006" i="1"/>
  <c r="A2006" i="1"/>
  <c r="J2005" i="1"/>
  <c r="K2005" i="1" s="1"/>
  <c r="I2005" i="1"/>
  <c r="E2005" i="1"/>
  <c r="D2005" i="1"/>
  <c r="C2005" i="1"/>
  <c r="B2005" i="1"/>
  <c r="A2005" i="1"/>
  <c r="J2004" i="1"/>
  <c r="K2004" i="1" s="1"/>
  <c r="I2004" i="1"/>
  <c r="E2004" i="1"/>
  <c r="D2004" i="1"/>
  <c r="C2004" i="1"/>
  <c r="B2004" i="1"/>
  <c r="A2004" i="1"/>
  <c r="J2003" i="1"/>
  <c r="K2003" i="1" s="1"/>
  <c r="I2003" i="1"/>
  <c r="E2003" i="1"/>
  <c r="D2003" i="1"/>
  <c r="C2003" i="1"/>
  <c r="B2003" i="1"/>
  <c r="A2003" i="1"/>
  <c r="J2002" i="1"/>
  <c r="K2002" i="1" s="1"/>
  <c r="I2002" i="1"/>
  <c r="E2002" i="1"/>
  <c r="D2002" i="1"/>
  <c r="C2002" i="1"/>
  <c r="B2002" i="1"/>
  <c r="A2002" i="1"/>
  <c r="J2001" i="1"/>
  <c r="K2001" i="1" s="1"/>
  <c r="I2001" i="1"/>
  <c r="E2001" i="1"/>
  <c r="D2001" i="1"/>
  <c r="C2001" i="1"/>
  <c r="B2001" i="1"/>
  <c r="A2001" i="1"/>
  <c r="J2000" i="1"/>
  <c r="K2000" i="1" s="1"/>
  <c r="I2000" i="1"/>
  <c r="E2000" i="1"/>
  <c r="D2000" i="1"/>
  <c r="C2000" i="1"/>
  <c r="B2000" i="1"/>
  <c r="A2000" i="1"/>
  <c r="J1999" i="1"/>
  <c r="K1999" i="1" s="1"/>
  <c r="I1999" i="1"/>
  <c r="E1999" i="1"/>
  <c r="D1999" i="1"/>
  <c r="C1999" i="1"/>
  <c r="B1999" i="1"/>
  <c r="A1999" i="1"/>
  <c r="J1998" i="1"/>
  <c r="K1998" i="1" s="1"/>
  <c r="L2026" i="1" s="1"/>
  <c r="I1998" i="1"/>
  <c r="E1998" i="1"/>
  <c r="D1998" i="1"/>
  <c r="C1998" i="1"/>
  <c r="B1998" i="1"/>
  <c r="A1998" i="1"/>
  <c r="J1997" i="1"/>
  <c r="K1997" i="1" s="1"/>
  <c r="I1997" i="1"/>
  <c r="E1997" i="1"/>
  <c r="D1997" i="1"/>
  <c r="C1997" i="1"/>
  <c r="B1997" i="1"/>
  <c r="A1997" i="1"/>
  <c r="J1996" i="1"/>
  <c r="K1996" i="1" s="1"/>
  <c r="L1997" i="1" s="1"/>
  <c r="I1996" i="1"/>
  <c r="E1996" i="1"/>
  <c r="D1996" i="1"/>
  <c r="C1996" i="1"/>
  <c r="B1996" i="1"/>
  <c r="A1996" i="1"/>
  <c r="J1995" i="1"/>
  <c r="K1995" i="1" s="1"/>
  <c r="I1995" i="1"/>
  <c r="E1995" i="1"/>
  <c r="D1995" i="1"/>
  <c r="C1995" i="1"/>
  <c r="B1995" i="1"/>
  <c r="A1995" i="1"/>
  <c r="J1994" i="1"/>
  <c r="K1994" i="1" s="1"/>
  <c r="I1994" i="1"/>
  <c r="E1994" i="1"/>
  <c r="D1994" i="1"/>
  <c r="C1994" i="1"/>
  <c r="B1994" i="1"/>
  <c r="A1994" i="1"/>
  <c r="J1993" i="1"/>
  <c r="K1993" i="1" s="1"/>
  <c r="I1993" i="1"/>
  <c r="E1993" i="1"/>
  <c r="D1993" i="1"/>
  <c r="C1993" i="1"/>
  <c r="B1993" i="1"/>
  <c r="A1993" i="1"/>
  <c r="J1992" i="1"/>
  <c r="K1992" i="1" s="1"/>
  <c r="I1992" i="1"/>
  <c r="E1992" i="1"/>
  <c r="D1992" i="1"/>
  <c r="C1992" i="1"/>
  <c r="B1992" i="1"/>
  <c r="A1992" i="1"/>
  <c r="J1991" i="1"/>
  <c r="K1991" i="1" s="1"/>
  <c r="I1991" i="1"/>
  <c r="E1991" i="1"/>
  <c r="D1991" i="1"/>
  <c r="C1991" i="1"/>
  <c r="B1991" i="1"/>
  <c r="A1991" i="1"/>
  <c r="J1990" i="1"/>
  <c r="K1990" i="1" s="1"/>
  <c r="I1990" i="1"/>
  <c r="E1990" i="1"/>
  <c r="D1990" i="1"/>
  <c r="C1990" i="1"/>
  <c r="B1990" i="1"/>
  <c r="A1990" i="1"/>
  <c r="J1989" i="1"/>
  <c r="K1989" i="1" s="1"/>
  <c r="I1989" i="1"/>
  <c r="E1989" i="1"/>
  <c r="D1989" i="1"/>
  <c r="C1989" i="1"/>
  <c r="B1989" i="1"/>
  <c r="A1989" i="1"/>
  <c r="J1988" i="1"/>
  <c r="K1988" i="1" s="1"/>
  <c r="I1988" i="1"/>
  <c r="E1988" i="1"/>
  <c r="D1988" i="1"/>
  <c r="C1988" i="1"/>
  <c r="B1988" i="1"/>
  <c r="A1988" i="1"/>
  <c r="J1987" i="1"/>
  <c r="K1987" i="1" s="1"/>
  <c r="L1995" i="1" s="1"/>
  <c r="I1987" i="1"/>
  <c r="E1987" i="1"/>
  <c r="D1987" i="1"/>
  <c r="C1987" i="1"/>
  <c r="B1987" i="1"/>
  <c r="A1987" i="1"/>
  <c r="J1986" i="1"/>
  <c r="K1986" i="1" s="1"/>
  <c r="L1986" i="1" s="1"/>
  <c r="I1986" i="1"/>
  <c r="E1986" i="1"/>
  <c r="D1986" i="1"/>
  <c r="C1986" i="1"/>
  <c r="B1986" i="1"/>
  <c r="A1986" i="1"/>
  <c r="J1985" i="1"/>
  <c r="K1985" i="1" s="1"/>
  <c r="I1985" i="1"/>
  <c r="E1985" i="1"/>
  <c r="D1985" i="1"/>
  <c r="C1985" i="1"/>
  <c r="B1985" i="1"/>
  <c r="A1985" i="1"/>
  <c r="J1984" i="1"/>
  <c r="K1984" i="1" s="1"/>
  <c r="I1984" i="1"/>
  <c r="E1984" i="1"/>
  <c r="D1984" i="1"/>
  <c r="C1984" i="1"/>
  <c r="B1984" i="1"/>
  <c r="A1984" i="1"/>
  <c r="J1983" i="1"/>
  <c r="K1983" i="1" s="1"/>
  <c r="I1983" i="1"/>
  <c r="E1983" i="1"/>
  <c r="D1983" i="1"/>
  <c r="C1983" i="1"/>
  <c r="B1983" i="1"/>
  <c r="A1983" i="1"/>
  <c r="J1982" i="1"/>
  <c r="K1982" i="1" s="1"/>
  <c r="L1985" i="1" s="1"/>
  <c r="I1982" i="1"/>
  <c r="E1982" i="1"/>
  <c r="D1982" i="1"/>
  <c r="C1982" i="1"/>
  <c r="B1982" i="1"/>
  <c r="A1982" i="1"/>
  <c r="J1981" i="1"/>
  <c r="K1981" i="1" s="1"/>
  <c r="I1981" i="1"/>
  <c r="E1981" i="1"/>
  <c r="D1981" i="1"/>
  <c r="C1981" i="1"/>
  <c r="B1981" i="1"/>
  <c r="A1981" i="1"/>
  <c r="J1980" i="1"/>
  <c r="K1980" i="1" s="1"/>
  <c r="I1980" i="1"/>
  <c r="E1980" i="1"/>
  <c r="D1980" i="1"/>
  <c r="C1980" i="1"/>
  <c r="B1980" i="1"/>
  <c r="A1980" i="1"/>
  <c r="J1979" i="1"/>
  <c r="K1979" i="1" s="1"/>
  <c r="L1981" i="1" s="1"/>
  <c r="I1979" i="1"/>
  <c r="E1979" i="1"/>
  <c r="D1979" i="1"/>
  <c r="C1979" i="1"/>
  <c r="B1979" i="1"/>
  <c r="A1979" i="1"/>
  <c r="J1978" i="1"/>
  <c r="K1978" i="1" s="1"/>
  <c r="I1978" i="1"/>
  <c r="E1978" i="1"/>
  <c r="D1978" i="1"/>
  <c r="C1978" i="1"/>
  <c r="B1978" i="1"/>
  <c r="A1978" i="1"/>
  <c r="J1977" i="1"/>
  <c r="K1977" i="1" s="1"/>
  <c r="I1977" i="1"/>
  <c r="E1977" i="1"/>
  <c r="D1977" i="1"/>
  <c r="C1977" i="1"/>
  <c r="B1977" i="1"/>
  <c r="A1977" i="1"/>
  <c r="J1976" i="1"/>
  <c r="K1976" i="1" s="1"/>
  <c r="I1976" i="1"/>
  <c r="E1976" i="1"/>
  <c r="D1976" i="1"/>
  <c r="C1976" i="1"/>
  <c r="B1976" i="1"/>
  <c r="A1976" i="1"/>
  <c r="K1975" i="1"/>
  <c r="J1975" i="1"/>
  <c r="I1975" i="1"/>
  <c r="E1975" i="1"/>
  <c r="D1975" i="1"/>
  <c r="C1975" i="1"/>
  <c r="B1975" i="1"/>
  <c r="A1975" i="1"/>
  <c r="J1974" i="1"/>
  <c r="K1974" i="1" s="1"/>
  <c r="I1974" i="1"/>
  <c r="E1974" i="1"/>
  <c r="D1974" i="1"/>
  <c r="C1974" i="1"/>
  <c r="B1974" i="1"/>
  <c r="A1974" i="1"/>
  <c r="J1973" i="1"/>
  <c r="K1973" i="1" s="1"/>
  <c r="I1973" i="1"/>
  <c r="E1973" i="1"/>
  <c r="D1973" i="1"/>
  <c r="C1973" i="1"/>
  <c r="B1973" i="1"/>
  <c r="A1973" i="1"/>
  <c r="J1972" i="1"/>
  <c r="K1972" i="1" s="1"/>
  <c r="I1972" i="1"/>
  <c r="E1972" i="1"/>
  <c r="D1972" i="1"/>
  <c r="C1972" i="1"/>
  <c r="B1972" i="1"/>
  <c r="A1972" i="1"/>
  <c r="J1971" i="1"/>
  <c r="K1971" i="1" s="1"/>
  <c r="L1975" i="1" s="1"/>
  <c r="I1971" i="1"/>
  <c r="E1971" i="1"/>
  <c r="D1971" i="1"/>
  <c r="C1971" i="1"/>
  <c r="B1971" i="1"/>
  <c r="A1971" i="1"/>
  <c r="J1970" i="1"/>
  <c r="K1970" i="1" s="1"/>
  <c r="I1970" i="1"/>
  <c r="E1970" i="1"/>
  <c r="D1970" i="1"/>
  <c r="C1970" i="1"/>
  <c r="B1970" i="1"/>
  <c r="A1970" i="1"/>
  <c r="J1969" i="1"/>
  <c r="K1969" i="1" s="1"/>
  <c r="I1969" i="1"/>
  <c r="E1969" i="1"/>
  <c r="D1969" i="1"/>
  <c r="C1969" i="1"/>
  <c r="B1969" i="1"/>
  <c r="A1969" i="1"/>
  <c r="J1968" i="1"/>
  <c r="K1968" i="1" s="1"/>
  <c r="I1968" i="1"/>
  <c r="E1968" i="1"/>
  <c r="D1968" i="1"/>
  <c r="C1968" i="1"/>
  <c r="B1968" i="1"/>
  <c r="A1968" i="1"/>
  <c r="J1967" i="1"/>
  <c r="K1967" i="1" s="1"/>
  <c r="I1967" i="1"/>
  <c r="E1967" i="1"/>
  <c r="D1967" i="1"/>
  <c r="C1967" i="1"/>
  <c r="B1967" i="1"/>
  <c r="A1967" i="1"/>
  <c r="J1966" i="1"/>
  <c r="K1966" i="1" s="1"/>
  <c r="I1966" i="1"/>
  <c r="E1966" i="1"/>
  <c r="D1966" i="1"/>
  <c r="C1966" i="1"/>
  <c r="B1966" i="1"/>
  <c r="A1966" i="1"/>
  <c r="J1965" i="1"/>
  <c r="K1965" i="1" s="1"/>
  <c r="I1965" i="1"/>
  <c r="E1965" i="1"/>
  <c r="D1965" i="1"/>
  <c r="C1965" i="1"/>
  <c r="B1965" i="1"/>
  <c r="A1965" i="1"/>
  <c r="J1964" i="1"/>
  <c r="K1964" i="1" s="1"/>
  <c r="I1964" i="1"/>
  <c r="E1964" i="1"/>
  <c r="D1964" i="1"/>
  <c r="C1964" i="1"/>
  <c r="B1964" i="1"/>
  <c r="A1964" i="1"/>
  <c r="J1963" i="1"/>
  <c r="K1963" i="1" s="1"/>
  <c r="I1963" i="1"/>
  <c r="E1963" i="1"/>
  <c r="D1963" i="1"/>
  <c r="C1963" i="1"/>
  <c r="B1963" i="1"/>
  <c r="A1963" i="1"/>
  <c r="J1962" i="1"/>
  <c r="K1962" i="1" s="1"/>
  <c r="I1962" i="1"/>
  <c r="E1962" i="1"/>
  <c r="D1962" i="1"/>
  <c r="C1962" i="1"/>
  <c r="B1962" i="1"/>
  <c r="A1962" i="1"/>
  <c r="J1961" i="1"/>
  <c r="K1961" i="1" s="1"/>
  <c r="I1961" i="1"/>
  <c r="E1961" i="1"/>
  <c r="D1961" i="1"/>
  <c r="C1961" i="1"/>
  <c r="B1961" i="1"/>
  <c r="A1961" i="1"/>
  <c r="J1960" i="1"/>
  <c r="K1960" i="1" s="1"/>
  <c r="L1970" i="1" s="1"/>
  <c r="I1960" i="1"/>
  <c r="E1960" i="1"/>
  <c r="D1960" i="1"/>
  <c r="C1960" i="1"/>
  <c r="B1960" i="1"/>
  <c r="A1960" i="1"/>
  <c r="J1959" i="1"/>
  <c r="K1959" i="1" s="1"/>
  <c r="L1959" i="1" s="1"/>
  <c r="I1959" i="1"/>
  <c r="E1959" i="1"/>
  <c r="D1959" i="1"/>
  <c r="C1959" i="1"/>
  <c r="B1959" i="1"/>
  <c r="A1959" i="1"/>
  <c r="J1958" i="1"/>
  <c r="K1958" i="1" s="1"/>
  <c r="I1958" i="1"/>
  <c r="E1958" i="1"/>
  <c r="D1958" i="1"/>
  <c r="C1958" i="1"/>
  <c r="B1958" i="1"/>
  <c r="A1958" i="1"/>
  <c r="J1957" i="1"/>
  <c r="K1957" i="1" s="1"/>
  <c r="I1957" i="1"/>
  <c r="E1957" i="1"/>
  <c r="D1957" i="1"/>
  <c r="C1957" i="1"/>
  <c r="B1957" i="1"/>
  <c r="A1957" i="1"/>
  <c r="J1956" i="1"/>
  <c r="K1956" i="1" s="1"/>
  <c r="L1958" i="1" s="1"/>
  <c r="I1956" i="1"/>
  <c r="E1956" i="1"/>
  <c r="D1956" i="1"/>
  <c r="C1956" i="1"/>
  <c r="B1956" i="1"/>
  <c r="A1956" i="1"/>
  <c r="J1955" i="1"/>
  <c r="K1955" i="1" s="1"/>
  <c r="I1955" i="1"/>
  <c r="E1955" i="1"/>
  <c r="D1955" i="1"/>
  <c r="C1955" i="1"/>
  <c r="B1955" i="1"/>
  <c r="A1955" i="1"/>
  <c r="J1954" i="1"/>
  <c r="K1954" i="1" s="1"/>
  <c r="L1954" i="1" s="1"/>
  <c r="I1954" i="1"/>
  <c r="E1954" i="1"/>
  <c r="D1954" i="1"/>
  <c r="C1954" i="1"/>
  <c r="B1954" i="1"/>
  <c r="A1954" i="1"/>
  <c r="J1953" i="1"/>
  <c r="K1953" i="1" s="1"/>
  <c r="I1953" i="1"/>
  <c r="E1953" i="1"/>
  <c r="D1953" i="1"/>
  <c r="C1953" i="1"/>
  <c r="B1953" i="1"/>
  <c r="A1953" i="1"/>
  <c r="J1952" i="1"/>
  <c r="K1952" i="1" s="1"/>
  <c r="I1952" i="1"/>
  <c r="E1952" i="1"/>
  <c r="D1952" i="1"/>
  <c r="C1952" i="1"/>
  <c r="B1952" i="1"/>
  <c r="A1952" i="1"/>
  <c r="J1951" i="1"/>
  <c r="K1951" i="1" s="1"/>
  <c r="I1951" i="1"/>
  <c r="E1951" i="1"/>
  <c r="D1951" i="1"/>
  <c r="C1951" i="1"/>
  <c r="B1951" i="1"/>
  <c r="A1951" i="1"/>
  <c r="J1950" i="1"/>
  <c r="K1950" i="1" s="1"/>
  <c r="I1950" i="1"/>
  <c r="E1950" i="1"/>
  <c r="D1950" i="1"/>
  <c r="C1950" i="1"/>
  <c r="B1950" i="1"/>
  <c r="A1950" i="1"/>
  <c r="J1949" i="1"/>
  <c r="K1949" i="1" s="1"/>
  <c r="I1949" i="1"/>
  <c r="E1949" i="1"/>
  <c r="D1949" i="1"/>
  <c r="C1949" i="1"/>
  <c r="B1949" i="1"/>
  <c r="A1949" i="1"/>
  <c r="J1948" i="1"/>
  <c r="K1948" i="1" s="1"/>
  <c r="I1948" i="1"/>
  <c r="E1948" i="1"/>
  <c r="D1948" i="1"/>
  <c r="C1948" i="1"/>
  <c r="B1948" i="1"/>
  <c r="A1948" i="1"/>
  <c r="J1947" i="1"/>
  <c r="K1947" i="1" s="1"/>
  <c r="I1947" i="1"/>
  <c r="E1947" i="1"/>
  <c r="D1947" i="1"/>
  <c r="C1947" i="1"/>
  <c r="B1947" i="1"/>
  <c r="A1947" i="1"/>
  <c r="J1946" i="1"/>
  <c r="K1946" i="1" s="1"/>
  <c r="I1946" i="1"/>
  <c r="E1946" i="1"/>
  <c r="D1946" i="1"/>
  <c r="C1946" i="1"/>
  <c r="B1946" i="1"/>
  <c r="A1946" i="1"/>
  <c r="J1945" i="1"/>
  <c r="K1945" i="1" s="1"/>
  <c r="I1945" i="1"/>
  <c r="E1945" i="1"/>
  <c r="D1945" i="1"/>
  <c r="C1945" i="1"/>
  <c r="B1945" i="1"/>
  <c r="A1945" i="1"/>
  <c r="J1944" i="1"/>
  <c r="K1944" i="1" s="1"/>
  <c r="I1944" i="1"/>
  <c r="E1944" i="1"/>
  <c r="D1944" i="1"/>
  <c r="C1944" i="1"/>
  <c r="B1944" i="1"/>
  <c r="A1944" i="1"/>
  <c r="J1943" i="1"/>
  <c r="K1943" i="1" s="1"/>
  <c r="I1943" i="1"/>
  <c r="E1943" i="1"/>
  <c r="D1943" i="1"/>
  <c r="C1943" i="1"/>
  <c r="B1943" i="1"/>
  <c r="A1943" i="1"/>
  <c r="J1942" i="1"/>
  <c r="K1942" i="1" s="1"/>
  <c r="L1953" i="1" s="1"/>
  <c r="I1942" i="1"/>
  <c r="E1942" i="1"/>
  <c r="D1942" i="1"/>
  <c r="C1942" i="1"/>
  <c r="B1942" i="1"/>
  <c r="A1942" i="1"/>
  <c r="J1941" i="1"/>
  <c r="K1941" i="1" s="1"/>
  <c r="I1941" i="1"/>
  <c r="E1941" i="1"/>
  <c r="D1941" i="1"/>
  <c r="C1941" i="1"/>
  <c r="B1941" i="1"/>
  <c r="A1941" i="1"/>
  <c r="J1940" i="1"/>
  <c r="K1940" i="1" s="1"/>
  <c r="I1940" i="1"/>
  <c r="E1940" i="1"/>
  <c r="D1940" i="1"/>
  <c r="C1940" i="1"/>
  <c r="B1940" i="1"/>
  <c r="A1940" i="1"/>
  <c r="J1939" i="1"/>
  <c r="K1939" i="1" s="1"/>
  <c r="L1941" i="1" s="1"/>
  <c r="I1939" i="1"/>
  <c r="E1939" i="1"/>
  <c r="D1939" i="1"/>
  <c r="C1939" i="1"/>
  <c r="B1939" i="1"/>
  <c r="A1939" i="1"/>
  <c r="J1938" i="1"/>
  <c r="K1938" i="1" s="1"/>
  <c r="I1938" i="1"/>
  <c r="E1938" i="1"/>
  <c r="D1938" i="1"/>
  <c r="C1938" i="1"/>
  <c r="B1938" i="1"/>
  <c r="A1938" i="1"/>
  <c r="J1937" i="1"/>
  <c r="K1937" i="1" s="1"/>
  <c r="I1937" i="1"/>
  <c r="E1937" i="1"/>
  <c r="D1937" i="1"/>
  <c r="C1937" i="1"/>
  <c r="B1937" i="1"/>
  <c r="A1937" i="1"/>
  <c r="J1936" i="1"/>
  <c r="K1936" i="1" s="1"/>
  <c r="L1938" i="1" s="1"/>
  <c r="I1936" i="1"/>
  <c r="E1936" i="1"/>
  <c r="D1936" i="1"/>
  <c r="C1936" i="1"/>
  <c r="B1936" i="1"/>
  <c r="A1936" i="1"/>
  <c r="J1935" i="1"/>
  <c r="K1935" i="1" s="1"/>
  <c r="I1935" i="1"/>
  <c r="E1935" i="1"/>
  <c r="D1935" i="1"/>
  <c r="C1935" i="1"/>
  <c r="B1935" i="1"/>
  <c r="A1935" i="1"/>
  <c r="J1934" i="1"/>
  <c r="K1934" i="1" s="1"/>
  <c r="I1934" i="1"/>
  <c r="E1934" i="1"/>
  <c r="D1934" i="1"/>
  <c r="C1934" i="1"/>
  <c r="B1934" i="1"/>
  <c r="A1934" i="1"/>
  <c r="J1933" i="1"/>
  <c r="K1933" i="1" s="1"/>
  <c r="I1933" i="1"/>
  <c r="E1933" i="1"/>
  <c r="D1933" i="1"/>
  <c r="C1933" i="1"/>
  <c r="B1933" i="1"/>
  <c r="A1933" i="1"/>
  <c r="K1932" i="1"/>
  <c r="J1932" i="1"/>
  <c r="I1932" i="1"/>
  <c r="E1932" i="1"/>
  <c r="D1932" i="1"/>
  <c r="C1932" i="1"/>
  <c r="B1932" i="1"/>
  <c r="A1932" i="1"/>
  <c r="J1931" i="1"/>
  <c r="K1931" i="1" s="1"/>
  <c r="I1931" i="1"/>
  <c r="E1931" i="1"/>
  <c r="D1931" i="1"/>
  <c r="C1931" i="1"/>
  <c r="B1931" i="1"/>
  <c r="A1931" i="1"/>
  <c r="J1930" i="1"/>
  <c r="K1930" i="1" s="1"/>
  <c r="I1930" i="1"/>
  <c r="E1930" i="1"/>
  <c r="D1930" i="1"/>
  <c r="C1930" i="1"/>
  <c r="B1930" i="1"/>
  <c r="A1930" i="1"/>
  <c r="J1929" i="1"/>
  <c r="K1929" i="1" s="1"/>
  <c r="I1929" i="1"/>
  <c r="E1929" i="1"/>
  <c r="D1929" i="1"/>
  <c r="C1929" i="1"/>
  <c r="B1929" i="1"/>
  <c r="A1929" i="1"/>
  <c r="J1928" i="1"/>
  <c r="K1928" i="1" s="1"/>
  <c r="I1928" i="1"/>
  <c r="E1928" i="1"/>
  <c r="D1928" i="1"/>
  <c r="C1928" i="1"/>
  <c r="B1928" i="1"/>
  <c r="A1928" i="1"/>
  <c r="J1927" i="1"/>
  <c r="K1927" i="1" s="1"/>
  <c r="I1927" i="1"/>
  <c r="E1927" i="1"/>
  <c r="D1927" i="1"/>
  <c r="C1927" i="1"/>
  <c r="B1927" i="1"/>
  <c r="A1927" i="1"/>
  <c r="J1926" i="1"/>
  <c r="K1926" i="1" s="1"/>
  <c r="I1926" i="1"/>
  <c r="E1926" i="1"/>
  <c r="D1926" i="1"/>
  <c r="C1926" i="1"/>
  <c r="B1926" i="1"/>
  <c r="A1926" i="1"/>
  <c r="J1925" i="1"/>
  <c r="K1925" i="1" s="1"/>
  <c r="I1925" i="1"/>
  <c r="E1925" i="1"/>
  <c r="D1925" i="1"/>
  <c r="C1925" i="1"/>
  <c r="B1925" i="1"/>
  <c r="A1925" i="1"/>
  <c r="J1924" i="1"/>
  <c r="K1924" i="1" s="1"/>
  <c r="I1924" i="1"/>
  <c r="E1924" i="1"/>
  <c r="D1924" i="1"/>
  <c r="C1924" i="1"/>
  <c r="B1924" i="1"/>
  <c r="A1924" i="1"/>
  <c r="J1923" i="1"/>
  <c r="K1923" i="1" s="1"/>
  <c r="I1923" i="1"/>
  <c r="E1923" i="1"/>
  <c r="D1923" i="1"/>
  <c r="C1923" i="1"/>
  <c r="B1923" i="1"/>
  <c r="A1923" i="1"/>
  <c r="J1922" i="1"/>
  <c r="K1922" i="1" s="1"/>
  <c r="I1922" i="1"/>
  <c r="E1922" i="1"/>
  <c r="D1922" i="1"/>
  <c r="C1922" i="1"/>
  <c r="B1922" i="1"/>
  <c r="A1922" i="1"/>
  <c r="J1921" i="1"/>
  <c r="K1921" i="1" s="1"/>
  <c r="L1935" i="1" s="1"/>
  <c r="I1921" i="1"/>
  <c r="E1921" i="1"/>
  <c r="D1921" i="1"/>
  <c r="C1921" i="1"/>
  <c r="B1921" i="1"/>
  <c r="A1921" i="1"/>
  <c r="J1920" i="1"/>
  <c r="K1920" i="1" s="1"/>
  <c r="I1920" i="1"/>
  <c r="E1920" i="1"/>
  <c r="D1920" i="1"/>
  <c r="C1920" i="1"/>
  <c r="B1920" i="1"/>
  <c r="A1920" i="1"/>
  <c r="J1919" i="1"/>
  <c r="K1919" i="1" s="1"/>
  <c r="I1919" i="1"/>
  <c r="E1919" i="1"/>
  <c r="D1919" i="1"/>
  <c r="C1919" i="1"/>
  <c r="B1919" i="1"/>
  <c r="A1919" i="1"/>
  <c r="J1918" i="1"/>
  <c r="K1918" i="1" s="1"/>
  <c r="L1920" i="1" s="1"/>
  <c r="I1918" i="1"/>
  <c r="E1918" i="1"/>
  <c r="D1918" i="1"/>
  <c r="C1918" i="1"/>
  <c r="B1918" i="1"/>
  <c r="A1918" i="1"/>
  <c r="J1917" i="1"/>
  <c r="K1917" i="1" s="1"/>
  <c r="L1917" i="1" s="1"/>
  <c r="I1917" i="1"/>
  <c r="E1917" i="1"/>
  <c r="D1917" i="1"/>
  <c r="C1917" i="1"/>
  <c r="B1917" i="1"/>
  <c r="A1917" i="1"/>
  <c r="J1916" i="1"/>
  <c r="K1916" i="1" s="1"/>
  <c r="I1916" i="1"/>
  <c r="E1916" i="1"/>
  <c r="D1916" i="1"/>
  <c r="C1916" i="1"/>
  <c r="B1916" i="1"/>
  <c r="A1916" i="1"/>
  <c r="J1915" i="1"/>
  <c r="I1915" i="1"/>
  <c r="K1915" i="1" s="1"/>
  <c r="L1916" i="1" s="1"/>
  <c r="E1915" i="1"/>
  <c r="D1915" i="1"/>
  <c r="C1915" i="1"/>
  <c r="B1915" i="1"/>
  <c r="A1915" i="1"/>
  <c r="J1914" i="1"/>
  <c r="K1914" i="1" s="1"/>
  <c r="I1914" i="1"/>
  <c r="E1914" i="1"/>
  <c r="D1914" i="1"/>
  <c r="C1914" i="1"/>
  <c r="B1914" i="1"/>
  <c r="A1914" i="1"/>
  <c r="J1913" i="1"/>
  <c r="K1913" i="1" s="1"/>
  <c r="I1913" i="1"/>
  <c r="E1913" i="1"/>
  <c r="D1913" i="1"/>
  <c r="C1913" i="1"/>
  <c r="B1913" i="1"/>
  <c r="A1913" i="1"/>
  <c r="J1912" i="1"/>
  <c r="K1912" i="1" s="1"/>
  <c r="L1913" i="1" s="1"/>
  <c r="I1912" i="1"/>
  <c r="E1912" i="1"/>
  <c r="D1912" i="1"/>
  <c r="C1912" i="1"/>
  <c r="B1912" i="1"/>
  <c r="A1912" i="1"/>
  <c r="J1911" i="1"/>
  <c r="I1911" i="1"/>
  <c r="K1911" i="1" s="1"/>
  <c r="E1911" i="1"/>
  <c r="D1911" i="1"/>
  <c r="C1911" i="1"/>
  <c r="B1911" i="1"/>
  <c r="A1911" i="1"/>
  <c r="J1910" i="1"/>
  <c r="K1910" i="1" s="1"/>
  <c r="I1910" i="1"/>
  <c r="E1910" i="1"/>
  <c r="D1910" i="1"/>
  <c r="C1910" i="1"/>
  <c r="B1910" i="1"/>
  <c r="A1910" i="1"/>
  <c r="J1909" i="1"/>
  <c r="K1909" i="1" s="1"/>
  <c r="I1909" i="1"/>
  <c r="E1909" i="1"/>
  <c r="D1909" i="1"/>
  <c r="C1909" i="1"/>
  <c r="B1909" i="1"/>
  <c r="A1909" i="1"/>
  <c r="J1908" i="1"/>
  <c r="K1908" i="1" s="1"/>
  <c r="I1908" i="1"/>
  <c r="E1908" i="1"/>
  <c r="D1908" i="1"/>
  <c r="C1908" i="1"/>
  <c r="B1908" i="1"/>
  <c r="A1908" i="1"/>
  <c r="J1907" i="1"/>
  <c r="K1907" i="1" s="1"/>
  <c r="I1907" i="1"/>
  <c r="E1907" i="1"/>
  <c r="D1907" i="1"/>
  <c r="C1907" i="1"/>
  <c r="B1907" i="1"/>
  <c r="A1907" i="1"/>
  <c r="J1906" i="1"/>
  <c r="K1906" i="1" s="1"/>
  <c r="I1906" i="1"/>
  <c r="E1906" i="1"/>
  <c r="D1906" i="1"/>
  <c r="C1906" i="1"/>
  <c r="B1906" i="1"/>
  <c r="A1906" i="1"/>
  <c r="J1905" i="1"/>
  <c r="K1905" i="1" s="1"/>
  <c r="I1905" i="1"/>
  <c r="E1905" i="1"/>
  <c r="D1905" i="1"/>
  <c r="C1905" i="1"/>
  <c r="B1905" i="1"/>
  <c r="A1905" i="1"/>
  <c r="J1904" i="1"/>
  <c r="K1904" i="1" s="1"/>
  <c r="I1904" i="1"/>
  <c r="E1904" i="1"/>
  <c r="D1904" i="1"/>
  <c r="C1904" i="1"/>
  <c r="B1904" i="1"/>
  <c r="A1904" i="1"/>
  <c r="J1903" i="1"/>
  <c r="K1903" i="1" s="1"/>
  <c r="I1903" i="1"/>
  <c r="E1903" i="1"/>
  <c r="D1903" i="1"/>
  <c r="C1903" i="1"/>
  <c r="B1903" i="1"/>
  <c r="A1903" i="1"/>
  <c r="J1902" i="1"/>
  <c r="K1902" i="1" s="1"/>
  <c r="I1902" i="1"/>
  <c r="E1902" i="1"/>
  <c r="D1902" i="1"/>
  <c r="C1902" i="1"/>
  <c r="B1902" i="1"/>
  <c r="A1902" i="1"/>
  <c r="J1901" i="1"/>
  <c r="K1901" i="1" s="1"/>
  <c r="I1901" i="1"/>
  <c r="E1901" i="1"/>
  <c r="D1901" i="1"/>
  <c r="C1901" i="1"/>
  <c r="B1901" i="1"/>
  <c r="A1901" i="1"/>
  <c r="J1900" i="1"/>
  <c r="K1900" i="1" s="1"/>
  <c r="I1900" i="1"/>
  <c r="E1900" i="1"/>
  <c r="D1900" i="1"/>
  <c r="C1900" i="1"/>
  <c r="B1900" i="1"/>
  <c r="A1900" i="1"/>
  <c r="J1899" i="1"/>
  <c r="K1899" i="1" s="1"/>
  <c r="I1899" i="1"/>
  <c r="E1899" i="1"/>
  <c r="D1899" i="1"/>
  <c r="C1899" i="1"/>
  <c r="B1899" i="1"/>
  <c r="A1899" i="1"/>
  <c r="J1898" i="1"/>
  <c r="K1898" i="1" s="1"/>
  <c r="I1898" i="1"/>
  <c r="E1898" i="1"/>
  <c r="D1898" i="1"/>
  <c r="C1898" i="1"/>
  <c r="B1898" i="1"/>
  <c r="A1898" i="1"/>
  <c r="J1897" i="1"/>
  <c r="K1897" i="1" s="1"/>
  <c r="I1897" i="1"/>
  <c r="E1897" i="1"/>
  <c r="D1897" i="1"/>
  <c r="C1897" i="1"/>
  <c r="B1897" i="1"/>
  <c r="A1897" i="1"/>
  <c r="J1896" i="1"/>
  <c r="K1896" i="1" s="1"/>
  <c r="I1896" i="1"/>
  <c r="E1896" i="1"/>
  <c r="D1896" i="1"/>
  <c r="C1896" i="1"/>
  <c r="B1896" i="1"/>
  <c r="A1896" i="1"/>
  <c r="J1895" i="1"/>
  <c r="K1895" i="1" s="1"/>
  <c r="I1895" i="1"/>
  <c r="E1895" i="1"/>
  <c r="D1895" i="1"/>
  <c r="C1895" i="1"/>
  <c r="B1895" i="1"/>
  <c r="A1895" i="1"/>
  <c r="J1894" i="1"/>
  <c r="K1894" i="1" s="1"/>
  <c r="I1894" i="1"/>
  <c r="E1894" i="1"/>
  <c r="D1894" i="1"/>
  <c r="C1894" i="1"/>
  <c r="B1894" i="1"/>
  <c r="A1894" i="1"/>
  <c r="J1893" i="1"/>
  <c r="K1893" i="1" s="1"/>
  <c r="I1893" i="1"/>
  <c r="E1893" i="1"/>
  <c r="D1893" i="1"/>
  <c r="C1893" i="1"/>
  <c r="B1893" i="1"/>
  <c r="A1893" i="1"/>
  <c r="J1892" i="1"/>
  <c r="K1892" i="1" s="1"/>
  <c r="I1892" i="1"/>
  <c r="E1892" i="1"/>
  <c r="D1892" i="1"/>
  <c r="C1892" i="1"/>
  <c r="B1892" i="1"/>
  <c r="A1892" i="1"/>
  <c r="J1891" i="1"/>
  <c r="K1891" i="1" s="1"/>
  <c r="I1891" i="1"/>
  <c r="E1891" i="1"/>
  <c r="D1891" i="1"/>
  <c r="C1891" i="1"/>
  <c r="B1891" i="1"/>
  <c r="A1891" i="1"/>
  <c r="J1890" i="1"/>
  <c r="K1890" i="1" s="1"/>
  <c r="I1890" i="1"/>
  <c r="E1890" i="1"/>
  <c r="D1890" i="1"/>
  <c r="C1890" i="1"/>
  <c r="A1890" i="1"/>
  <c r="J1889" i="1"/>
  <c r="K1889" i="1" s="1"/>
  <c r="I1889" i="1"/>
  <c r="E1889" i="1"/>
  <c r="D1889" i="1"/>
  <c r="C1889" i="1"/>
  <c r="B1889" i="1"/>
  <c r="A1889" i="1"/>
  <c r="J1888" i="1"/>
  <c r="K1888" i="1" s="1"/>
  <c r="I1888" i="1"/>
  <c r="E1888" i="1"/>
  <c r="D1888" i="1"/>
  <c r="C1888" i="1"/>
  <c r="B1888" i="1"/>
  <c r="A1888" i="1"/>
  <c r="J1887" i="1"/>
  <c r="K1887" i="1" s="1"/>
  <c r="I1887" i="1"/>
  <c r="E1887" i="1"/>
  <c r="D1887" i="1"/>
  <c r="C1887" i="1"/>
  <c r="B1887" i="1"/>
  <c r="A1887" i="1"/>
  <c r="J1886" i="1"/>
  <c r="K1886" i="1" s="1"/>
  <c r="I1886" i="1"/>
  <c r="E1886" i="1"/>
  <c r="D1886" i="1"/>
  <c r="C1886" i="1"/>
  <c r="B1886" i="1"/>
  <c r="A1886" i="1"/>
  <c r="J1885" i="1"/>
  <c r="K1885" i="1" s="1"/>
  <c r="L1911" i="1" s="1"/>
  <c r="I1885" i="1"/>
  <c r="E1885" i="1"/>
  <c r="D1885" i="1"/>
  <c r="C1885" i="1"/>
  <c r="B1885" i="1"/>
  <c r="A1885" i="1"/>
  <c r="J1884" i="1"/>
  <c r="K1884" i="1" s="1"/>
  <c r="L1884" i="1" s="1"/>
  <c r="I1884" i="1"/>
  <c r="E1884" i="1"/>
  <c r="D1884" i="1"/>
  <c r="C1884" i="1"/>
  <c r="B1884" i="1"/>
  <c r="A1884" i="1"/>
  <c r="K1883" i="1"/>
  <c r="J1883" i="1"/>
  <c r="I1883" i="1"/>
  <c r="E1883" i="1"/>
  <c r="D1883" i="1"/>
  <c r="C1883" i="1"/>
  <c r="B1883" i="1"/>
  <c r="A1883" i="1"/>
  <c r="J1882" i="1"/>
  <c r="K1882" i="1" s="1"/>
  <c r="I1882" i="1"/>
  <c r="E1882" i="1"/>
  <c r="D1882" i="1"/>
  <c r="C1882" i="1"/>
  <c r="B1882" i="1"/>
  <c r="A1882" i="1"/>
  <c r="J1881" i="1"/>
  <c r="K1881" i="1" s="1"/>
  <c r="L1883" i="1" s="1"/>
  <c r="I1881" i="1"/>
  <c r="E1881" i="1"/>
  <c r="D1881" i="1"/>
  <c r="C1881" i="1"/>
  <c r="B1881" i="1"/>
  <c r="A1881" i="1"/>
  <c r="J1880" i="1"/>
  <c r="K1880" i="1" s="1"/>
  <c r="I1880" i="1"/>
  <c r="E1880" i="1"/>
  <c r="D1880" i="1"/>
  <c r="C1880" i="1"/>
  <c r="B1880" i="1"/>
  <c r="A1880" i="1"/>
  <c r="J1879" i="1"/>
  <c r="K1879" i="1" s="1"/>
  <c r="I1879" i="1"/>
  <c r="E1879" i="1"/>
  <c r="D1879" i="1"/>
  <c r="C1879" i="1"/>
  <c r="B1879" i="1"/>
  <c r="A1879" i="1"/>
  <c r="J1878" i="1"/>
  <c r="K1878" i="1" s="1"/>
  <c r="I1878" i="1"/>
  <c r="E1878" i="1"/>
  <c r="D1878" i="1"/>
  <c r="C1878" i="1"/>
  <c r="B1878" i="1"/>
  <c r="A1878" i="1"/>
  <c r="J1877" i="1"/>
  <c r="K1877" i="1" s="1"/>
  <c r="I1877" i="1"/>
  <c r="E1877" i="1"/>
  <c r="D1877" i="1"/>
  <c r="C1877" i="1"/>
  <c r="B1877" i="1"/>
  <c r="A1877" i="1"/>
  <c r="J1876" i="1"/>
  <c r="I1876" i="1"/>
  <c r="K1876" i="1" s="1"/>
  <c r="E1876" i="1"/>
  <c r="D1876" i="1"/>
  <c r="C1876" i="1"/>
  <c r="B1876" i="1"/>
  <c r="A1876" i="1"/>
  <c r="J1875" i="1"/>
  <c r="K1875" i="1" s="1"/>
  <c r="I1875" i="1"/>
  <c r="E1875" i="1"/>
  <c r="D1875" i="1"/>
  <c r="C1875" i="1"/>
  <c r="B1875" i="1"/>
  <c r="A1875" i="1"/>
  <c r="J1874" i="1"/>
  <c r="K1874" i="1" s="1"/>
  <c r="I1874" i="1"/>
  <c r="E1874" i="1"/>
  <c r="D1874" i="1"/>
  <c r="C1874" i="1"/>
  <c r="B1874" i="1"/>
  <c r="A1874" i="1"/>
  <c r="J1873" i="1"/>
  <c r="K1873" i="1" s="1"/>
  <c r="I1873" i="1"/>
  <c r="E1873" i="1"/>
  <c r="D1873" i="1"/>
  <c r="C1873" i="1"/>
  <c r="B1873" i="1"/>
  <c r="A1873" i="1"/>
  <c r="J1872" i="1"/>
  <c r="I1872" i="1"/>
  <c r="K1872" i="1" s="1"/>
  <c r="E1872" i="1"/>
  <c r="D1872" i="1"/>
  <c r="C1872" i="1"/>
  <c r="B1872" i="1"/>
  <c r="A1872" i="1"/>
  <c r="J1871" i="1"/>
  <c r="K1871" i="1" s="1"/>
  <c r="I1871" i="1"/>
  <c r="E1871" i="1"/>
  <c r="D1871" i="1"/>
  <c r="C1871" i="1"/>
  <c r="B1871" i="1"/>
  <c r="A1871" i="1"/>
  <c r="J1870" i="1"/>
  <c r="K1870" i="1" s="1"/>
  <c r="I1870" i="1"/>
  <c r="E1870" i="1"/>
  <c r="D1870" i="1"/>
  <c r="C1870" i="1"/>
  <c r="B1870" i="1"/>
  <c r="A1870" i="1"/>
  <c r="J1869" i="1"/>
  <c r="I1869" i="1"/>
  <c r="K1869" i="1" s="1"/>
  <c r="J1868" i="1"/>
  <c r="K1868" i="1" s="1"/>
  <c r="I1868" i="1"/>
  <c r="E1868" i="1"/>
  <c r="D1868" i="1"/>
  <c r="C1868" i="1"/>
  <c r="B1868" i="1"/>
  <c r="A1868" i="1"/>
  <c r="J1867" i="1"/>
  <c r="K1867" i="1" s="1"/>
  <c r="L1880" i="1" s="1"/>
  <c r="I1867" i="1"/>
  <c r="E1867" i="1"/>
  <c r="D1867" i="1"/>
  <c r="C1867" i="1"/>
  <c r="B1867" i="1"/>
  <c r="A1867" i="1"/>
  <c r="J1866" i="1"/>
  <c r="K1866" i="1" s="1"/>
  <c r="I1866" i="1"/>
  <c r="E1866" i="1"/>
  <c r="D1866" i="1"/>
  <c r="C1866" i="1"/>
  <c r="B1866" i="1"/>
  <c r="A1866" i="1"/>
  <c r="J1865" i="1"/>
  <c r="K1865" i="1" s="1"/>
  <c r="L1865" i="1" s="1"/>
  <c r="I1865" i="1"/>
  <c r="E1865" i="1"/>
  <c r="D1865" i="1"/>
  <c r="C1865" i="1"/>
  <c r="B1865" i="1"/>
  <c r="A1865" i="1"/>
  <c r="J1864" i="1"/>
  <c r="K1864" i="1" s="1"/>
  <c r="L1864" i="1" s="1"/>
  <c r="I1864" i="1"/>
  <c r="E1864" i="1"/>
  <c r="D1864" i="1"/>
  <c r="C1864" i="1"/>
  <c r="B1864" i="1"/>
  <c r="A1864" i="1"/>
  <c r="J1863" i="1"/>
  <c r="K1863" i="1" s="1"/>
  <c r="I1863" i="1"/>
  <c r="E1863" i="1"/>
  <c r="D1863" i="1"/>
  <c r="C1863" i="1"/>
  <c r="B1863" i="1"/>
  <c r="A1863" i="1"/>
  <c r="J1862" i="1"/>
  <c r="K1862" i="1" s="1"/>
  <c r="I1862" i="1"/>
  <c r="E1862" i="1"/>
  <c r="D1862" i="1"/>
  <c r="C1862" i="1"/>
  <c r="B1862" i="1"/>
  <c r="A1862" i="1"/>
  <c r="J1861" i="1"/>
  <c r="K1861" i="1" s="1"/>
  <c r="I1861" i="1"/>
  <c r="E1861" i="1"/>
  <c r="D1861" i="1"/>
  <c r="C1861" i="1"/>
  <c r="B1861" i="1"/>
  <c r="A1861" i="1"/>
  <c r="J1860" i="1"/>
  <c r="K1860" i="1" s="1"/>
  <c r="I1860" i="1"/>
  <c r="E1860" i="1"/>
  <c r="D1860" i="1"/>
  <c r="C1860" i="1"/>
  <c r="B1860" i="1"/>
  <c r="A1860" i="1"/>
  <c r="J1859" i="1"/>
  <c r="K1859" i="1" s="1"/>
  <c r="I1859" i="1"/>
  <c r="E1859" i="1"/>
  <c r="D1859" i="1"/>
  <c r="C1859" i="1"/>
  <c r="B1859" i="1"/>
  <c r="A1859" i="1"/>
  <c r="J1858" i="1"/>
  <c r="K1858" i="1" s="1"/>
  <c r="I1858" i="1"/>
  <c r="E1858" i="1"/>
  <c r="D1858" i="1"/>
  <c r="C1858" i="1"/>
  <c r="B1858" i="1"/>
  <c r="A1858" i="1"/>
  <c r="J1857" i="1"/>
  <c r="K1857" i="1" s="1"/>
  <c r="I1857" i="1"/>
  <c r="E1857" i="1"/>
  <c r="D1857" i="1"/>
  <c r="C1857" i="1"/>
  <c r="B1857" i="1"/>
  <c r="A1857" i="1"/>
  <c r="J1856" i="1"/>
  <c r="K1856" i="1" s="1"/>
  <c r="I1856" i="1"/>
  <c r="E1856" i="1"/>
  <c r="D1856" i="1"/>
  <c r="C1856" i="1"/>
  <c r="B1856" i="1"/>
  <c r="A1856" i="1"/>
  <c r="J1855" i="1"/>
  <c r="K1855" i="1" s="1"/>
  <c r="I1855" i="1"/>
  <c r="E1855" i="1"/>
  <c r="D1855" i="1"/>
  <c r="C1855" i="1"/>
  <c r="B1855" i="1"/>
  <c r="A1855" i="1"/>
  <c r="J1854" i="1"/>
  <c r="K1854" i="1" s="1"/>
  <c r="I1854" i="1"/>
  <c r="E1854" i="1"/>
  <c r="D1854" i="1"/>
  <c r="C1854" i="1"/>
  <c r="B1854" i="1"/>
  <c r="A1854" i="1"/>
  <c r="J1853" i="1"/>
  <c r="K1853" i="1" s="1"/>
  <c r="I1853" i="1"/>
  <c r="E1853" i="1"/>
  <c r="D1853" i="1"/>
  <c r="C1853" i="1"/>
  <c r="B1853" i="1"/>
  <c r="A1853" i="1"/>
  <c r="J1852" i="1"/>
  <c r="K1852" i="1" s="1"/>
  <c r="I1852" i="1"/>
  <c r="E1852" i="1"/>
  <c r="D1852" i="1"/>
  <c r="C1852" i="1"/>
  <c r="B1852" i="1"/>
  <c r="A1852" i="1"/>
  <c r="J1851" i="1"/>
  <c r="K1851" i="1" s="1"/>
  <c r="I1851" i="1"/>
  <c r="E1851" i="1"/>
  <c r="D1851" i="1"/>
  <c r="C1851" i="1"/>
  <c r="B1851" i="1"/>
  <c r="A1851" i="1"/>
  <c r="J1850" i="1"/>
  <c r="K1850" i="1" s="1"/>
  <c r="I1850" i="1"/>
  <c r="E1850" i="1"/>
  <c r="D1850" i="1"/>
  <c r="C1850" i="1"/>
  <c r="B1850" i="1"/>
  <c r="A1850" i="1"/>
  <c r="J1849" i="1"/>
  <c r="K1849" i="1" s="1"/>
  <c r="I1849" i="1"/>
  <c r="E1849" i="1"/>
  <c r="D1849" i="1"/>
  <c r="C1849" i="1"/>
  <c r="B1849" i="1"/>
  <c r="A1849" i="1"/>
  <c r="J1848" i="1"/>
  <c r="K1848" i="1" s="1"/>
  <c r="I1848" i="1"/>
  <c r="E1848" i="1"/>
  <c r="D1848" i="1"/>
  <c r="C1848" i="1"/>
  <c r="B1848" i="1"/>
  <c r="A1848" i="1"/>
  <c r="J1847" i="1"/>
  <c r="K1847" i="1" s="1"/>
  <c r="L1863" i="1" s="1"/>
  <c r="I1847" i="1"/>
  <c r="E1847" i="1"/>
  <c r="D1847" i="1"/>
  <c r="C1847" i="1"/>
  <c r="B1847" i="1"/>
  <c r="A1847" i="1"/>
  <c r="J1846" i="1"/>
  <c r="K1846" i="1" s="1"/>
  <c r="I1846" i="1"/>
  <c r="E1846" i="1"/>
  <c r="D1846" i="1"/>
  <c r="C1846" i="1"/>
  <c r="B1846" i="1"/>
  <c r="A1846" i="1"/>
  <c r="J1845" i="1"/>
  <c r="K1845" i="1" s="1"/>
  <c r="I1845" i="1"/>
  <c r="E1845" i="1"/>
  <c r="D1845" i="1"/>
  <c r="C1845" i="1"/>
  <c r="B1845" i="1"/>
  <c r="A1845" i="1"/>
  <c r="J1844" i="1"/>
  <c r="K1844" i="1" s="1"/>
  <c r="I1844" i="1"/>
  <c r="E1844" i="1"/>
  <c r="D1844" i="1"/>
  <c r="C1844" i="1"/>
  <c r="B1844" i="1"/>
  <c r="A1844" i="1"/>
  <c r="J1843" i="1"/>
  <c r="K1843" i="1" s="1"/>
  <c r="I1843" i="1"/>
  <c r="E1843" i="1"/>
  <c r="D1843" i="1"/>
  <c r="C1843" i="1"/>
  <c r="B1843" i="1"/>
  <c r="A1843" i="1"/>
  <c r="J1842" i="1"/>
  <c r="K1842" i="1" s="1"/>
  <c r="I1842" i="1"/>
  <c r="E1842" i="1"/>
  <c r="D1842" i="1"/>
  <c r="C1842" i="1"/>
  <c r="B1842" i="1"/>
  <c r="A1842" i="1"/>
  <c r="K1841" i="1"/>
  <c r="L1846" i="1" s="1"/>
  <c r="J1841" i="1"/>
  <c r="I1841" i="1"/>
  <c r="E1841" i="1"/>
  <c r="D1841" i="1"/>
  <c r="C1841" i="1"/>
  <c r="B1841" i="1"/>
  <c r="A1841" i="1"/>
  <c r="J1840" i="1"/>
  <c r="K1840" i="1" s="1"/>
  <c r="L1840" i="1" s="1"/>
  <c r="I1840" i="1"/>
  <c r="E1840" i="1"/>
  <c r="D1840" i="1"/>
  <c r="C1840" i="1"/>
  <c r="B1840" i="1"/>
  <c r="A1840" i="1"/>
  <c r="J1839" i="1"/>
  <c r="K1839" i="1" s="1"/>
  <c r="I1839" i="1"/>
  <c r="E1839" i="1"/>
  <c r="D1839" i="1"/>
  <c r="C1839" i="1"/>
  <c r="B1839" i="1"/>
  <c r="A1839" i="1"/>
  <c r="J1838" i="1"/>
  <c r="K1838" i="1" s="1"/>
  <c r="I1838" i="1"/>
  <c r="E1838" i="1"/>
  <c r="D1838" i="1"/>
  <c r="C1838" i="1"/>
  <c r="B1838" i="1"/>
  <c r="A1838" i="1"/>
  <c r="J1837" i="1"/>
  <c r="K1837" i="1" s="1"/>
  <c r="I1837" i="1"/>
  <c r="E1837" i="1"/>
  <c r="D1837" i="1"/>
  <c r="C1837" i="1"/>
  <c r="B1837" i="1"/>
  <c r="A1837" i="1"/>
  <c r="J1836" i="1"/>
  <c r="K1836" i="1" s="1"/>
  <c r="I1836" i="1"/>
  <c r="E1836" i="1"/>
  <c r="D1836" i="1"/>
  <c r="C1836" i="1"/>
  <c r="B1836" i="1"/>
  <c r="A1836" i="1"/>
  <c r="J1835" i="1"/>
  <c r="K1835" i="1" s="1"/>
  <c r="I1835" i="1"/>
  <c r="E1835" i="1"/>
  <c r="D1835" i="1"/>
  <c r="C1835" i="1"/>
  <c r="B1835" i="1"/>
  <c r="A1835" i="1"/>
  <c r="J1834" i="1"/>
  <c r="K1834" i="1" s="1"/>
  <c r="L1839" i="1" s="1"/>
  <c r="I1834" i="1"/>
  <c r="E1834" i="1"/>
  <c r="D1834" i="1"/>
  <c r="C1834" i="1"/>
  <c r="B1834" i="1"/>
  <c r="A1834" i="1"/>
  <c r="J1833" i="1"/>
  <c r="K1833" i="1" s="1"/>
  <c r="I1833" i="1"/>
  <c r="E1833" i="1"/>
  <c r="D1833" i="1"/>
  <c r="C1833" i="1"/>
  <c r="B1833" i="1"/>
  <c r="A1833" i="1"/>
  <c r="J1832" i="1"/>
  <c r="K1832" i="1" s="1"/>
  <c r="I1832" i="1"/>
  <c r="E1832" i="1"/>
  <c r="D1832" i="1"/>
  <c r="C1832" i="1"/>
  <c r="B1832" i="1"/>
  <c r="A1832" i="1"/>
  <c r="J1831" i="1"/>
  <c r="K1831" i="1" s="1"/>
  <c r="I1831" i="1"/>
  <c r="E1831" i="1"/>
  <c r="D1831" i="1"/>
  <c r="C1831" i="1"/>
  <c r="B1831" i="1"/>
  <c r="A1831" i="1"/>
  <c r="J1830" i="1"/>
  <c r="K1830" i="1" s="1"/>
  <c r="I1830" i="1"/>
  <c r="E1830" i="1"/>
  <c r="D1830" i="1"/>
  <c r="C1830" i="1"/>
  <c r="B1830" i="1"/>
  <c r="A1830" i="1"/>
  <c r="J1829" i="1"/>
  <c r="K1829" i="1" s="1"/>
  <c r="L1833" i="1" s="1"/>
  <c r="I1829" i="1"/>
  <c r="E1829" i="1"/>
  <c r="D1829" i="1"/>
  <c r="C1829" i="1"/>
  <c r="B1829" i="1"/>
  <c r="A1829" i="1"/>
  <c r="J1828" i="1"/>
  <c r="K1828" i="1" s="1"/>
  <c r="I1828" i="1"/>
  <c r="E1828" i="1"/>
  <c r="D1828" i="1"/>
  <c r="C1828" i="1"/>
  <c r="B1828" i="1"/>
  <c r="A1828" i="1"/>
  <c r="J1827" i="1"/>
  <c r="K1827" i="1" s="1"/>
  <c r="L1828" i="1" s="1"/>
  <c r="I1827" i="1"/>
  <c r="E1827" i="1"/>
  <c r="D1827" i="1"/>
  <c r="C1827" i="1"/>
  <c r="B1827" i="1"/>
  <c r="A1827" i="1"/>
  <c r="J1826" i="1"/>
  <c r="K1826" i="1" s="1"/>
  <c r="I1826" i="1"/>
  <c r="E1826" i="1"/>
  <c r="D1826" i="1"/>
  <c r="C1826" i="1"/>
  <c r="B1826" i="1"/>
  <c r="A1826" i="1"/>
  <c r="J1825" i="1"/>
  <c r="K1825" i="1" s="1"/>
  <c r="I1825" i="1"/>
  <c r="E1825" i="1"/>
  <c r="D1825" i="1"/>
  <c r="C1825" i="1"/>
  <c r="B1825" i="1"/>
  <c r="A1825" i="1"/>
  <c r="J1824" i="1"/>
  <c r="K1824" i="1" s="1"/>
  <c r="I1824" i="1"/>
  <c r="E1824" i="1"/>
  <c r="D1824" i="1"/>
  <c r="C1824" i="1"/>
  <c r="B1824" i="1"/>
  <c r="A1824" i="1"/>
  <c r="J1823" i="1"/>
  <c r="K1823" i="1" s="1"/>
  <c r="I1823" i="1"/>
  <c r="E1823" i="1"/>
  <c r="D1823" i="1"/>
  <c r="C1823" i="1"/>
  <c r="B1823" i="1"/>
  <c r="A1823" i="1"/>
  <c r="J1822" i="1"/>
  <c r="K1822" i="1" s="1"/>
  <c r="I1822" i="1"/>
  <c r="E1822" i="1"/>
  <c r="D1822" i="1"/>
  <c r="C1822" i="1"/>
  <c r="B1822" i="1"/>
  <c r="A1822" i="1"/>
  <c r="J1821" i="1"/>
  <c r="K1821" i="1" s="1"/>
  <c r="I1821" i="1"/>
  <c r="E1821" i="1"/>
  <c r="D1821" i="1"/>
  <c r="C1821" i="1"/>
  <c r="B1821" i="1"/>
  <c r="A1821" i="1"/>
  <c r="J1820" i="1"/>
  <c r="K1820" i="1" s="1"/>
  <c r="L1821" i="1" s="1"/>
  <c r="I1820" i="1"/>
  <c r="E1820" i="1"/>
  <c r="D1820" i="1"/>
  <c r="C1820" i="1"/>
  <c r="B1820" i="1"/>
  <c r="A1820" i="1"/>
  <c r="J1819" i="1"/>
  <c r="K1819" i="1" s="1"/>
  <c r="I1819" i="1"/>
  <c r="E1819" i="1"/>
  <c r="D1819" i="1"/>
  <c r="C1819" i="1"/>
  <c r="B1819" i="1"/>
  <c r="A1819" i="1"/>
  <c r="J1818" i="1"/>
  <c r="K1818" i="1" s="1"/>
  <c r="I1818" i="1"/>
  <c r="E1818" i="1"/>
  <c r="D1818" i="1"/>
  <c r="C1818" i="1"/>
  <c r="B1818" i="1"/>
  <c r="A1818" i="1"/>
  <c r="J1817" i="1"/>
  <c r="K1817" i="1" s="1"/>
  <c r="I1817" i="1"/>
  <c r="E1817" i="1"/>
  <c r="D1817" i="1"/>
  <c r="C1817" i="1"/>
  <c r="B1817" i="1"/>
  <c r="A1817" i="1"/>
  <c r="J1816" i="1"/>
  <c r="K1816" i="1" s="1"/>
  <c r="L1819" i="1" s="1"/>
  <c r="I1816" i="1"/>
  <c r="E1816" i="1"/>
  <c r="D1816" i="1"/>
  <c r="C1816" i="1"/>
  <c r="B1816" i="1"/>
  <c r="A1816" i="1"/>
  <c r="J1815" i="1"/>
  <c r="K1815" i="1" s="1"/>
  <c r="I1815" i="1"/>
  <c r="E1815" i="1"/>
  <c r="D1815" i="1"/>
  <c r="C1815" i="1"/>
  <c r="B1815" i="1"/>
  <c r="A1815" i="1"/>
  <c r="J1814" i="1"/>
  <c r="K1814" i="1" s="1"/>
  <c r="I1814" i="1"/>
  <c r="E1814" i="1"/>
  <c r="D1814" i="1"/>
  <c r="C1814" i="1"/>
  <c r="B1814" i="1"/>
  <c r="A1814" i="1"/>
  <c r="J1813" i="1"/>
  <c r="K1813" i="1" s="1"/>
  <c r="I1813" i="1"/>
  <c r="E1813" i="1"/>
  <c r="D1813" i="1"/>
  <c r="C1813" i="1"/>
  <c r="B1813" i="1"/>
  <c r="A1813" i="1"/>
  <c r="J1812" i="1"/>
  <c r="K1812" i="1" s="1"/>
  <c r="I1812" i="1"/>
  <c r="E1812" i="1"/>
  <c r="D1812" i="1"/>
  <c r="C1812" i="1"/>
  <c r="B1812" i="1"/>
  <c r="A1812" i="1"/>
  <c r="J1811" i="1"/>
  <c r="K1811" i="1" s="1"/>
  <c r="I1811" i="1"/>
  <c r="E1811" i="1"/>
  <c r="D1811" i="1"/>
  <c r="C1811" i="1"/>
  <c r="B1811" i="1"/>
  <c r="A1811" i="1"/>
  <c r="K1810" i="1"/>
  <c r="J1810" i="1"/>
  <c r="I1810" i="1"/>
  <c r="E1810" i="1"/>
  <c r="D1810" i="1"/>
  <c r="C1810" i="1"/>
  <c r="B1810" i="1"/>
  <c r="A1810" i="1"/>
  <c r="J1809" i="1"/>
  <c r="K1809" i="1" s="1"/>
  <c r="I1809" i="1"/>
  <c r="E1809" i="1"/>
  <c r="D1809" i="1"/>
  <c r="C1809" i="1"/>
  <c r="B1809" i="1"/>
  <c r="A1809" i="1"/>
  <c r="J1808" i="1"/>
  <c r="K1808" i="1" s="1"/>
  <c r="I1808" i="1"/>
  <c r="E1808" i="1"/>
  <c r="D1808" i="1"/>
  <c r="C1808" i="1"/>
  <c r="B1808" i="1"/>
  <c r="A1808" i="1"/>
  <c r="J1807" i="1"/>
  <c r="K1807" i="1" s="1"/>
  <c r="I1807" i="1"/>
  <c r="E1807" i="1"/>
  <c r="D1807" i="1"/>
  <c r="C1807" i="1"/>
  <c r="B1807" i="1"/>
  <c r="A1807" i="1"/>
  <c r="J1806" i="1"/>
  <c r="K1806" i="1" s="1"/>
  <c r="I1806" i="1"/>
  <c r="E1806" i="1"/>
  <c r="D1806" i="1"/>
  <c r="C1806" i="1"/>
  <c r="B1806" i="1"/>
  <c r="A1806" i="1"/>
  <c r="J1805" i="1"/>
  <c r="K1805" i="1" s="1"/>
  <c r="I1805" i="1"/>
  <c r="E1805" i="1"/>
  <c r="D1805" i="1"/>
  <c r="C1805" i="1"/>
  <c r="B1805" i="1"/>
  <c r="A1805" i="1"/>
  <c r="J1804" i="1"/>
  <c r="K1804" i="1" s="1"/>
  <c r="I1804" i="1"/>
  <c r="E1804" i="1"/>
  <c r="D1804" i="1"/>
  <c r="C1804" i="1"/>
  <c r="B1804" i="1"/>
  <c r="A1804" i="1"/>
  <c r="J1803" i="1"/>
  <c r="K1803" i="1" s="1"/>
  <c r="L1815" i="1" s="1"/>
  <c r="I1803" i="1"/>
  <c r="E1803" i="1"/>
  <c r="D1803" i="1"/>
  <c r="C1803" i="1"/>
  <c r="B1803" i="1"/>
  <c r="A1803" i="1"/>
  <c r="J1802" i="1"/>
  <c r="K1802" i="1" s="1"/>
  <c r="L1802" i="1" s="1"/>
  <c r="I1802" i="1"/>
  <c r="E1802" i="1"/>
  <c r="D1802" i="1"/>
  <c r="C1802" i="1"/>
  <c r="B1802" i="1"/>
  <c r="A1802" i="1"/>
  <c r="J1801" i="1"/>
  <c r="K1801" i="1" s="1"/>
  <c r="I1801" i="1"/>
  <c r="E1801" i="1"/>
  <c r="D1801" i="1"/>
  <c r="C1801" i="1"/>
  <c r="B1801" i="1"/>
  <c r="A1801" i="1"/>
  <c r="J1800" i="1"/>
  <c r="K1800" i="1" s="1"/>
  <c r="I1800" i="1"/>
  <c r="E1800" i="1"/>
  <c r="D1800" i="1"/>
  <c r="C1800" i="1"/>
  <c r="B1800" i="1"/>
  <c r="A1800" i="1"/>
  <c r="J1799" i="1"/>
  <c r="K1799" i="1" s="1"/>
  <c r="I1799" i="1"/>
  <c r="E1799" i="1"/>
  <c r="D1799" i="1"/>
  <c r="C1799" i="1"/>
  <c r="B1799" i="1"/>
  <c r="A1799" i="1"/>
  <c r="J1798" i="1"/>
  <c r="K1798" i="1" s="1"/>
  <c r="I1798" i="1"/>
  <c r="E1798" i="1"/>
  <c r="D1798" i="1"/>
  <c r="C1798" i="1"/>
  <c r="B1798" i="1"/>
  <c r="A1798" i="1"/>
  <c r="J1797" i="1"/>
  <c r="K1797" i="1" s="1"/>
  <c r="I1797" i="1"/>
  <c r="E1797" i="1"/>
  <c r="D1797" i="1"/>
  <c r="C1797" i="1"/>
  <c r="B1797" i="1"/>
  <c r="A1797" i="1"/>
  <c r="J1796" i="1"/>
  <c r="K1796" i="1" s="1"/>
  <c r="I1796" i="1"/>
  <c r="E1796" i="1"/>
  <c r="D1796" i="1"/>
  <c r="C1796" i="1"/>
  <c r="B1796" i="1"/>
  <c r="A1796" i="1"/>
  <c r="J1795" i="1"/>
  <c r="K1795" i="1" s="1"/>
  <c r="I1795" i="1"/>
  <c r="E1795" i="1"/>
  <c r="D1795" i="1"/>
  <c r="C1795" i="1"/>
  <c r="B1795" i="1"/>
  <c r="A1795" i="1"/>
  <c r="J1794" i="1"/>
  <c r="K1794" i="1" s="1"/>
  <c r="I1794" i="1"/>
  <c r="E1794" i="1"/>
  <c r="D1794" i="1"/>
  <c r="C1794" i="1"/>
  <c r="B1794" i="1"/>
  <c r="A1794" i="1"/>
  <c r="J1793" i="1"/>
  <c r="K1793" i="1" s="1"/>
  <c r="I1793" i="1"/>
  <c r="E1793" i="1"/>
  <c r="D1793" i="1"/>
  <c r="C1793" i="1"/>
  <c r="B1793" i="1"/>
  <c r="A1793" i="1"/>
  <c r="J1792" i="1"/>
  <c r="K1792" i="1" s="1"/>
  <c r="I1792" i="1"/>
  <c r="E1792" i="1"/>
  <c r="D1792" i="1"/>
  <c r="C1792" i="1"/>
  <c r="B1792" i="1"/>
  <c r="A1792" i="1"/>
  <c r="J1791" i="1"/>
  <c r="K1791" i="1" s="1"/>
  <c r="I1791" i="1"/>
  <c r="E1791" i="1"/>
  <c r="D1791" i="1"/>
  <c r="C1791" i="1"/>
  <c r="B1791" i="1"/>
  <c r="A1791" i="1"/>
  <c r="J1790" i="1"/>
  <c r="K1790" i="1" s="1"/>
  <c r="I1790" i="1"/>
  <c r="E1790" i="1"/>
  <c r="D1790" i="1"/>
  <c r="C1790" i="1"/>
  <c r="B1790" i="1"/>
  <c r="A1790" i="1"/>
  <c r="J1789" i="1"/>
  <c r="K1789" i="1" s="1"/>
  <c r="I1789" i="1"/>
  <c r="E1789" i="1"/>
  <c r="D1789" i="1"/>
  <c r="C1789" i="1"/>
  <c r="B1789" i="1"/>
  <c r="A1789" i="1"/>
  <c r="J1788" i="1"/>
  <c r="K1788" i="1" s="1"/>
  <c r="I1788" i="1"/>
  <c r="E1788" i="1"/>
  <c r="D1788" i="1"/>
  <c r="C1788" i="1"/>
  <c r="B1788" i="1"/>
  <c r="A1788" i="1"/>
  <c r="J1787" i="1"/>
  <c r="K1787" i="1" s="1"/>
  <c r="I1787" i="1"/>
  <c r="E1787" i="1"/>
  <c r="D1787" i="1"/>
  <c r="C1787" i="1"/>
  <c r="B1787" i="1"/>
  <c r="A1787" i="1"/>
  <c r="J1786" i="1"/>
  <c r="K1786" i="1" s="1"/>
  <c r="I1786" i="1"/>
  <c r="E1786" i="1"/>
  <c r="D1786" i="1"/>
  <c r="C1786" i="1"/>
  <c r="B1786" i="1"/>
  <c r="A1786" i="1"/>
  <c r="J1785" i="1"/>
  <c r="K1785" i="1" s="1"/>
  <c r="L1800" i="1" s="1"/>
  <c r="I1785" i="1"/>
  <c r="E1785" i="1"/>
  <c r="D1785" i="1"/>
  <c r="C1785" i="1"/>
  <c r="B1785" i="1"/>
  <c r="A1785" i="1"/>
  <c r="J1784" i="1"/>
  <c r="K1784" i="1" s="1"/>
  <c r="L1784" i="1" s="1"/>
  <c r="I1784" i="1"/>
  <c r="E1784" i="1"/>
  <c r="D1784" i="1"/>
  <c r="C1784" i="1"/>
  <c r="B1784" i="1"/>
  <c r="A1784" i="1"/>
  <c r="J1783" i="1"/>
  <c r="K1783" i="1" s="1"/>
  <c r="I1783" i="1"/>
  <c r="E1783" i="1"/>
  <c r="D1783" i="1"/>
  <c r="C1783" i="1"/>
  <c r="B1783" i="1"/>
  <c r="A1783" i="1"/>
  <c r="J1782" i="1"/>
  <c r="K1782" i="1" s="1"/>
  <c r="I1782" i="1"/>
  <c r="E1782" i="1"/>
  <c r="D1782" i="1"/>
  <c r="C1782" i="1"/>
  <c r="B1782" i="1"/>
  <c r="A1782" i="1"/>
  <c r="J1781" i="1"/>
  <c r="K1781" i="1" s="1"/>
  <c r="I1781" i="1"/>
  <c r="E1781" i="1"/>
  <c r="D1781" i="1"/>
  <c r="C1781" i="1"/>
  <c r="B1781" i="1"/>
  <c r="A1781" i="1"/>
  <c r="K1780" i="1"/>
  <c r="J1780" i="1"/>
  <c r="I1780" i="1"/>
  <c r="E1780" i="1"/>
  <c r="D1780" i="1"/>
  <c r="C1780" i="1"/>
  <c r="B1780" i="1"/>
  <c r="A1780" i="1"/>
  <c r="J1779" i="1"/>
  <c r="K1779" i="1" s="1"/>
  <c r="I1779" i="1"/>
  <c r="E1779" i="1"/>
  <c r="D1779" i="1"/>
  <c r="C1779" i="1"/>
  <c r="B1779" i="1"/>
  <c r="A1779" i="1"/>
  <c r="J1778" i="1"/>
  <c r="K1778" i="1" s="1"/>
  <c r="I1778" i="1"/>
  <c r="E1778" i="1"/>
  <c r="D1778" i="1"/>
  <c r="C1778" i="1"/>
  <c r="B1778" i="1"/>
  <c r="A1778" i="1"/>
  <c r="J1777" i="1"/>
  <c r="K1777" i="1" s="1"/>
  <c r="I1777" i="1"/>
  <c r="E1777" i="1"/>
  <c r="D1777" i="1"/>
  <c r="C1777" i="1"/>
  <c r="B1777" i="1"/>
  <c r="A1777" i="1"/>
  <c r="J1776" i="1"/>
  <c r="K1776" i="1" s="1"/>
  <c r="I1776" i="1"/>
  <c r="E1776" i="1"/>
  <c r="D1776" i="1"/>
  <c r="C1776" i="1"/>
  <c r="B1776" i="1"/>
  <c r="A1776" i="1"/>
  <c r="J1775" i="1"/>
  <c r="K1775" i="1" s="1"/>
  <c r="L1783" i="1" s="1"/>
  <c r="I1775" i="1"/>
  <c r="E1775" i="1"/>
  <c r="D1775" i="1"/>
  <c r="C1775" i="1"/>
  <c r="B1775" i="1"/>
  <c r="A1775" i="1"/>
  <c r="J1774" i="1"/>
  <c r="K1774" i="1" s="1"/>
  <c r="L1774" i="1" s="1"/>
  <c r="I1774" i="1"/>
  <c r="E1774" i="1"/>
  <c r="D1774" i="1"/>
  <c r="C1774" i="1"/>
  <c r="B1774" i="1"/>
  <c r="A1774" i="1"/>
  <c r="J1773" i="1"/>
  <c r="K1773" i="1" s="1"/>
  <c r="I1773" i="1"/>
  <c r="E1773" i="1"/>
  <c r="D1773" i="1"/>
  <c r="C1773" i="1"/>
  <c r="B1773" i="1"/>
  <c r="A1773" i="1"/>
  <c r="J1772" i="1"/>
  <c r="K1772" i="1" s="1"/>
  <c r="I1772" i="1"/>
  <c r="E1772" i="1"/>
  <c r="D1772" i="1"/>
  <c r="C1772" i="1"/>
  <c r="B1772" i="1"/>
  <c r="A1772" i="1"/>
  <c r="J1771" i="1"/>
  <c r="K1771" i="1" s="1"/>
  <c r="L1772" i="1" s="1"/>
  <c r="I1771" i="1"/>
  <c r="E1771" i="1"/>
  <c r="D1771" i="1"/>
  <c r="C1771" i="1"/>
  <c r="B1771" i="1"/>
  <c r="A1771" i="1"/>
  <c r="J1770" i="1"/>
  <c r="K1770" i="1" s="1"/>
  <c r="I1770" i="1"/>
  <c r="E1770" i="1"/>
  <c r="D1770" i="1"/>
  <c r="C1770" i="1"/>
  <c r="B1770" i="1"/>
  <c r="A1770" i="1"/>
  <c r="J1769" i="1"/>
  <c r="K1769" i="1" s="1"/>
  <c r="I1769" i="1"/>
  <c r="E1769" i="1"/>
  <c r="D1769" i="1"/>
  <c r="C1769" i="1"/>
  <c r="B1769" i="1"/>
  <c r="A1769" i="1"/>
  <c r="J1768" i="1"/>
  <c r="K1768" i="1" s="1"/>
  <c r="I1768" i="1"/>
  <c r="E1768" i="1"/>
  <c r="D1768" i="1"/>
  <c r="C1768" i="1"/>
  <c r="B1768" i="1"/>
  <c r="A1768" i="1"/>
  <c r="J1767" i="1"/>
  <c r="K1767" i="1" s="1"/>
  <c r="I1767" i="1"/>
  <c r="E1767" i="1"/>
  <c r="D1767" i="1"/>
  <c r="C1767" i="1"/>
  <c r="B1767" i="1"/>
  <c r="A1767" i="1"/>
  <c r="J1766" i="1"/>
  <c r="K1766" i="1" s="1"/>
  <c r="I1766" i="1"/>
  <c r="E1766" i="1"/>
  <c r="D1766" i="1"/>
  <c r="C1766" i="1"/>
  <c r="B1766" i="1"/>
  <c r="A1766" i="1"/>
  <c r="J1765" i="1"/>
  <c r="K1765" i="1" s="1"/>
  <c r="I1765" i="1"/>
  <c r="E1765" i="1"/>
  <c r="D1765" i="1"/>
  <c r="C1765" i="1"/>
  <c r="B1765" i="1"/>
  <c r="A1765" i="1"/>
  <c r="J1764" i="1"/>
  <c r="K1764" i="1" s="1"/>
  <c r="I1764" i="1"/>
  <c r="E1764" i="1"/>
  <c r="D1764" i="1"/>
  <c r="C1764" i="1"/>
  <c r="B1764" i="1"/>
  <c r="A1764" i="1"/>
  <c r="J1763" i="1"/>
  <c r="K1763" i="1" s="1"/>
  <c r="I1763" i="1"/>
  <c r="E1763" i="1"/>
  <c r="D1763" i="1"/>
  <c r="C1763" i="1"/>
  <c r="B1763" i="1"/>
  <c r="A1763" i="1"/>
  <c r="K1762" i="1"/>
  <c r="L1770" i="1" s="1"/>
  <c r="J1762" i="1"/>
  <c r="I1762" i="1"/>
  <c r="E1762" i="1"/>
  <c r="D1762" i="1"/>
  <c r="C1762" i="1"/>
  <c r="B1762" i="1"/>
  <c r="A1762" i="1"/>
  <c r="J1761" i="1"/>
  <c r="K1761" i="1" s="1"/>
  <c r="I1761" i="1"/>
  <c r="E1761" i="1"/>
  <c r="D1761" i="1"/>
  <c r="C1761" i="1"/>
  <c r="B1761" i="1"/>
  <c r="A1761" i="1"/>
  <c r="J1760" i="1"/>
  <c r="K1760" i="1" s="1"/>
  <c r="I1760" i="1"/>
  <c r="E1760" i="1"/>
  <c r="D1760" i="1"/>
  <c r="C1760" i="1"/>
  <c r="B1760" i="1"/>
  <c r="A1760" i="1"/>
  <c r="J1759" i="1"/>
  <c r="K1759" i="1" s="1"/>
  <c r="I1759" i="1"/>
  <c r="E1759" i="1"/>
  <c r="D1759" i="1"/>
  <c r="C1759" i="1"/>
  <c r="B1759" i="1"/>
  <c r="A1759" i="1"/>
  <c r="J1758" i="1"/>
  <c r="K1758" i="1" s="1"/>
  <c r="I1758" i="1"/>
  <c r="E1758" i="1"/>
  <c r="D1758" i="1"/>
  <c r="C1758" i="1"/>
  <c r="B1758" i="1"/>
  <c r="A1758" i="1"/>
  <c r="J1757" i="1"/>
  <c r="K1757" i="1" s="1"/>
  <c r="I1757" i="1"/>
  <c r="E1757" i="1"/>
  <c r="D1757" i="1"/>
  <c r="C1757" i="1"/>
  <c r="B1757" i="1"/>
  <c r="A1757" i="1"/>
  <c r="J1756" i="1"/>
  <c r="K1756" i="1" s="1"/>
  <c r="I1756" i="1"/>
  <c r="E1756" i="1"/>
  <c r="D1756" i="1"/>
  <c r="C1756" i="1"/>
  <c r="B1756" i="1"/>
  <c r="A1756" i="1"/>
  <c r="J1755" i="1"/>
  <c r="K1755" i="1" s="1"/>
  <c r="I1755" i="1"/>
  <c r="E1755" i="1"/>
  <c r="D1755" i="1"/>
  <c r="C1755" i="1"/>
  <c r="B1755" i="1"/>
  <c r="A1755" i="1"/>
  <c r="J1754" i="1"/>
  <c r="K1754" i="1" s="1"/>
  <c r="I1754" i="1"/>
  <c r="E1754" i="1"/>
  <c r="D1754" i="1"/>
  <c r="C1754" i="1"/>
  <c r="B1754" i="1"/>
  <c r="A1754" i="1"/>
  <c r="J1753" i="1"/>
  <c r="K1753" i="1" s="1"/>
  <c r="I1753" i="1"/>
  <c r="E1753" i="1"/>
  <c r="D1753" i="1"/>
  <c r="C1753" i="1"/>
  <c r="B1753" i="1"/>
  <c r="A1753" i="1"/>
  <c r="J1752" i="1"/>
  <c r="K1752" i="1" s="1"/>
  <c r="I1752" i="1"/>
  <c r="E1752" i="1"/>
  <c r="D1752" i="1"/>
  <c r="C1752" i="1"/>
  <c r="B1752" i="1"/>
  <c r="A1752" i="1"/>
  <c r="J1751" i="1"/>
  <c r="K1751" i="1" s="1"/>
  <c r="I1751" i="1"/>
  <c r="E1751" i="1"/>
  <c r="D1751" i="1"/>
  <c r="C1751" i="1"/>
  <c r="B1751" i="1"/>
  <c r="A1751" i="1"/>
  <c r="J1750" i="1"/>
  <c r="K1750" i="1" s="1"/>
  <c r="I1750" i="1"/>
  <c r="E1750" i="1"/>
  <c r="D1750" i="1"/>
  <c r="C1750" i="1"/>
  <c r="B1750" i="1"/>
  <c r="A1750" i="1"/>
  <c r="J1749" i="1"/>
  <c r="K1749" i="1" s="1"/>
  <c r="I1749" i="1"/>
  <c r="E1749" i="1"/>
  <c r="D1749" i="1"/>
  <c r="C1749" i="1"/>
  <c r="B1749" i="1"/>
  <c r="A1749" i="1"/>
  <c r="J1748" i="1"/>
  <c r="K1748" i="1" s="1"/>
  <c r="I1748" i="1"/>
  <c r="E1748" i="1"/>
  <c r="D1748" i="1"/>
  <c r="C1748" i="1"/>
  <c r="B1748" i="1"/>
  <c r="A1748" i="1"/>
  <c r="J1747" i="1"/>
  <c r="K1747" i="1" s="1"/>
  <c r="I1747" i="1"/>
  <c r="E1747" i="1"/>
  <c r="D1747" i="1"/>
  <c r="C1747" i="1"/>
  <c r="B1747" i="1"/>
  <c r="A1747" i="1"/>
  <c r="J1746" i="1"/>
  <c r="K1746" i="1" s="1"/>
  <c r="I1746" i="1"/>
  <c r="E1746" i="1"/>
  <c r="D1746" i="1"/>
  <c r="C1746" i="1"/>
  <c r="B1746" i="1"/>
  <c r="A1746" i="1"/>
  <c r="J1745" i="1"/>
  <c r="K1745" i="1" s="1"/>
  <c r="L1761" i="1" s="1"/>
  <c r="I1745" i="1"/>
  <c r="E1745" i="1"/>
  <c r="D1745" i="1"/>
  <c r="C1745" i="1"/>
  <c r="B1745" i="1"/>
  <c r="A1745" i="1"/>
  <c r="J1744" i="1"/>
  <c r="K1744" i="1" s="1"/>
  <c r="I1744" i="1"/>
  <c r="E1744" i="1"/>
  <c r="D1744" i="1"/>
  <c r="C1744" i="1"/>
  <c r="B1744" i="1"/>
  <c r="A1744" i="1"/>
  <c r="J1743" i="1"/>
  <c r="K1743" i="1" s="1"/>
  <c r="I1743" i="1"/>
  <c r="E1743" i="1"/>
  <c r="D1743" i="1"/>
  <c r="C1743" i="1"/>
  <c r="B1743" i="1"/>
  <c r="A1743" i="1"/>
  <c r="J1742" i="1"/>
  <c r="K1742" i="1" s="1"/>
  <c r="I1742" i="1"/>
  <c r="E1742" i="1"/>
  <c r="D1742" i="1"/>
  <c r="C1742" i="1"/>
  <c r="B1742" i="1"/>
  <c r="A1742" i="1"/>
  <c r="J1741" i="1"/>
  <c r="K1741" i="1" s="1"/>
  <c r="L1744" i="1" s="1"/>
  <c r="I1741" i="1"/>
  <c r="E1741" i="1"/>
  <c r="D1741" i="1"/>
  <c r="C1741" i="1"/>
  <c r="B1741" i="1"/>
  <c r="A1741" i="1"/>
  <c r="J1740" i="1"/>
  <c r="K1740" i="1" s="1"/>
  <c r="I1740" i="1"/>
  <c r="E1740" i="1"/>
  <c r="D1740" i="1"/>
  <c r="C1740" i="1"/>
  <c r="B1740" i="1"/>
  <c r="A1740" i="1"/>
  <c r="J1739" i="1"/>
  <c r="K1739" i="1" s="1"/>
  <c r="I1739" i="1"/>
  <c r="E1739" i="1"/>
  <c r="D1739" i="1"/>
  <c r="C1739" i="1"/>
  <c r="B1739" i="1"/>
  <c r="A1739" i="1"/>
  <c r="J1738" i="1"/>
  <c r="I1738" i="1"/>
  <c r="K1738" i="1" s="1"/>
  <c r="E1738" i="1"/>
  <c r="D1738" i="1"/>
  <c r="C1738" i="1"/>
  <c r="B1738" i="1"/>
  <c r="A1738" i="1"/>
  <c r="J1737" i="1"/>
  <c r="K1737" i="1" s="1"/>
  <c r="I1737" i="1"/>
  <c r="E1737" i="1"/>
  <c r="D1737" i="1"/>
  <c r="C1737" i="1"/>
  <c r="B1737" i="1"/>
  <c r="A1737" i="1"/>
  <c r="J1736" i="1"/>
  <c r="K1736" i="1" s="1"/>
  <c r="I1736" i="1"/>
  <c r="E1736" i="1"/>
  <c r="D1736" i="1"/>
  <c r="C1736" i="1"/>
  <c r="B1736" i="1"/>
  <c r="A1736" i="1"/>
  <c r="J1735" i="1"/>
  <c r="K1735" i="1" s="1"/>
  <c r="I1735" i="1"/>
  <c r="E1735" i="1"/>
  <c r="D1735" i="1"/>
  <c r="C1735" i="1"/>
  <c r="B1735" i="1"/>
  <c r="A1735" i="1"/>
  <c r="J1734" i="1"/>
  <c r="K1734" i="1" s="1"/>
  <c r="I1734" i="1"/>
  <c r="E1734" i="1"/>
  <c r="D1734" i="1"/>
  <c r="C1734" i="1"/>
  <c r="B1734" i="1"/>
  <c r="A1734" i="1"/>
  <c r="J1733" i="1"/>
  <c r="K1733" i="1" s="1"/>
  <c r="I1733" i="1"/>
  <c r="E1733" i="1"/>
  <c r="D1733" i="1"/>
  <c r="C1733" i="1"/>
  <c r="B1733" i="1"/>
  <c r="A1733" i="1"/>
  <c r="J1732" i="1"/>
  <c r="K1732" i="1" s="1"/>
  <c r="I1732" i="1"/>
  <c r="E1732" i="1"/>
  <c r="D1732" i="1"/>
  <c r="C1732" i="1"/>
  <c r="B1732" i="1"/>
  <c r="A1732" i="1"/>
  <c r="J1731" i="1"/>
  <c r="K1731" i="1" s="1"/>
  <c r="I1731" i="1"/>
  <c r="E1731" i="1"/>
  <c r="D1731" i="1"/>
  <c r="C1731" i="1"/>
  <c r="B1731" i="1"/>
  <c r="A1731" i="1"/>
  <c r="J1730" i="1"/>
  <c r="K1730" i="1" s="1"/>
  <c r="I1730" i="1"/>
  <c r="E1730" i="1"/>
  <c r="D1730" i="1"/>
  <c r="C1730" i="1"/>
  <c r="B1730" i="1"/>
  <c r="A1730" i="1"/>
  <c r="J1729" i="1"/>
  <c r="K1729" i="1" s="1"/>
  <c r="I1729" i="1"/>
  <c r="E1729" i="1"/>
  <c r="D1729" i="1"/>
  <c r="C1729" i="1"/>
  <c r="B1729" i="1"/>
  <c r="A1729" i="1"/>
  <c r="J1728" i="1"/>
  <c r="K1728" i="1" s="1"/>
  <c r="I1728" i="1"/>
  <c r="E1728" i="1"/>
  <c r="D1728" i="1"/>
  <c r="C1728" i="1"/>
  <c r="B1728" i="1"/>
  <c r="A1728" i="1"/>
  <c r="J1727" i="1"/>
  <c r="K1727" i="1" s="1"/>
  <c r="I1727" i="1"/>
  <c r="E1727" i="1"/>
  <c r="D1727" i="1"/>
  <c r="C1727" i="1"/>
  <c r="B1727" i="1"/>
  <c r="A1727" i="1"/>
  <c r="J1726" i="1"/>
  <c r="K1726" i="1" s="1"/>
  <c r="I1726" i="1"/>
  <c r="E1726" i="1"/>
  <c r="D1726" i="1"/>
  <c r="C1726" i="1"/>
  <c r="B1726" i="1"/>
  <c r="A1726" i="1"/>
  <c r="J1725" i="1"/>
  <c r="K1725" i="1" s="1"/>
  <c r="I1725" i="1"/>
  <c r="E1725" i="1"/>
  <c r="D1725" i="1"/>
  <c r="C1725" i="1"/>
  <c r="B1725" i="1"/>
  <c r="A1725" i="1"/>
  <c r="J1724" i="1"/>
  <c r="K1724" i="1" s="1"/>
  <c r="I1724" i="1"/>
  <c r="E1724" i="1"/>
  <c r="D1724" i="1"/>
  <c r="C1724" i="1"/>
  <c r="B1724" i="1"/>
  <c r="A1724" i="1"/>
  <c r="J1723" i="1"/>
  <c r="K1723" i="1" s="1"/>
  <c r="I1723" i="1"/>
  <c r="E1723" i="1"/>
  <c r="D1723" i="1"/>
  <c r="C1723" i="1"/>
  <c r="B1723" i="1"/>
  <c r="A1723" i="1"/>
  <c r="J1722" i="1"/>
  <c r="K1722" i="1" s="1"/>
  <c r="I1722" i="1"/>
  <c r="E1722" i="1"/>
  <c r="D1722" i="1"/>
  <c r="C1722" i="1"/>
  <c r="B1722" i="1"/>
  <c r="A1722" i="1"/>
  <c r="J1721" i="1"/>
  <c r="K1721" i="1" s="1"/>
  <c r="I1721" i="1"/>
  <c r="E1721" i="1"/>
  <c r="D1721" i="1"/>
  <c r="C1721" i="1"/>
  <c r="B1721" i="1"/>
  <c r="A1721" i="1"/>
  <c r="J1720" i="1"/>
  <c r="K1720" i="1" s="1"/>
  <c r="I1720" i="1"/>
  <c r="E1720" i="1"/>
  <c r="D1720" i="1"/>
  <c r="C1720" i="1"/>
  <c r="B1720" i="1"/>
  <c r="A1720" i="1"/>
  <c r="J1719" i="1"/>
  <c r="K1719" i="1" s="1"/>
  <c r="I1719" i="1"/>
  <c r="E1719" i="1"/>
  <c r="D1719" i="1"/>
  <c r="C1719" i="1"/>
  <c r="B1719" i="1"/>
  <c r="A1719" i="1"/>
  <c r="J1718" i="1"/>
  <c r="K1718" i="1" s="1"/>
  <c r="I1718" i="1"/>
  <c r="E1718" i="1"/>
  <c r="D1718" i="1"/>
  <c r="C1718" i="1"/>
  <c r="B1718" i="1"/>
  <c r="A1718" i="1"/>
  <c r="J1717" i="1"/>
  <c r="K1717" i="1" s="1"/>
  <c r="I1717" i="1"/>
  <c r="E1717" i="1"/>
  <c r="D1717" i="1"/>
  <c r="C1717" i="1"/>
  <c r="B1717" i="1"/>
  <c r="A1717" i="1"/>
  <c r="J1716" i="1"/>
  <c r="K1716" i="1" s="1"/>
  <c r="I1716" i="1"/>
  <c r="E1716" i="1"/>
  <c r="D1716" i="1"/>
  <c r="C1716" i="1"/>
  <c r="B1716" i="1"/>
  <c r="A1716" i="1"/>
  <c r="J1715" i="1"/>
  <c r="K1715" i="1" s="1"/>
  <c r="I1715" i="1"/>
  <c r="E1715" i="1"/>
  <c r="D1715" i="1"/>
  <c r="C1715" i="1"/>
  <c r="B1715" i="1"/>
  <c r="A1715" i="1"/>
  <c r="J1714" i="1"/>
  <c r="K1714" i="1" s="1"/>
  <c r="I1714" i="1"/>
  <c r="E1714" i="1"/>
  <c r="D1714" i="1"/>
  <c r="C1714" i="1"/>
  <c r="B1714" i="1"/>
  <c r="A1714" i="1"/>
  <c r="J1713" i="1"/>
  <c r="K1713" i="1" s="1"/>
  <c r="I1713" i="1"/>
  <c r="E1713" i="1"/>
  <c r="D1713" i="1"/>
  <c r="C1713" i="1"/>
  <c r="B1713" i="1"/>
  <c r="A1713" i="1"/>
  <c r="J1712" i="1"/>
  <c r="K1712" i="1" s="1"/>
  <c r="I1712" i="1"/>
  <c r="E1712" i="1"/>
  <c r="D1712" i="1"/>
  <c r="C1712" i="1"/>
  <c r="B1712" i="1"/>
  <c r="A1712" i="1"/>
  <c r="J1711" i="1"/>
  <c r="K1711" i="1" s="1"/>
  <c r="I1711" i="1"/>
  <c r="E1711" i="1"/>
  <c r="D1711" i="1"/>
  <c r="C1711" i="1"/>
  <c r="B1711" i="1"/>
  <c r="A1711" i="1"/>
  <c r="J1710" i="1"/>
  <c r="K1710" i="1" s="1"/>
  <c r="I1710" i="1"/>
  <c r="E1710" i="1"/>
  <c r="D1710" i="1"/>
  <c r="C1710" i="1"/>
  <c r="B1710" i="1"/>
  <c r="A1710" i="1"/>
  <c r="J1709" i="1"/>
  <c r="K1709" i="1" s="1"/>
  <c r="I1709" i="1"/>
  <c r="E1709" i="1"/>
  <c r="D1709" i="1"/>
  <c r="C1709" i="1"/>
  <c r="B1709" i="1"/>
  <c r="A1709" i="1"/>
  <c r="J1708" i="1"/>
  <c r="K1708" i="1" s="1"/>
  <c r="I1708" i="1"/>
  <c r="E1708" i="1"/>
  <c r="D1708" i="1"/>
  <c r="C1708" i="1"/>
  <c r="B1708" i="1"/>
  <c r="A1708" i="1"/>
  <c r="J1707" i="1"/>
  <c r="K1707" i="1" s="1"/>
  <c r="I1707" i="1"/>
  <c r="E1707" i="1"/>
  <c r="D1707" i="1"/>
  <c r="C1707" i="1"/>
  <c r="B1707" i="1"/>
  <c r="A1707" i="1"/>
  <c r="J1706" i="1"/>
  <c r="K1706" i="1" s="1"/>
  <c r="I1706" i="1"/>
  <c r="E1706" i="1"/>
  <c r="D1706" i="1"/>
  <c r="C1706" i="1"/>
  <c r="B1706" i="1"/>
  <c r="A1706" i="1"/>
  <c r="J1705" i="1"/>
  <c r="K1705" i="1" s="1"/>
  <c r="I1705" i="1"/>
  <c r="E1705" i="1"/>
  <c r="D1705" i="1"/>
  <c r="C1705" i="1"/>
  <c r="B1705" i="1"/>
  <c r="A1705" i="1"/>
  <c r="J1704" i="1"/>
  <c r="K1704" i="1" s="1"/>
  <c r="I1704" i="1"/>
  <c r="E1704" i="1"/>
  <c r="D1704" i="1"/>
  <c r="C1704" i="1"/>
  <c r="B1704" i="1"/>
  <c r="A1704" i="1"/>
  <c r="J1703" i="1"/>
  <c r="K1703" i="1" s="1"/>
  <c r="I1703" i="1"/>
  <c r="E1703" i="1"/>
  <c r="D1703" i="1"/>
  <c r="C1703" i="1"/>
  <c r="B1703" i="1"/>
  <c r="A1703" i="1"/>
  <c r="J1702" i="1"/>
  <c r="K1702" i="1" s="1"/>
  <c r="I1702" i="1"/>
  <c r="E1702" i="1"/>
  <c r="D1702" i="1"/>
  <c r="C1702" i="1"/>
  <c r="B1702" i="1"/>
  <c r="A1702" i="1"/>
  <c r="J1701" i="1"/>
  <c r="K1701" i="1" s="1"/>
  <c r="I1701" i="1"/>
  <c r="E1701" i="1"/>
  <c r="D1701" i="1"/>
  <c r="C1701" i="1"/>
  <c r="B1701" i="1"/>
  <c r="A1701" i="1"/>
  <c r="J1700" i="1"/>
  <c r="K1700" i="1" s="1"/>
  <c r="I1700" i="1"/>
  <c r="E1700" i="1"/>
  <c r="D1700" i="1"/>
  <c r="C1700" i="1"/>
  <c r="B1700" i="1"/>
  <c r="A1700" i="1"/>
  <c r="J1699" i="1"/>
  <c r="K1699" i="1" s="1"/>
  <c r="I1699" i="1"/>
  <c r="E1699" i="1"/>
  <c r="D1699" i="1"/>
  <c r="C1699" i="1"/>
  <c r="B1699" i="1"/>
  <c r="A1699" i="1"/>
  <c r="J1698" i="1"/>
  <c r="K1698" i="1" s="1"/>
  <c r="I1698" i="1"/>
  <c r="E1698" i="1"/>
  <c r="D1698" i="1"/>
  <c r="C1698" i="1"/>
  <c r="B1698" i="1"/>
  <c r="A1698" i="1"/>
  <c r="K1697" i="1"/>
  <c r="J1697" i="1"/>
  <c r="I1697" i="1"/>
  <c r="E1697" i="1"/>
  <c r="D1697" i="1"/>
  <c r="C1697" i="1"/>
  <c r="B1697" i="1"/>
  <c r="A1697" i="1"/>
  <c r="J1696" i="1"/>
  <c r="K1696" i="1" s="1"/>
  <c r="I1696" i="1"/>
  <c r="E1696" i="1"/>
  <c r="D1696" i="1"/>
  <c r="C1696" i="1"/>
  <c r="B1696" i="1"/>
  <c r="A1696" i="1"/>
  <c r="J1695" i="1"/>
  <c r="K1695" i="1" s="1"/>
  <c r="I1695" i="1"/>
  <c r="E1695" i="1"/>
  <c r="D1695" i="1"/>
  <c r="C1695" i="1"/>
  <c r="B1695" i="1"/>
  <c r="A1695" i="1"/>
  <c r="J1694" i="1"/>
  <c r="K1694" i="1" s="1"/>
  <c r="I1694" i="1"/>
  <c r="E1694" i="1"/>
  <c r="D1694" i="1"/>
  <c r="C1694" i="1"/>
  <c r="B1694" i="1"/>
  <c r="A1694" i="1"/>
  <c r="J1693" i="1"/>
  <c r="K1693" i="1" s="1"/>
  <c r="I1693" i="1"/>
  <c r="E1693" i="1"/>
  <c r="D1693" i="1"/>
  <c r="C1693" i="1"/>
  <c r="B1693" i="1"/>
  <c r="A1693" i="1"/>
  <c r="J1692" i="1"/>
  <c r="K1692" i="1" s="1"/>
  <c r="I1692" i="1"/>
  <c r="E1692" i="1"/>
  <c r="D1692" i="1"/>
  <c r="C1692" i="1"/>
  <c r="B1692" i="1"/>
  <c r="A1692" i="1"/>
  <c r="J1691" i="1"/>
  <c r="K1691" i="1" s="1"/>
  <c r="I1691" i="1"/>
  <c r="E1691" i="1"/>
  <c r="D1691" i="1"/>
  <c r="C1691" i="1"/>
  <c r="B1691" i="1"/>
  <c r="A1691" i="1"/>
  <c r="J1690" i="1"/>
  <c r="K1690" i="1" s="1"/>
  <c r="I1690" i="1"/>
  <c r="E1690" i="1"/>
  <c r="D1690" i="1"/>
  <c r="C1690" i="1"/>
  <c r="B1690" i="1"/>
  <c r="A1690" i="1"/>
  <c r="J1689" i="1"/>
  <c r="K1689" i="1" s="1"/>
  <c r="I1689" i="1"/>
  <c r="E1689" i="1"/>
  <c r="D1689" i="1"/>
  <c r="C1689" i="1"/>
  <c r="B1689" i="1"/>
  <c r="A1689" i="1"/>
  <c r="J1688" i="1"/>
  <c r="K1688" i="1" s="1"/>
  <c r="I1688" i="1"/>
  <c r="E1688" i="1"/>
  <c r="D1688" i="1"/>
  <c r="C1688" i="1"/>
  <c r="B1688" i="1"/>
  <c r="A1688" i="1"/>
  <c r="J1687" i="1"/>
  <c r="K1687" i="1" s="1"/>
  <c r="I1687" i="1"/>
  <c r="E1687" i="1"/>
  <c r="D1687" i="1"/>
  <c r="C1687" i="1"/>
  <c r="B1687" i="1"/>
  <c r="A1687" i="1"/>
  <c r="J1686" i="1"/>
  <c r="K1686" i="1" s="1"/>
  <c r="I1686" i="1"/>
  <c r="E1686" i="1"/>
  <c r="D1686" i="1"/>
  <c r="C1686" i="1"/>
  <c r="B1686" i="1"/>
  <c r="A1686" i="1"/>
  <c r="J1685" i="1"/>
  <c r="K1685" i="1" s="1"/>
  <c r="I1685" i="1"/>
  <c r="E1685" i="1"/>
  <c r="D1685" i="1"/>
  <c r="C1685" i="1"/>
  <c r="B1685" i="1"/>
  <c r="A1685" i="1"/>
  <c r="J1684" i="1"/>
  <c r="K1684" i="1" s="1"/>
  <c r="I1684" i="1"/>
  <c r="E1684" i="1"/>
  <c r="D1684" i="1"/>
  <c r="C1684" i="1"/>
  <c r="B1684" i="1"/>
  <c r="A1684" i="1"/>
  <c r="J1683" i="1"/>
  <c r="K1683" i="1" s="1"/>
  <c r="I1683" i="1"/>
  <c r="E1683" i="1"/>
  <c r="D1683" i="1"/>
  <c r="C1683" i="1"/>
  <c r="B1683" i="1"/>
  <c r="A1683" i="1"/>
  <c r="J1682" i="1"/>
  <c r="K1682" i="1" s="1"/>
  <c r="I1682" i="1"/>
  <c r="E1682" i="1"/>
  <c r="D1682" i="1"/>
  <c r="C1682" i="1"/>
  <c r="B1682" i="1"/>
  <c r="A1682" i="1"/>
  <c r="J1681" i="1"/>
  <c r="K1681" i="1" s="1"/>
  <c r="I1681" i="1"/>
  <c r="E1681" i="1"/>
  <c r="D1681" i="1"/>
  <c r="C1681" i="1"/>
  <c r="B1681" i="1"/>
  <c r="A1681" i="1"/>
  <c r="J1680" i="1"/>
  <c r="K1680" i="1" s="1"/>
  <c r="I1680" i="1"/>
  <c r="E1680" i="1"/>
  <c r="D1680" i="1"/>
  <c r="C1680" i="1"/>
  <c r="B1680" i="1"/>
  <c r="A1680" i="1"/>
  <c r="J1679" i="1"/>
  <c r="K1679" i="1" s="1"/>
  <c r="I1679" i="1"/>
  <c r="E1679" i="1"/>
  <c r="D1679" i="1"/>
  <c r="C1679" i="1"/>
  <c r="B1679" i="1"/>
  <c r="A1679" i="1"/>
  <c r="J1678" i="1"/>
  <c r="K1678" i="1" s="1"/>
  <c r="I1678" i="1"/>
  <c r="E1678" i="1"/>
  <c r="D1678" i="1"/>
  <c r="C1678" i="1"/>
  <c r="B1678" i="1"/>
  <c r="A1678" i="1"/>
  <c r="J1677" i="1"/>
  <c r="K1677" i="1" s="1"/>
  <c r="I1677" i="1"/>
  <c r="E1677" i="1"/>
  <c r="D1677" i="1"/>
  <c r="C1677" i="1"/>
  <c r="B1677" i="1"/>
  <c r="A1677" i="1"/>
  <c r="J1676" i="1"/>
  <c r="K1676" i="1" s="1"/>
  <c r="I1676" i="1"/>
  <c r="E1676" i="1"/>
  <c r="D1676" i="1"/>
  <c r="C1676" i="1"/>
  <c r="B1676" i="1"/>
  <c r="A1676" i="1"/>
  <c r="J1675" i="1"/>
  <c r="K1675" i="1" s="1"/>
  <c r="I1675" i="1"/>
  <c r="E1675" i="1"/>
  <c r="D1675" i="1"/>
  <c r="C1675" i="1"/>
  <c r="B1675" i="1"/>
  <c r="A1675" i="1"/>
  <c r="J1674" i="1"/>
  <c r="K1674" i="1" s="1"/>
  <c r="I1674" i="1"/>
  <c r="E1674" i="1"/>
  <c r="D1674" i="1"/>
  <c r="C1674" i="1"/>
  <c r="B1674" i="1"/>
  <c r="A1674" i="1"/>
  <c r="J1673" i="1"/>
  <c r="K1673" i="1" s="1"/>
  <c r="I1673" i="1"/>
  <c r="E1673" i="1"/>
  <c r="D1673" i="1"/>
  <c r="C1673" i="1"/>
  <c r="B1673" i="1"/>
  <c r="A1673" i="1"/>
  <c r="J1672" i="1"/>
  <c r="K1672" i="1" s="1"/>
  <c r="I1672" i="1"/>
  <c r="E1672" i="1"/>
  <c r="D1672" i="1"/>
  <c r="C1672" i="1"/>
  <c r="B1672" i="1"/>
  <c r="A1672" i="1"/>
  <c r="J1671" i="1"/>
  <c r="K1671" i="1" s="1"/>
  <c r="I1671" i="1"/>
  <c r="E1671" i="1"/>
  <c r="D1671" i="1"/>
  <c r="C1671" i="1"/>
  <c r="B1671" i="1"/>
  <c r="A1671" i="1"/>
  <c r="J1670" i="1"/>
  <c r="K1670" i="1" s="1"/>
  <c r="I1670" i="1"/>
  <c r="E1670" i="1"/>
  <c r="D1670" i="1"/>
  <c r="C1670" i="1"/>
  <c r="B1670" i="1"/>
  <c r="A1670" i="1"/>
  <c r="J1669" i="1"/>
  <c r="K1669" i="1" s="1"/>
  <c r="I1669" i="1"/>
  <c r="E1669" i="1"/>
  <c r="D1669" i="1"/>
  <c r="C1669" i="1"/>
  <c r="B1669" i="1"/>
  <c r="A1669" i="1"/>
  <c r="J1668" i="1"/>
  <c r="K1668" i="1" s="1"/>
  <c r="I1668" i="1"/>
  <c r="E1668" i="1"/>
  <c r="D1668" i="1"/>
  <c r="C1668" i="1"/>
  <c r="B1668" i="1"/>
  <c r="A1668" i="1"/>
  <c r="J1667" i="1"/>
  <c r="K1667" i="1" s="1"/>
  <c r="I1667" i="1"/>
  <c r="E1667" i="1"/>
  <c r="D1667" i="1"/>
  <c r="C1667" i="1"/>
  <c r="B1667" i="1"/>
  <c r="A1667" i="1"/>
  <c r="J1666" i="1"/>
  <c r="K1666" i="1" s="1"/>
  <c r="I1666" i="1"/>
  <c r="E1666" i="1"/>
  <c r="D1666" i="1"/>
  <c r="C1666" i="1"/>
  <c r="B1666" i="1"/>
  <c r="A1666" i="1"/>
  <c r="J1665" i="1"/>
  <c r="K1665" i="1" s="1"/>
  <c r="I1665" i="1"/>
  <c r="E1665" i="1"/>
  <c r="D1665" i="1"/>
  <c r="C1665" i="1"/>
  <c r="B1665" i="1"/>
  <c r="A1665" i="1"/>
  <c r="J1664" i="1"/>
  <c r="K1664" i="1" s="1"/>
  <c r="I1664" i="1"/>
  <c r="E1664" i="1"/>
  <c r="D1664" i="1"/>
  <c r="C1664" i="1"/>
  <c r="B1664" i="1"/>
  <c r="A1664" i="1"/>
  <c r="J1663" i="1"/>
  <c r="K1663" i="1" s="1"/>
  <c r="I1663" i="1"/>
  <c r="E1663" i="1"/>
  <c r="D1663" i="1"/>
  <c r="C1663" i="1"/>
  <c r="B1663" i="1"/>
  <c r="A1663" i="1"/>
  <c r="J1662" i="1"/>
  <c r="K1662" i="1" s="1"/>
  <c r="I1662" i="1"/>
  <c r="E1662" i="1"/>
  <c r="D1662" i="1"/>
  <c r="C1662" i="1"/>
  <c r="B1662" i="1"/>
  <c r="A1662" i="1"/>
  <c r="J1661" i="1"/>
  <c r="K1661" i="1" s="1"/>
  <c r="I1661" i="1"/>
  <c r="E1661" i="1"/>
  <c r="D1661" i="1"/>
  <c r="C1661" i="1"/>
  <c r="B1661" i="1"/>
  <c r="A1661" i="1"/>
  <c r="J1660" i="1"/>
  <c r="K1660" i="1" s="1"/>
  <c r="I1660" i="1"/>
  <c r="E1660" i="1"/>
  <c r="D1660" i="1"/>
  <c r="C1660" i="1"/>
  <c r="B1660" i="1"/>
  <c r="A1660" i="1"/>
  <c r="J1659" i="1"/>
  <c r="K1659" i="1" s="1"/>
  <c r="I1659" i="1"/>
  <c r="E1659" i="1"/>
  <c r="D1659" i="1"/>
  <c r="C1659" i="1"/>
  <c r="B1659" i="1"/>
  <c r="A1659" i="1"/>
  <c r="J1658" i="1"/>
  <c r="K1658" i="1" s="1"/>
  <c r="I1658" i="1"/>
  <c r="E1658" i="1"/>
  <c r="D1658" i="1"/>
  <c r="C1658" i="1"/>
  <c r="B1658" i="1"/>
  <c r="A1658" i="1"/>
  <c r="J1657" i="1"/>
  <c r="K1657" i="1" s="1"/>
  <c r="I1657" i="1"/>
  <c r="E1657" i="1"/>
  <c r="D1657" i="1"/>
  <c r="C1657" i="1"/>
  <c r="B1657" i="1"/>
  <c r="A1657" i="1"/>
  <c r="J1656" i="1"/>
  <c r="K1656" i="1" s="1"/>
  <c r="I1656" i="1"/>
  <c r="E1656" i="1"/>
  <c r="D1656" i="1"/>
  <c r="C1656" i="1"/>
  <c r="B1656" i="1"/>
  <c r="A1656" i="1"/>
  <c r="J1655" i="1"/>
  <c r="K1655" i="1" s="1"/>
  <c r="I1655" i="1"/>
  <c r="E1655" i="1"/>
  <c r="D1655" i="1"/>
  <c r="C1655" i="1"/>
  <c r="B1655" i="1"/>
  <c r="A1655" i="1"/>
  <c r="J1654" i="1"/>
  <c r="K1654" i="1" s="1"/>
  <c r="I1654" i="1"/>
  <c r="E1654" i="1"/>
  <c r="D1654" i="1"/>
  <c r="C1654" i="1"/>
  <c r="B1654" i="1"/>
  <c r="A1654" i="1"/>
  <c r="J1653" i="1"/>
  <c r="K1653" i="1" s="1"/>
  <c r="I1653" i="1"/>
  <c r="E1653" i="1"/>
  <c r="D1653" i="1"/>
  <c r="C1653" i="1"/>
  <c r="B1653" i="1"/>
  <c r="A1653" i="1"/>
  <c r="J1652" i="1"/>
  <c r="K1652" i="1" s="1"/>
  <c r="I1652" i="1"/>
  <c r="E1652" i="1"/>
  <c r="D1652" i="1"/>
  <c r="C1652" i="1"/>
  <c r="B1652" i="1"/>
  <c r="A1652" i="1"/>
  <c r="J1651" i="1"/>
  <c r="K1651" i="1" s="1"/>
  <c r="I1651" i="1"/>
  <c r="E1651" i="1"/>
  <c r="D1651" i="1"/>
  <c r="C1651" i="1"/>
  <c r="B1651" i="1"/>
  <c r="A1651" i="1"/>
  <c r="J1650" i="1"/>
  <c r="K1650" i="1" s="1"/>
  <c r="I1650" i="1"/>
  <c r="E1650" i="1"/>
  <c r="D1650" i="1"/>
  <c r="C1650" i="1"/>
  <c r="B1650" i="1"/>
  <c r="A1650" i="1"/>
  <c r="J1649" i="1"/>
  <c r="K1649" i="1" s="1"/>
  <c r="I1649" i="1"/>
  <c r="E1649" i="1"/>
  <c r="D1649" i="1"/>
  <c r="C1649" i="1"/>
  <c r="B1649" i="1"/>
  <c r="A1649" i="1"/>
  <c r="J1648" i="1"/>
  <c r="K1648" i="1" s="1"/>
  <c r="I1648" i="1"/>
  <c r="E1648" i="1"/>
  <c r="D1648" i="1"/>
  <c r="C1648" i="1"/>
  <c r="B1648" i="1"/>
  <c r="A1648" i="1"/>
  <c r="J1647" i="1"/>
  <c r="K1647" i="1" s="1"/>
  <c r="I1647" i="1"/>
  <c r="E1647" i="1"/>
  <c r="D1647" i="1"/>
  <c r="C1647" i="1"/>
  <c r="B1647" i="1"/>
  <c r="A1647" i="1"/>
  <c r="J1646" i="1"/>
  <c r="K1646" i="1" s="1"/>
  <c r="I1646" i="1"/>
  <c r="E1646" i="1"/>
  <c r="D1646" i="1"/>
  <c r="C1646" i="1"/>
  <c r="B1646" i="1"/>
  <c r="A1646" i="1"/>
  <c r="J1645" i="1"/>
  <c r="K1645" i="1" s="1"/>
  <c r="I1645" i="1"/>
  <c r="E1645" i="1"/>
  <c r="D1645" i="1"/>
  <c r="C1645" i="1"/>
  <c r="B1645" i="1"/>
  <c r="A1645" i="1"/>
  <c r="J1644" i="1"/>
  <c r="K1644" i="1" s="1"/>
  <c r="I1644" i="1"/>
  <c r="E1644" i="1"/>
  <c r="D1644" i="1"/>
  <c r="C1644" i="1"/>
  <c r="B1644" i="1"/>
  <c r="A1644" i="1"/>
  <c r="J1643" i="1"/>
  <c r="K1643" i="1" s="1"/>
  <c r="I1643" i="1"/>
  <c r="E1643" i="1"/>
  <c r="D1643" i="1"/>
  <c r="C1643" i="1"/>
  <c r="B1643" i="1"/>
  <c r="A1643" i="1"/>
  <c r="J1642" i="1"/>
  <c r="K1642" i="1" s="1"/>
  <c r="I1642" i="1"/>
  <c r="E1642" i="1"/>
  <c r="D1642" i="1"/>
  <c r="C1642" i="1"/>
  <c r="B1642" i="1"/>
  <c r="A1642" i="1"/>
  <c r="J1641" i="1"/>
  <c r="K1641" i="1" s="1"/>
  <c r="I1641" i="1"/>
  <c r="E1641" i="1"/>
  <c r="D1641" i="1"/>
  <c r="C1641" i="1"/>
  <c r="B1641" i="1"/>
  <c r="A1641" i="1"/>
  <c r="J1640" i="1"/>
  <c r="K1640" i="1" s="1"/>
  <c r="I1640" i="1"/>
  <c r="E1640" i="1"/>
  <c r="D1640" i="1"/>
  <c r="C1640" i="1"/>
  <c r="B1640" i="1"/>
  <c r="A1640" i="1"/>
  <c r="J1639" i="1"/>
  <c r="K1639" i="1" s="1"/>
  <c r="I1639" i="1"/>
  <c r="E1639" i="1"/>
  <c r="D1639" i="1"/>
  <c r="C1639" i="1"/>
  <c r="B1639" i="1"/>
  <c r="A1639" i="1"/>
  <c r="J1638" i="1"/>
  <c r="K1638" i="1" s="1"/>
  <c r="I1638" i="1"/>
  <c r="E1638" i="1"/>
  <c r="D1638" i="1"/>
  <c r="C1638" i="1"/>
  <c r="B1638" i="1"/>
  <c r="A1638" i="1"/>
  <c r="J1637" i="1"/>
  <c r="K1637" i="1" s="1"/>
  <c r="I1637" i="1"/>
  <c r="E1637" i="1"/>
  <c r="D1637" i="1"/>
  <c r="C1637" i="1"/>
  <c r="B1637" i="1"/>
  <c r="A1637" i="1"/>
  <c r="J1636" i="1"/>
  <c r="K1636" i="1" s="1"/>
  <c r="I1636" i="1"/>
  <c r="E1636" i="1"/>
  <c r="D1636" i="1"/>
  <c r="C1636" i="1"/>
  <c r="B1636" i="1"/>
  <c r="A1636" i="1"/>
  <c r="J1635" i="1"/>
  <c r="K1635" i="1" s="1"/>
  <c r="I1635" i="1"/>
  <c r="E1635" i="1"/>
  <c r="D1635" i="1"/>
  <c r="C1635" i="1"/>
  <c r="B1635" i="1"/>
  <c r="A1635" i="1"/>
  <c r="J1634" i="1"/>
  <c r="K1634" i="1" s="1"/>
  <c r="I1634" i="1"/>
  <c r="E1634" i="1"/>
  <c r="D1634" i="1"/>
  <c r="C1634" i="1"/>
  <c r="B1634" i="1"/>
  <c r="A1634" i="1"/>
  <c r="J1633" i="1"/>
  <c r="K1633" i="1" s="1"/>
  <c r="I1633" i="1"/>
  <c r="E1633" i="1"/>
  <c r="D1633" i="1"/>
  <c r="C1633" i="1"/>
  <c r="B1633" i="1"/>
  <c r="A1633" i="1"/>
  <c r="J1632" i="1"/>
  <c r="K1632" i="1" s="1"/>
  <c r="I1632" i="1"/>
  <c r="E1632" i="1"/>
  <c r="D1632" i="1"/>
  <c r="C1632" i="1"/>
  <c r="B1632" i="1"/>
  <c r="A1632" i="1"/>
  <c r="J1631" i="1"/>
  <c r="K1631" i="1" s="1"/>
  <c r="I1631" i="1"/>
  <c r="E1631" i="1"/>
  <c r="D1631" i="1"/>
  <c r="C1631" i="1"/>
  <c r="B1631" i="1"/>
  <c r="A1631" i="1"/>
  <c r="J1630" i="1"/>
  <c r="K1630" i="1" s="1"/>
  <c r="I1630" i="1"/>
  <c r="E1630" i="1"/>
  <c r="D1630" i="1"/>
  <c r="C1630" i="1"/>
  <c r="B1630" i="1"/>
  <c r="A1630" i="1"/>
  <c r="J1629" i="1"/>
  <c r="K1629" i="1" s="1"/>
  <c r="I1629" i="1"/>
  <c r="E1629" i="1"/>
  <c r="D1629" i="1"/>
  <c r="C1629" i="1"/>
  <c r="B1629" i="1"/>
  <c r="A1629" i="1"/>
  <c r="J1628" i="1"/>
  <c r="K1628" i="1" s="1"/>
  <c r="L1740" i="1" s="1"/>
  <c r="I1628" i="1"/>
  <c r="E1628" i="1"/>
  <c r="D1628" i="1"/>
  <c r="C1628" i="1"/>
  <c r="B1628" i="1"/>
  <c r="A1628" i="1"/>
  <c r="J1627" i="1"/>
  <c r="K1627" i="1" s="1"/>
  <c r="L1627" i="1" s="1"/>
  <c r="I1627" i="1"/>
  <c r="E1627" i="1"/>
  <c r="D1627" i="1"/>
  <c r="C1627" i="1"/>
  <c r="B1627" i="1"/>
  <c r="A1627" i="1"/>
  <c r="J1626" i="1"/>
  <c r="K1626" i="1" s="1"/>
  <c r="I1626" i="1"/>
  <c r="E1626" i="1"/>
  <c r="D1626" i="1"/>
  <c r="C1626" i="1"/>
  <c r="B1626" i="1"/>
  <c r="A1626" i="1"/>
  <c r="J1625" i="1"/>
  <c r="K1625" i="1" s="1"/>
  <c r="I1625" i="1"/>
  <c r="E1625" i="1"/>
  <c r="D1625" i="1"/>
  <c r="C1625" i="1"/>
  <c r="B1625" i="1"/>
  <c r="A1625" i="1"/>
  <c r="J1624" i="1"/>
  <c r="K1624" i="1" s="1"/>
  <c r="I1624" i="1"/>
  <c r="E1624" i="1"/>
  <c r="D1624" i="1"/>
  <c r="C1624" i="1"/>
  <c r="B1624" i="1"/>
  <c r="A1624" i="1"/>
  <c r="J1623" i="1"/>
  <c r="K1623" i="1" s="1"/>
  <c r="I1623" i="1"/>
  <c r="E1623" i="1"/>
  <c r="D1623" i="1"/>
  <c r="C1623" i="1"/>
  <c r="B1623" i="1"/>
  <c r="A1623" i="1"/>
  <c r="J1622" i="1"/>
  <c r="K1622" i="1" s="1"/>
  <c r="I1622" i="1"/>
  <c r="E1622" i="1"/>
  <c r="D1622" i="1"/>
  <c r="C1622" i="1"/>
  <c r="B1622" i="1"/>
  <c r="A1622" i="1"/>
  <c r="J1621" i="1"/>
  <c r="K1621" i="1" s="1"/>
  <c r="I1621" i="1"/>
  <c r="E1621" i="1"/>
  <c r="D1621" i="1"/>
  <c r="C1621" i="1"/>
  <c r="B1621" i="1"/>
  <c r="A1621" i="1"/>
  <c r="J1620" i="1"/>
  <c r="K1620" i="1" s="1"/>
  <c r="I1620" i="1"/>
  <c r="E1620" i="1"/>
  <c r="D1620" i="1"/>
  <c r="C1620" i="1"/>
  <c r="B1620" i="1"/>
  <c r="A1620" i="1"/>
  <c r="J1619" i="1"/>
  <c r="K1619" i="1" s="1"/>
  <c r="I1619" i="1"/>
  <c r="E1619" i="1"/>
  <c r="D1619" i="1"/>
  <c r="C1619" i="1"/>
  <c r="B1619" i="1"/>
  <c r="A1619" i="1"/>
  <c r="J1618" i="1"/>
  <c r="K1618" i="1" s="1"/>
  <c r="I1618" i="1"/>
  <c r="E1618" i="1"/>
  <c r="D1618" i="1"/>
  <c r="C1618" i="1"/>
  <c r="B1618" i="1"/>
  <c r="A1618" i="1"/>
  <c r="J1617" i="1"/>
  <c r="K1617" i="1" s="1"/>
  <c r="I1617" i="1"/>
  <c r="E1617" i="1"/>
  <c r="D1617" i="1"/>
  <c r="C1617" i="1"/>
  <c r="B1617" i="1"/>
  <c r="A1617" i="1"/>
  <c r="J1616" i="1"/>
  <c r="K1616" i="1" s="1"/>
  <c r="I1616" i="1"/>
  <c r="E1616" i="1"/>
  <c r="D1616" i="1"/>
  <c r="C1616" i="1"/>
  <c r="B1616" i="1"/>
  <c r="A1616" i="1"/>
  <c r="J1615" i="1"/>
  <c r="K1615" i="1" s="1"/>
  <c r="I1615" i="1"/>
  <c r="E1615" i="1"/>
  <c r="D1615" i="1"/>
  <c r="C1615" i="1"/>
  <c r="B1615" i="1"/>
  <c r="A1615" i="1"/>
  <c r="J1614" i="1"/>
  <c r="K1614" i="1" s="1"/>
  <c r="I1614" i="1"/>
  <c r="E1614" i="1"/>
  <c r="D1614" i="1"/>
  <c r="C1614" i="1"/>
  <c r="B1614" i="1"/>
  <c r="A1614" i="1"/>
  <c r="J1613" i="1"/>
  <c r="K1613" i="1" s="1"/>
  <c r="I1613" i="1"/>
  <c r="E1613" i="1"/>
  <c r="D1613" i="1"/>
  <c r="C1613" i="1"/>
  <c r="B1613" i="1"/>
  <c r="A1613" i="1"/>
  <c r="J1612" i="1"/>
  <c r="K1612" i="1" s="1"/>
  <c r="I1612" i="1"/>
  <c r="E1612" i="1"/>
  <c r="D1612" i="1"/>
  <c r="C1612" i="1"/>
  <c r="B1612" i="1"/>
  <c r="A1612" i="1"/>
  <c r="J1611" i="1"/>
  <c r="K1611" i="1" s="1"/>
  <c r="I1611" i="1"/>
  <c r="E1611" i="1"/>
  <c r="D1611" i="1"/>
  <c r="C1611" i="1"/>
  <c r="B1611" i="1"/>
  <c r="A1611" i="1"/>
  <c r="K1610" i="1"/>
  <c r="J1610" i="1"/>
  <c r="I1610" i="1"/>
  <c r="E1610" i="1"/>
  <c r="D1610" i="1"/>
  <c r="C1610" i="1"/>
  <c r="B1610" i="1"/>
  <c r="A1610" i="1"/>
  <c r="J1609" i="1"/>
  <c r="K1609" i="1" s="1"/>
  <c r="L1626" i="1" s="1"/>
  <c r="I1609" i="1"/>
  <c r="E1609" i="1"/>
  <c r="D1609" i="1"/>
  <c r="C1609" i="1"/>
  <c r="B1609" i="1"/>
  <c r="A1609" i="1"/>
  <c r="J1608" i="1"/>
  <c r="K1608" i="1" s="1"/>
  <c r="I1608" i="1"/>
  <c r="E1608" i="1"/>
  <c r="D1608" i="1"/>
  <c r="C1608" i="1"/>
  <c r="B1608" i="1"/>
  <c r="A1608" i="1"/>
  <c r="J1607" i="1"/>
  <c r="K1607" i="1" s="1"/>
  <c r="I1607" i="1"/>
  <c r="E1607" i="1"/>
  <c r="D1607" i="1"/>
  <c r="C1607" i="1"/>
  <c r="B1607" i="1"/>
  <c r="A1607" i="1"/>
  <c r="J1606" i="1"/>
  <c r="K1606" i="1" s="1"/>
  <c r="I1606" i="1"/>
  <c r="E1606" i="1"/>
  <c r="D1606" i="1"/>
  <c r="C1606" i="1"/>
  <c r="B1606" i="1"/>
  <c r="A1606" i="1"/>
  <c r="J1605" i="1"/>
  <c r="K1605" i="1" s="1"/>
  <c r="I1605" i="1"/>
  <c r="E1605" i="1"/>
  <c r="D1605" i="1"/>
  <c r="C1605" i="1"/>
  <c r="B1605" i="1"/>
  <c r="A1605" i="1"/>
  <c r="J1604" i="1"/>
  <c r="K1604" i="1" s="1"/>
  <c r="I1604" i="1"/>
  <c r="E1604" i="1"/>
  <c r="D1604" i="1"/>
  <c r="C1604" i="1"/>
  <c r="B1604" i="1"/>
  <c r="A1604" i="1"/>
  <c r="J1603" i="1"/>
  <c r="K1603" i="1" s="1"/>
  <c r="I1603" i="1"/>
  <c r="E1603" i="1"/>
  <c r="D1603" i="1"/>
  <c r="C1603" i="1"/>
  <c r="B1603" i="1"/>
  <c r="A1603" i="1"/>
  <c r="J1602" i="1"/>
  <c r="K1602" i="1" s="1"/>
  <c r="I1602" i="1"/>
  <c r="E1602" i="1"/>
  <c r="D1602" i="1"/>
  <c r="C1602" i="1"/>
  <c r="B1602" i="1"/>
  <c r="A1602" i="1"/>
  <c r="J1601" i="1"/>
  <c r="K1601" i="1" s="1"/>
  <c r="I1601" i="1"/>
  <c r="E1601" i="1"/>
  <c r="D1601" i="1"/>
  <c r="C1601" i="1"/>
  <c r="B1601" i="1"/>
  <c r="A1601" i="1"/>
  <c r="J1600" i="1"/>
  <c r="K1600" i="1" s="1"/>
  <c r="I1600" i="1"/>
  <c r="E1600" i="1"/>
  <c r="D1600" i="1"/>
  <c r="C1600" i="1"/>
  <c r="B1600" i="1"/>
  <c r="A1600" i="1"/>
  <c r="J1599" i="1"/>
  <c r="K1599" i="1" s="1"/>
  <c r="I1599" i="1"/>
  <c r="E1599" i="1"/>
  <c r="D1599" i="1"/>
  <c r="C1599" i="1"/>
  <c r="B1599" i="1"/>
  <c r="A1599" i="1"/>
  <c r="J1598" i="1"/>
  <c r="K1598" i="1" s="1"/>
  <c r="I1598" i="1"/>
  <c r="E1598" i="1"/>
  <c r="D1598" i="1"/>
  <c r="C1598" i="1"/>
  <c r="B1598" i="1"/>
  <c r="A1598" i="1"/>
  <c r="J1597" i="1"/>
  <c r="K1597" i="1" s="1"/>
  <c r="I1597" i="1"/>
  <c r="E1597" i="1"/>
  <c r="D1597" i="1"/>
  <c r="C1597" i="1"/>
  <c r="B1597" i="1"/>
  <c r="A1597" i="1"/>
  <c r="J1596" i="1"/>
  <c r="K1596" i="1" s="1"/>
  <c r="I1596" i="1"/>
  <c r="E1596" i="1"/>
  <c r="D1596" i="1"/>
  <c r="C1596" i="1"/>
  <c r="B1596" i="1"/>
  <c r="A1596" i="1"/>
  <c r="J1595" i="1"/>
  <c r="K1595" i="1" s="1"/>
  <c r="I1595" i="1"/>
  <c r="E1595" i="1"/>
  <c r="D1595" i="1"/>
  <c r="C1595" i="1"/>
  <c r="B1595" i="1"/>
  <c r="A1595" i="1"/>
  <c r="J1594" i="1"/>
  <c r="K1594" i="1" s="1"/>
  <c r="L1608" i="1" s="1"/>
  <c r="I1594" i="1"/>
  <c r="E1594" i="1"/>
  <c r="D1594" i="1"/>
  <c r="C1594" i="1"/>
  <c r="B1594" i="1"/>
  <c r="A1594" i="1"/>
  <c r="J1593" i="1"/>
  <c r="K1593" i="1" s="1"/>
  <c r="I1593" i="1"/>
  <c r="E1593" i="1"/>
  <c r="D1593" i="1"/>
  <c r="C1593" i="1"/>
  <c r="B1593" i="1"/>
  <c r="A1593" i="1"/>
  <c r="J1592" i="1"/>
  <c r="K1592" i="1" s="1"/>
  <c r="I1592" i="1"/>
  <c r="E1592" i="1"/>
  <c r="D1592" i="1"/>
  <c r="C1592" i="1"/>
  <c r="B1592" i="1"/>
  <c r="A1592" i="1"/>
  <c r="J1591" i="1"/>
  <c r="K1591" i="1" s="1"/>
  <c r="I1591" i="1"/>
  <c r="E1591" i="1"/>
  <c r="D1591" i="1"/>
  <c r="C1591" i="1"/>
  <c r="B1591" i="1"/>
  <c r="A1591" i="1"/>
  <c r="J1590" i="1"/>
  <c r="K1590" i="1" s="1"/>
  <c r="I1590" i="1"/>
  <c r="E1590" i="1"/>
  <c r="D1590" i="1"/>
  <c r="C1590" i="1"/>
  <c r="B1590" i="1"/>
  <c r="A1590" i="1"/>
  <c r="J1589" i="1"/>
  <c r="K1589" i="1" s="1"/>
  <c r="I1589" i="1"/>
  <c r="E1589" i="1"/>
  <c r="D1589" i="1"/>
  <c r="C1589" i="1"/>
  <c r="B1589" i="1"/>
  <c r="A1589" i="1"/>
  <c r="J1588" i="1"/>
  <c r="K1588" i="1" s="1"/>
  <c r="I1588" i="1"/>
  <c r="E1588" i="1"/>
  <c r="D1588" i="1"/>
  <c r="C1588" i="1"/>
  <c r="B1588" i="1"/>
  <c r="A1588" i="1"/>
  <c r="J1587" i="1"/>
  <c r="K1587" i="1" s="1"/>
  <c r="I1587" i="1"/>
  <c r="E1587" i="1"/>
  <c r="D1587" i="1"/>
  <c r="C1587" i="1"/>
  <c r="B1587" i="1"/>
  <c r="A1587" i="1"/>
  <c r="J1586" i="1"/>
  <c r="K1586" i="1" s="1"/>
  <c r="I1586" i="1"/>
  <c r="E1586" i="1"/>
  <c r="D1586" i="1"/>
  <c r="C1586" i="1"/>
  <c r="B1586" i="1"/>
  <c r="A1586" i="1"/>
  <c r="J1585" i="1"/>
  <c r="K1585" i="1" s="1"/>
  <c r="I1585" i="1"/>
  <c r="E1585" i="1"/>
  <c r="D1585" i="1"/>
  <c r="C1585" i="1"/>
  <c r="B1585" i="1"/>
  <c r="A1585" i="1"/>
  <c r="J1584" i="1"/>
  <c r="K1584" i="1" s="1"/>
  <c r="I1584" i="1"/>
  <c r="E1584" i="1"/>
  <c r="D1584" i="1"/>
  <c r="C1584" i="1"/>
  <c r="B1584" i="1"/>
  <c r="A1584" i="1"/>
  <c r="J1583" i="1"/>
  <c r="K1583" i="1" s="1"/>
  <c r="I1583" i="1"/>
  <c r="E1583" i="1"/>
  <c r="D1583" i="1"/>
  <c r="C1583" i="1"/>
  <c r="B1583" i="1"/>
  <c r="A1583" i="1"/>
  <c r="J1582" i="1"/>
  <c r="K1582" i="1" s="1"/>
  <c r="I1582" i="1"/>
  <c r="E1582" i="1"/>
  <c r="D1582" i="1"/>
  <c r="C1582" i="1"/>
  <c r="B1582" i="1"/>
  <c r="A1582" i="1"/>
  <c r="J1581" i="1"/>
  <c r="K1581" i="1" s="1"/>
  <c r="I1581" i="1"/>
  <c r="E1581" i="1"/>
  <c r="D1581" i="1"/>
  <c r="C1581" i="1"/>
  <c r="B1581" i="1"/>
  <c r="A1581" i="1"/>
  <c r="J1580" i="1"/>
  <c r="K1580" i="1" s="1"/>
  <c r="I1580" i="1"/>
  <c r="E1580" i="1"/>
  <c r="D1580" i="1"/>
  <c r="C1580" i="1"/>
  <c r="B1580" i="1"/>
  <c r="A1580" i="1"/>
  <c r="J1579" i="1"/>
  <c r="K1579" i="1" s="1"/>
  <c r="I1579" i="1"/>
  <c r="E1579" i="1"/>
  <c r="D1579" i="1"/>
  <c r="C1579" i="1"/>
  <c r="B1579" i="1"/>
  <c r="A1579" i="1"/>
  <c r="J1578" i="1"/>
  <c r="K1578" i="1" s="1"/>
  <c r="I1578" i="1"/>
  <c r="E1578" i="1"/>
  <c r="D1578" i="1"/>
  <c r="C1578" i="1"/>
  <c r="B1578" i="1"/>
  <c r="A1578" i="1"/>
  <c r="J1577" i="1"/>
  <c r="K1577" i="1" s="1"/>
  <c r="I1577" i="1"/>
  <c r="E1577" i="1"/>
  <c r="D1577" i="1"/>
  <c r="C1577" i="1"/>
  <c r="B1577" i="1"/>
  <c r="A1577" i="1"/>
  <c r="J1576" i="1"/>
  <c r="K1576" i="1" s="1"/>
  <c r="I1576" i="1"/>
  <c r="E1576" i="1"/>
  <c r="D1576" i="1"/>
  <c r="C1576" i="1"/>
  <c r="B1576" i="1"/>
  <c r="A1576" i="1"/>
  <c r="J1575" i="1"/>
  <c r="K1575" i="1" s="1"/>
  <c r="I1575" i="1"/>
  <c r="E1575" i="1"/>
  <c r="D1575" i="1"/>
  <c r="C1575" i="1"/>
  <c r="B1575" i="1"/>
  <c r="A1575" i="1"/>
  <c r="J1574" i="1"/>
  <c r="K1574" i="1" s="1"/>
  <c r="I1574" i="1"/>
  <c r="E1574" i="1"/>
  <c r="D1574" i="1"/>
  <c r="C1574" i="1"/>
  <c r="B1574" i="1"/>
  <c r="A1574" i="1"/>
  <c r="J1573" i="1"/>
  <c r="K1573" i="1" s="1"/>
  <c r="I1573" i="1"/>
  <c r="E1573" i="1"/>
  <c r="D1573" i="1"/>
  <c r="C1573" i="1"/>
  <c r="B1573" i="1"/>
  <c r="A1573" i="1"/>
  <c r="J1572" i="1"/>
  <c r="K1572" i="1" s="1"/>
  <c r="L1590" i="1" s="1"/>
  <c r="I1572" i="1"/>
  <c r="E1572" i="1"/>
  <c r="D1572" i="1"/>
  <c r="C1572" i="1"/>
  <c r="B1572" i="1"/>
  <c r="A1572" i="1"/>
  <c r="J1571" i="1"/>
  <c r="K1571" i="1" s="1"/>
  <c r="I1571" i="1"/>
  <c r="E1571" i="1"/>
  <c r="D1571" i="1"/>
  <c r="C1571" i="1"/>
  <c r="B1571" i="1"/>
  <c r="A1571" i="1"/>
  <c r="J1570" i="1"/>
  <c r="K1570" i="1" s="1"/>
  <c r="I1570" i="1"/>
  <c r="E1570" i="1"/>
  <c r="D1570" i="1"/>
  <c r="C1570" i="1"/>
  <c r="B1570" i="1"/>
  <c r="A1570" i="1"/>
  <c r="J1569" i="1"/>
  <c r="K1569" i="1" s="1"/>
  <c r="I1569" i="1"/>
  <c r="E1569" i="1"/>
  <c r="D1569" i="1"/>
  <c r="C1569" i="1"/>
  <c r="B1569" i="1"/>
  <c r="A1569" i="1"/>
  <c r="J1568" i="1"/>
  <c r="K1568" i="1" s="1"/>
  <c r="I1568" i="1"/>
  <c r="E1568" i="1"/>
  <c r="D1568" i="1"/>
  <c r="C1568" i="1"/>
  <c r="B1568" i="1"/>
  <c r="A1568" i="1"/>
  <c r="J1567" i="1"/>
  <c r="K1567" i="1" s="1"/>
  <c r="I1567" i="1"/>
  <c r="E1567" i="1"/>
  <c r="D1567" i="1"/>
  <c r="C1567" i="1"/>
  <c r="B1567" i="1"/>
  <c r="A1567" i="1"/>
  <c r="J1566" i="1"/>
  <c r="K1566" i="1" s="1"/>
  <c r="I1566" i="1"/>
  <c r="E1566" i="1"/>
  <c r="D1566" i="1"/>
  <c r="C1566" i="1"/>
  <c r="B1566" i="1"/>
  <c r="A1566" i="1"/>
  <c r="J1565" i="1"/>
  <c r="K1565" i="1" s="1"/>
  <c r="L1571" i="1" s="1"/>
  <c r="I1565" i="1"/>
  <c r="E1565" i="1"/>
  <c r="D1565" i="1"/>
  <c r="C1565" i="1"/>
  <c r="B1565" i="1"/>
  <c r="A1565" i="1"/>
  <c r="J1564" i="1"/>
  <c r="K1564" i="1" s="1"/>
  <c r="L1564" i="1" s="1"/>
  <c r="I1564" i="1"/>
  <c r="E1564" i="1"/>
  <c r="D1564" i="1"/>
  <c r="C1564" i="1"/>
  <c r="B1564" i="1"/>
  <c r="A1564" i="1"/>
  <c r="J1563" i="1"/>
  <c r="K1563" i="1" s="1"/>
  <c r="I1563" i="1"/>
  <c r="E1563" i="1"/>
  <c r="D1563" i="1"/>
  <c r="C1563" i="1"/>
  <c r="B1563" i="1"/>
  <c r="A1563" i="1"/>
  <c r="J1562" i="1"/>
  <c r="K1562" i="1" s="1"/>
  <c r="I1562" i="1"/>
  <c r="E1562" i="1"/>
  <c r="D1562" i="1"/>
  <c r="C1562" i="1"/>
  <c r="B1562" i="1"/>
  <c r="A1562" i="1"/>
  <c r="J1561" i="1"/>
  <c r="K1561" i="1" s="1"/>
  <c r="I1561" i="1"/>
  <c r="E1561" i="1"/>
  <c r="D1561" i="1"/>
  <c r="C1561" i="1"/>
  <c r="B1561" i="1"/>
  <c r="A1561" i="1"/>
  <c r="J1560" i="1"/>
  <c r="K1560" i="1" s="1"/>
  <c r="I1560" i="1"/>
  <c r="E1560" i="1"/>
  <c r="D1560" i="1"/>
  <c r="C1560" i="1"/>
  <c r="B1560" i="1"/>
  <c r="A1560" i="1"/>
  <c r="J1559" i="1"/>
  <c r="K1559" i="1" s="1"/>
  <c r="I1559" i="1"/>
  <c r="E1559" i="1"/>
  <c r="D1559" i="1"/>
  <c r="C1559" i="1"/>
  <c r="B1559" i="1"/>
  <c r="A1559" i="1"/>
  <c r="J1558" i="1"/>
  <c r="K1558" i="1" s="1"/>
  <c r="I1558" i="1"/>
  <c r="E1558" i="1"/>
  <c r="D1558" i="1"/>
  <c r="C1558" i="1"/>
  <c r="B1558" i="1"/>
  <c r="A1558" i="1"/>
  <c r="J1557" i="1"/>
  <c r="K1557" i="1" s="1"/>
  <c r="I1557" i="1"/>
  <c r="E1557" i="1"/>
  <c r="D1557" i="1"/>
  <c r="C1557" i="1"/>
  <c r="B1557" i="1"/>
  <c r="A1557" i="1"/>
  <c r="J1556" i="1"/>
  <c r="K1556" i="1" s="1"/>
  <c r="I1556" i="1"/>
  <c r="E1556" i="1"/>
  <c r="D1556" i="1"/>
  <c r="C1556" i="1"/>
  <c r="B1556" i="1"/>
  <c r="A1556" i="1"/>
  <c r="J1555" i="1"/>
  <c r="K1555" i="1" s="1"/>
  <c r="I1555" i="1"/>
  <c r="E1555" i="1"/>
  <c r="D1555" i="1"/>
  <c r="C1555" i="1"/>
  <c r="B1555" i="1"/>
  <c r="A1555" i="1"/>
  <c r="J1554" i="1"/>
  <c r="K1554" i="1" s="1"/>
  <c r="L1560" i="1" s="1"/>
  <c r="I1554" i="1"/>
  <c r="E1554" i="1"/>
  <c r="D1554" i="1"/>
  <c r="C1554" i="1"/>
  <c r="B1554" i="1"/>
  <c r="A1554" i="1"/>
  <c r="J1553" i="1"/>
  <c r="K1553" i="1" s="1"/>
  <c r="I1553" i="1"/>
  <c r="E1553" i="1"/>
  <c r="D1553" i="1"/>
  <c r="C1553" i="1"/>
  <c r="B1553" i="1"/>
  <c r="A1553" i="1"/>
  <c r="J1552" i="1"/>
  <c r="K1552" i="1" s="1"/>
  <c r="I1552" i="1"/>
  <c r="E1552" i="1"/>
  <c r="D1552" i="1"/>
  <c r="C1552" i="1"/>
  <c r="B1552" i="1"/>
  <c r="A1552" i="1"/>
  <c r="J1551" i="1"/>
  <c r="K1551" i="1" s="1"/>
  <c r="I1551" i="1"/>
  <c r="E1551" i="1"/>
  <c r="D1551" i="1"/>
  <c r="C1551" i="1"/>
  <c r="B1551" i="1"/>
  <c r="A1551" i="1"/>
  <c r="J1550" i="1"/>
  <c r="I1550" i="1"/>
  <c r="K1550" i="1" s="1"/>
  <c r="E1550" i="1"/>
  <c r="D1550" i="1"/>
  <c r="C1550" i="1"/>
  <c r="B1550" i="1"/>
  <c r="A1550" i="1"/>
  <c r="J1549" i="1"/>
  <c r="K1549" i="1" s="1"/>
  <c r="I1549" i="1"/>
  <c r="E1549" i="1"/>
  <c r="D1549" i="1"/>
  <c r="C1549" i="1"/>
  <c r="B1549" i="1"/>
  <c r="A1549" i="1"/>
  <c r="J1548" i="1"/>
  <c r="K1548" i="1" s="1"/>
  <c r="I1548" i="1"/>
  <c r="E1548" i="1"/>
  <c r="D1548" i="1"/>
  <c r="C1548" i="1"/>
  <c r="B1548" i="1"/>
  <c r="A1548" i="1"/>
  <c r="J1547" i="1"/>
  <c r="K1547" i="1" s="1"/>
  <c r="I1547" i="1"/>
  <c r="E1547" i="1"/>
  <c r="D1547" i="1"/>
  <c r="C1547" i="1"/>
  <c r="B1547" i="1"/>
  <c r="A1547" i="1"/>
  <c r="J1546" i="1"/>
  <c r="K1546" i="1" s="1"/>
  <c r="I1546" i="1"/>
  <c r="E1546" i="1"/>
  <c r="D1546" i="1"/>
  <c r="C1546" i="1"/>
  <c r="B1546" i="1"/>
  <c r="A1546" i="1"/>
  <c r="J1545" i="1"/>
  <c r="K1545" i="1" s="1"/>
  <c r="I1545" i="1"/>
  <c r="E1545" i="1"/>
  <c r="D1545" i="1"/>
  <c r="C1545" i="1"/>
  <c r="B1545" i="1"/>
  <c r="A1545" i="1"/>
  <c r="J1544" i="1"/>
  <c r="K1544" i="1" s="1"/>
  <c r="L1552" i="1" s="1"/>
  <c r="I1544" i="1"/>
  <c r="E1544" i="1"/>
  <c r="D1544" i="1"/>
  <c r="C1544" i="1"/>
  <c r="B1544" i="1"/>
  <c r="A1544" i="1"/>
  <c r="J1543" i="1"/>
  <c r="K1543" i="1" s="1"/>
  <c r="I1543" i="1"/>
  <c r="E1543" i="1"/>
  <c r="D1543" i="1"/>
  <c r="C1543" i="1"/>
  <c r="B1543" i="1"/>
  <c r="A1543" i="1"/>
  <c r="J1542" i="1"/>
  <c r="K1542" i="1" s="1"/>
  <c r="I1542" i="1"/>
  <c r="E1542" i="1"/>
  <c r="D1542" i="1"/>
  <c r="C1542" i="1"/>
  <c r="B1542" i="1"/>
  <c r="A1542" i="1"/>
  <c r="J1541" i="1"/>
  <c r="K1541" i="1" s="1"/>
  <c r="I1541" i="1"/>
  <c r="E1541" i="1"/>
  <c r="D1541" i="1"/>
  <c r="C1541" i="1"/>
  <c r="B1541" i="1"/>
  <c r="A1541" i="1"/>
  <c r="J1540" i="1"/>
  <c r="K1540" i="1" s="1"/>
  <c r="I1540" i="1"/>
  <c r="E1540" i="1"/>
  <c r="D1540" i="1"/>
  <c r="C1540" i="1"/>
  <c r="B1540" i="1"/>
  <c r="A1540" i="1"/>
  <c r="J1539" i="1"/>
  <c r="K1539" i="1" s="1"/>
  <c r="I1539" i="1"/>
  <c r="E1539" i="1"/>
  <c r="D1539" i="1"/>
  <c r="C1539" i="1"/>
  <c r="B1539" i="1"/>
  <c r="A1539" i="1"/>
  <c r="J1538" i="1"/>
  <c r="K1538" i="1" s="1"/>
  <c r="I1538" i="1"/>
  <c r="E1538" i="1"/>
  <c r="D1538" i="1"/>
  <c r="C1538" i="1"/>
  <c r="B1538" i="1"/>
  <c r="A1538" i="1"/>
  <c r="J1537" i="1"/>
  <c r="K1537" i="1" s="1"/>
  <c r="I1537" i="1"/>
  <c r="E1537" i="1"/>
  <c r="D1537" i="1"/>
  <c r="C1537" i="1"/>
  <c r="B1537" i="1"/>
  <c r="A1537" i="1"/>
  <c r="J1536" i="1"/>
  <c r="K1536" i="1" s="1"/>
  <c r="I1536" i="1"/>
  <c r="E1536" i="1"/>
  <c r="D1536" i="1"/>
  <c r="C1536" i="1"/>
  <c r="B1536" i="1"/>
  <c r="A1536" i="1"/>
  <c r="J1535" i="1"/>
  <c r="K1535" i="1" s="1"/>
  <c r="I1535" i="1"/>
  <c r="E1535" i="1"/>
  <c r="D1535" i="1"/>
  <c r="C1535" i="1"/>
  <c r="B1535" i="1"/>
  <c r="A1535" i="1"/>
  <c r="J1534" i="1"/>
  <c r="K1534" i="1" s="1"/>
  <c r="I1534" i="1"/>
  <c r="E1534" i="1"/>
  <c r="D1534" i="1"/>
  <c r="C1534" i="1"/>
  <c r="B1534" i="1"/>
  <c r="A1534" i="1"/>
  <c r="J1533" i="1"/>
  <c r="K1533" i="1" s="1"/>
  <c r="I1533" i="1"/>
  <c r="E1533" i="1"/>
  <c r="D1533" i="1"/>
  <c r="C1533" i="1"/>
  <c r="B1533" i="1"/>
  <c r="A1533" i="1"/>
  <c r="J1532" i="1"/>
  <c r="K1532" i="1" s="1"/>
  <c r="I1532" i="1"/>
  <c r="E1532" i="1"/>
  <c r="D1532" i="1"/>
  <c r="C1532" i="1"/>
  <c r="B1532" i="1"/>
  <c r="A1532" i="1"/>
  <c r="J1531" i="1"/>
  <c r="K1531" i="1" s="1"/>
  <c r="I1531" i="1"/>
  <c r="E1531" i="1"/>
  <c r="D1531" i="1"/>
  <c r="C1531" i="1"/>
  <c r="B1531" i="1"/>
  <c r="A1531" i="1"/>
  <c r="J1530" i="1"/>
  <c r="K1530" i="1" s="1"/>
  <c r="I1530" i="1"/>
  <c r="E1530" i="1"/>
  <c r="D1530" i="1"/>
  <c r="C1530" i="1"/>
  <c r="B1530" i="1"/>
  <c r="A1530" i="1"/>
  <c r="J1529" i="1"/>
  <c r="K1529" i="1" s="1"/>
  <c r="I1529" i="1"/>
  <c r="E1529" i="1"/>
  <c r="D1529" i="1"/>
  <c r="C1529" i="1"/>
  <c r="B1529" i="1"/>
  <c r="A1529" i="1"/>
  <c r="J1528" i="1"/>
  <c r="K1528" i="1" s="1"/>
  <c r="I1528" i="1"/>
  <c r="E1528" i="1"/>
  <c r="D1528" i="1"/>
  <c r="C1528" i="1"/>
  <c r="B1528" i="1"/>
  <c r="A1528" i="1"/>
  <c r="J1527" i="1"/>
  <c r="K1527" i="1" s="1"/>
  <c r="I1527" i="1"/>
  <c r="E1527" i="1"/>
  <c r="D1527" i="1"/>
  <c r="C1527" i="1"/>
  <c r="B1527" i="1"/>
  <c r="A1527" i="1"/>
  <c r="J1526" i="1"/>
  <c r="K1526" i="1" s="1"/>
  <c r="I1526" i="1"/>
  <c r="E1526" i="1"/>
  <c r="D1526" i="1"/>
  <c r="C1526" i="1"/>
  <c r="B1526" i="1"/>
  <c r="A1526" i="1"/>
  <c r="J1525" i="1"/>
  <c r="K1525" i="1" s="1"/>
  <c r="I1525" i="1"/>
  <c r="E1525" i="1"/>
  <c r="D1525" i="1"/>
  <c r="C1525" i="1"/>
  <c r="B1525" i="1"/>
  <c r="A1525" i="1"/>
  <c r="J1524" i="1"/>
  <c r="K1524" i="1" s="1"/>
  <c r="I1524" i="1"/>
  <c r="E1524" i="1"/>
  <c r="D1524" i="1"/>
  <c r="C1524" i="1"/>
  <c r="B1524" i="1"/>
  <c r="A1524" i="1"/>
  <c r="J1523" i="1"/>
  <c r="K1523" i="1" s="1"/>
  <c r="L1543" i="1" s="1"/>
  <c r="I1523" i="1"/>
  <c r="E1523" i="1"/>
  <c r="D1523" i="1"/>
  <c r="C1523" i="1"/>
  <c r="B1523" i="1"/>
  <c r="A1523" i="1"/>
  <c r="J1522" i="1"/>
  <c r="I1522" i="1"/>
  <c r="K1522" i="1" s="1"/>
  <c r="E1522" i="1"/>
  <c r="D1522" i="1"/>
  <c r="C1522" i="1"/>
  <c r="B1522" i="1"/>
  <c r="A1522" i="1"/>
  <c r="J1521" i="1"/>
  <c r="I1521" i="1"/>
  <c r="K1521" i="1" s="1"/>
  <c r="E1521" i="1"/>
  <c r="D1521" i="1"/>
  <c r="C1521" i="1"/>
  <c r="B1521" i="1"/>
  <c r="A1521" i="1"/>
  <c r="J1520" i="1"/>
  <c r="K1520" i="1" s="1"/>
  <c r="I1520" i="1"/>
  <c r="E1520" i="1"/>
  <c r="D1520" i="1"/>
  <c r="C1520" i="1"/>
  <c r="B1520" i="1"/>
  <c r="A1520" i="1"/>
  <c r="J1519" i="1"/>
  <c r="K1519" i="1" s="1"/>
  <c r="I1519" i="1"/>
  <c r="E1519" i="1"/>
  <c r="D1519" i="1"/>
  <c r="C1519" i="1"/>
  <c r="B1519" i="1"/>
  <c r="A1519" i="1"/>
  <c r="J1518" i="1"/>
  <c r="K1518" i="1" s="1"/>
  <c r="I1518" i="1"/>
  <c r="E1518" i="1"/>
  <c r="D1518" i="1"/>
  <c r="C1518" i="1"/>
  <c r="B1518" i="1"/>
  <c r="A1518" i="1"/>
  <c r="J1517" i="1"/>
  <c r="K1517" i="1" s="1"/>
  <c r="I1517" i="1"/>
  <c r="E1517" i="1"/>
  <c r="D1517" i="1"/>
  <c r="C1517" i="1"/>
  <c r="B1517" i="1"/>
  <c r="A1517" i="1"/>
  <c r="J1516" i="1"/>
  <c r="K1516" i="1" s="1"/>
  <c r="I1516" i="1"/>
  <c r="E1516" i="1"/>
  <c r="D1516" i="1"/>
  <c r="C1516" i="1"/>
  <c r="B1516" i="1"/>
  <c r="A1516" i="1"/>
  <c r="J1515" i="1"/>
  <c r="K1515" i="1" s="1"/>
  <c r="I1515" i="1"/>
  <c r="E1515" i="1"/>
  <c r="D1515" i="1"/>
  <c r="C1515" i="1"/>
  <c r="B1515" i="1"/>
  <c r="A1515" i="1"/>
  <c r="J1514" i="1"/>
  <c r="K1514" i="1" s="1"/>
  <c r="I1514" i="1"/>
  <c r="E1514" i="1"/>
  <c r="D1514" i="1"/>
  <c r="C1514" i="1"/>
  <c r="B1514" i="1"/>
  <c r="A1514" i="1"/>
  <c r="J1513" i="1"/>
  <c r="K1513" i="1" s="1"/>
  <c r="I1513" i="1"/>
  <c r="E1513" i="1"/>
  <c r="D1513" i="1"/>
  <c r="C1513" i="1"/>
  <c r="B1513" i="1"/>
  <c r="A1513" i="1"/>
  <c r="J1512" i="1"/>
  <c r="K1512" i="1" s="1"/>
  <c r="I1512" i="1"/>
  <c r="E1512" i="1"/>
  <c r="D1512" i="1"/>
  <c r="C1512" i="1"/>
  <c r="B1512" i="1"/>
  <c r="A1512" i="1"/>
  <c r="J1511" i="1"/>
  <c r="K1511" i="1" s="1"/>
  <c r="I1511" i="1"/>
  <c r="E1511" i="1"/>
  <c r="D1511" i="1"/>
  <c r="C1511" i="1"/>
  <c r="B1511" i="1"/>
  <c r="A1511" i="1"/>
  <c r="J1510" i="1"/>
  <c r="K1510" i="1" s="1"/>
  <c r="I1510" i="1"/>
  <c r="E1510" i="1"/>
  <c r="D1510" i="1"/>
  <c r="C1510" i="1"/>
  <c r="B1510" i="1"/>
  <c r="A1510" i="1"/>
  <c r="J1509" i="1"/>
  <c r="K1509" i="1" s="1"/>
  <c r="I1509" i="1"/>
  <c r="E1509" i="1"/>
  <c r="D1509" i="1"/>
  <c r="C1509" i="1"/>
  <c r="B1509" i="1"/>
  <c r="A1509" i="1"/>
  <c r="J1508" i="1"/>
  <c r="K1508" i="1" s="1"/>
  <c r="I1508" i="1"/>
  <c r="E1508" i="1"/>
  <c r="D1508" i="1"/>
  <c r="C1508" i="1"/>
  <c r="B1508" i="1"/>
  <c r="A1508" i="1"/>
  <c r="J1507" i="1"/>
  <c r="K1507" i="1" s="1"/>
  <c r="I1507" i="1"/>
  <c r="E1507" i="1"/>
  <c r="D1507" i="1"/>
  <c r="C1507" i="1"/>
  <c r="B1507" i="1"/>
  <c r="A1507" i="1"/>
  <c r="J1506" i="1"/>
  <c r="K1506" i="1" s="1"/>
  <c r="I1506" i="1"/>
  <c r="E1506" i="1"/>
  <c r="D1506" i="1"/>
  <c r="C1506" i="1"/>
  <c r="B1506" i="1"/>
  <c r="A1506" i="1"/>
  <c r="J1505" i="1"/>
  <c r="K1505" i="1" s="1"/>
  <c r="I1505" i="1"/>
  <c r="E1505" i="1"/>
  <c r="D1505" i="1"/>
  <c r="C1505" i="1"/>
  <c r="B1505" i="1"/>
  <c r="A1505" i="1"/>
  <c r="J1504" i="1"/>
  <c r="K1504" i="1" s="1"/>
  <c r="L1522" i="1" s="1"/>
  <c r="I1504" i="1"/>
  <c r="E1504" i="1"/>
  <c r="D1504" i="1"/>
  <c r="C1504" i="1"/>
  <c r="B1504" i="1"/>
  <c r="A1504" i="1"/>
  <c r="J1503" i="1"/>
  <c r="K1503" i="1" s="1"/>
  <c r="I1503" i="1"/>
  <c r="E1503" i="1"/>
  <c r="D1503" i="1"/>
  <c r="C1503" i="1"/>
  <c r="B1503" i="1"/>
  <c r="A1503" i="1"/>
  <c r="J1502" i="1"/>
  <c r="K1502" i="1" s="1"/>
  <c r="I1502" i="1"/>
  <c r="E1502" i="1"/>
  <c r="D1502" i="1"/>
  <c r="C1502" i="1"/>
  <c r="B1502" i="1"/>
  <c r="A1502" i="1"/>
  <c r="J1501" i="1"/>
  <c r="K1501" i="1" s="1"/>
  <c r="I1501" i="1"/>
  <c r="E1501" i="1"/>
  <c r="D1501" i="1"/>
  <c r="C1501" i="1"/>
  <c r="B1501" i="1"/>
  <c r="A1501" i="1"/>
  <c r="J1500" i="1"/>
  <c r="K1500" i="1" s="1"/>
  <c r="I1500" i="1"/>
  <c r="E1500" i="1"/>
  <c r="D1500" i="1"/>
  <c r="C1500" i="1"/>
  <c r="B1500" i="1"/>
  <c r="A1500" i="1"/>
  <c r="J1499" i="1"/>
  <c r="K1499" i="1" s="1"/>
  <c r="I1499" i="1"/>
  <c r="E1499" i="1"/>
  <c r="D1499" i="1"/>
  <c r="C1499" i="1"/>
  <c r="B1499" i="1"/>
  <c r="A1499" i="1"/>
  <c r="J1498" i="1"/>
  <c r="K1498" i="1" s="1"/>
  <c r="I1498" i="1"/>
  <c r="E1498" i="1"/>
  <c r="D1498" i="1"/>
  <c r="C1498" i="1"/>
  <c r="B1498" i="1"/>
  <c r="A1498" i="1"/>
  <c r="J1497" i="1"/>
  <c r="K1497" i="1" s="1"/>
  <c r="I1497" i="1"/>
  <c r="E1497" i="1"/>
  <c r="D1497" i="1"/>
  <c r="C1497" i="1"/>
  <c r="B1497" i="1"/>
  <c r="A1497" i="1"/>
  <c r="J1496" i="1"/>
  <c r="K1496" i="1" s="1"/>
  <c r="I1496" i="1"/>
  <c r="E1496" i="1"/>
  <c r="D1496" i="1"/>
  <c r="C1496" i="1"/>
  <c r="B1496" i="1"/>
  <c r="A1496" i="1"/>
  <c r="J1495" i="1"/>
  <c r="K1495" i="1" s="1"/>
  <c r="I1495" i="1"/>
  <c r="E1495" i="1"/>
  <c r="D1495" i="1"/>
  <c r="C1495" i="1"/>
  <c r="B1495" i="1"/>
  <c r="A1495" i="1"/>
  <c r="J1494" i="1"/>
  <c r="K1494" i="1" s="1"/>
  <c r="I1494" i="1"/>
  <c r="E1494" i="1"/>
  <c r="D1494" i="1"/>
  <c r="C1494" i="1"/>
  <c r="B1494" i="1"/>
  <c r="A1494" i="1"/>
  <c r="J1493" i="1"/>
  <c r="K1493" i="1" s="1"/>
  <c r="I1493" i="1"/>
  <c r="E1493" i="1"/>
  <c r="D1493" i="1"/>
  <c r="C1493" i="1"/>
  <c r="B1493" i="1"/>
  <c r="A1493" i="1"/>
  <c r="J1492" i="1"/>
  <c r="K1492" i="1" s="1"/>
  <c r="I1492" i="1"/>
  <c r="E1492" i="1"/>
  <c r="D1492" i="1"/>
  <c r="C1492" i="1"/>
  <c r="B1492" i="1"/>
  <c r="A1492" i="1"/>
  <c r="J1491" i="1"/>
  <c r="K1491" i="1" s="1"/>
  <c r="I1491" i="1"/>
  <c r="E1491" i="1"/>
  <c r="D1491" i="1"/>
  <c r="C1491" i="1"/>
  <c r="B1491" i="1"/>
  <c r="A1491" i="1"/>
  <c r="J1490" i="1"/>
  <c r="K1490" i="1" s="1"/>
  <c r="I1490" i="1"/>
  <c r="E1490" i="1"/>
  <c r="D1490" i="1"/>
  <c r="C1490" i="1"/>
  <c r="B1490" i="1"/>
  <c r="A1490" i="1"/>
  <c r="J1489" i="1"/>
  <c r="K1489" i="1" s="1"/>
  <c r="I1489" i="1"/>
  <c r="E1489" i="1"/>
  <c r="D1489" i="1"/>
  <c r="C1489" i="1"/>
  <c r="B1489" i="1"/>
  <c r="A1489" i="1"/>
  <c r="J1488" i="1"/>
  <c r="K1488" i="1" s="1"/>
  <c r="I1488" i="1"/>
  <c r="E1488" i="1"/>
  <c r="D1488" i="1"/>
  <c r="C1488" i="1"/>
  <c r="B1488" i="1"/>
  <c r="A1488" i="1"/>
  <c r="J1487" i="1"/>
  <c r="K1487" i="1" s="1"/>
  <c r="I1487" i="1"/>
  <c r="D1487" i="1"/>
  <c r="C1487" i="1"/>
  <c r="A1487" i="1"/>
  <c r="J1486" i="1"/>
  <c r="K1486" i="1" s="1"/>
  <c r="I1486" i="1"/>
  <c r="E1486" i="1"/>
  <c r="D1486" i="1"/>
  <c r="C1486" i="1"/>
  <c r="B1486" i="1"/>
  <c r="A1486" i="1"/>
  <c r="J1485" i="1"/>
  <c r="K1485" i="1" s="1"/>
  <c r="I1485" i="1"/>
  <c r="E1485" i="1"/>
  <c r="D1485" i="1"/>
  <c r="C1485" i="1"/>
  <c r="B1485" i="1"/>
  <c r="A1485" i="1"/>
  <c r="J1484" i="1"/>
  <c r="K1484" i="1" s="1"/>
  <c r="I1484" i="1"/>
  <c r="E1484" i="1"/>
  <c r="D1484" i="1"/>
  <c r="C1484" i="1"/>
  <c r="B1484" i="1"/>
  <c r="A1484" i="1"/>
  <c r="J1483" i="1"/>
  <c r="K1483" i="1" s="1"/>
  <c r="I1483" i="1"/>
  <c r="E1483" i="1"/>
  <c r="D1483" i="1"/>
  <c r="C1483" i="1"/>
  <c r="B1483" i="1"/>
  <c r="A1483" i="1"/>
  <c r="J1482" i="1"/>
  <c r="K1482" i="1" s="1"/>
  <c r="I1482" i="1"/>
  <c r="E1482" i="1"/>
  <c r="D1482" i="1"/>
  <c r="C1482" i="1"/>
  <c r="B1482" i="1"/>
  <c r="A1482" i="1"/>
  <c r="J1481" i="1"/>
  <c r="K1481" i="1" s="1"/>
  <c r="I1481" i="1"/>
  <c r="E1481" i="1"/>
  <c r="D1481" i="1"/>
  <c r="C1481" i="1"/>
  <c r="B1481" i="1"/>
  <c r="A1481" i="1"/>
  <c r="J1480" i="1"/>
  <c r="K1480" i="1" s="1"/>
  <c r="L1503" i="1" s="1"/>
  <c r="I1480" i="1"/>
  <c r="E1480" i="1"/>
  <c r="D1480" i="1"/>
  <c r="C1480" i="1"/>
  <c r="B1480" i="1"/>
  <c r="A1480" i="1"/>
  <c r="J1479" i="1"/>
  <c r="I1479" i="1"/>
  <c r="K1479" i="1" s="1"/>
  <c r="L1479" i="1" s="1"/>
  <c r="E1479" i="1"/>
  <c r="D1479" i="1"/>
  <c r="C1479" i="1"/>
  <c r="B1479" i="1"/>
  <c r="A1479" i="1"/>
  <c r="J1478" i="1"/>
  <c r="K1478" i="1" s="1"/>
  <c r="I1478" i="1"/>
  <c r="E1478" i="1"/>
  <c r="D1478" i="1"/>
  <c r="C1478" i="1"/>
  <c r="B1478" i="1"/>
  <c r="A1478" i="1"/>
  <c r="J1477" i="1"/>
  <c r="K1477" i="1" s="1"/>
  <c r="L1477" i="1" s="1"/>
  <c r="I1477" i="1"/>
  <c r="E1477" i="1"/>
  <c r="D1477" i="1"/>
  <c r="C1477" i="1"/>
  <c r="B1477" i="1"/>
  <c r="A1477" i="1"/>
  <c r="J1476" i="1"/>
  <c r="K1476" i="1" s="1"/>
  <c r="I1476" i="1"/>
  <c r="E1476" i="1"/>
  <c r="D1476" i="1"/>
  <c r="C1476" i="1"/>
  <c r="B1476" i="1"/>
  <c r="A1476" i="1"/>
  <c r="J1475" i="1"/>
  <c r="K1475" i="1" s="1"/>
  <c r="I1475" i="1"/>
  <c r="E1475" i="1"/>
  <c r="D1475" i="1"/>
  <c r="C1475" i="1"/>
  <c r="B1475" i="1"/>
  <c r="A1475" i="1"/>
  <c r="J1474" i="1"/>
  <c r="K1474" i="1" s="1"/>
  <c r="I1474" i="1"/>
  <c r="E1474" i="1"/>
  <c r="D1474" i="1"/>
  <c r="C1474" i="1"/>
  <c r="B1474" i="1"/>
  <c r="A1474" i="1"/>
  <c r="J1473" i="1"/>
  <c r="K1473" i="1" s="1"/>
  <c r="I1473" i="1"/>
  <c r="E1473" i="1"/>
  <c r="D1473" i="1"/>
  <c r="C1473" i="1"/>
  <c r="B1473" i="1"/>
  <c r="A1473" i="1"/>
  <c r="J1472" i="1"/>
  <c r="I1472" i="1"/>
  <c r="K1472" i="1" s="1"/>
  <c r="E1472" i="1"/>
  <c r="D1472" i="1"/>
  <c r="C1472" i="1"/>
  <c r="B1472" i="1"/>
  <c r="A1472" i="1"/>
  <c r="J1471" i="1"/>
  <c r="K1471" i="1" s="1"/>
  <c r="I1471" i="1"/>
  <c r="E1471" i="1"/>
  <c r="D1471" i="1"/>
  <c r="C1471" i="1"/>
  <c r="B1471" i="1"/>
  <c r="A1471" i="1"/>
  <c r="J1470" i="1"/>
  <c r="K1470" i="1" s="1"/>
  <c r="I1470" i="1"/>
  <c r="E1470" i="1"/>
  <c r="D1470" i="1"/>
  <c r="C1470" i="1"/>
  <c r="B1470" i="1"/>
  <c r="A1470" i="1"/>
  <c r="J1469" i="1"/>
  <c r="K1469" i="1" s="1"/>
  <c r="I1469" i="1"/>
  <c r="E1469" i="1"/>
  <c r="D1469" i="1"/>
  <c r="C1469" i="1"/>
  <c r="B1469" i="1"/>
  <c r="A1469" i="1"/>
  <c r="J1468" i="1"/>
  <c r="K1468" i="1" s="1"/>
  <c r="I1468" i="1"/>
  <c r="E1468" i="1"/>
  <c r="D1468" i="1"/>
  <c r="C1468" i="1"/>
  <c r="B1468" i="1"/>
  <c r="A1468" i="1"/>
  <c r="J1467" i="1"/>
  <c r="K1467" i="1" s="1"/>
  <c r="I1467" i="1"/>
  <c r="E1467" i="1"/>
  <c r="D1467" i="1"/>
  <c r="C1467" i="1"/>
  <c r="B1467" i="1"/>
  <c r="A1467" i="1"/>
  <c r="J1466" i="1"/>
  <c r="K1466" i="1" s="1"/>
  <c r="I1466" i="1"/>
  <c r="E1466" i="1"/>
  <c r="D1466" i="1"/>
  <c r="C1466" i="1"/>
  <c r="B1466" i="1"/>
  <c r="A1466" i="1"/>
  <c r="J1465" i="1"/>
  <c r="K1465" i="1" s="1"/>
  <c r="L1476" i="1" s="1"/>
  <c r="I1465" i="1"/>
  <c r="E1465" i="1"/>
  <c r="D1465" i="1"/>
  <c r="C1465" i="1"/>
  <c r="B1465" i="1"/>
  <c r="A1465" i="1"/>
  <c r="J1464" i="1"/>
  <c r="K1464" i="1" s="1"/>
  <c r="L1464" i="1" s="1"/>
  <c r="I1464" i="1"/>
  <c r="E1464" i="1"/>
  <c r="D1464" i="1"/>
  <c r="C1464" i="1"/>
  <c r="B1464" i="1"/>
  <c r="A1464" i="1"/>
  <c r="J1463" i="1"/>
  <c r="K1463" i="1" s="1"/>
  <c r="I1463" i="1"/>
  <c r="E1463" i="1"/>
  <c r="D1463" i="1"/>
  <c r="C1463" i="1"/>
  <c r="B1463" i="1"/>
  <c r="A1463" i="1"/>
  <c r="J1462" i="1"/>
  <c r="K1462" i="1" s="1"/>
  <c r="I1462" i="1"/>
  <c r="E1462" i="1"/>
  <c r="D1462" i="1"/>
  <c r="C1462" i="1"/>
  <c r="B1462" i="1"/>
  <c r="A1462" i="1"/>
  <c r="J1461" i="1"/>
  <c r="K1461" i="1" s="1"/>
  <c r="I1461" i="1"/>
  <c r="E1461" i="1"/>
  <c r="D1461" i="1"/>
  <c r="C1461" i="1"/>
  <c r="B1461" i="1"/>
  <c r="A1461" i="1"/>
  <c r="J1460" i="1"/>
  <c r="K1460" i="1" s="1"/>
  <c r="I1460" i="1"/>
  <c r="E1460" i="1"/>
  <c r="D1460" i="1"/>
  <c r="C1460" i="1"/>
  <c r="B1460" i="1"/>
  <c r="A1460" i="1"/>
  <c r="J1459" i="1"/>
  <c r="K1459" i="1" s="1"/>
  <c r="I1459" i="1"/>
  <c r="E1459" i="1"/>
  <c r="D1459" i="1"/>
  <c r="C1459" i="1"/>
  <c r="B1459" i="1"/>
  <c r="A1459" i="1"/>
  <c r="J1458" i="1"/>
  <c r="K1458" i="1" s="1"/>
  <c r="I1458" i="1"/>
  <c r="E1458" i="1"/>
  <c r="D1458" i="1"/>
  <c r="C1458" i="1"/>
  <c r="B1458" i="1"/>
  <c r="A1458" i="1"/>
  <c r="J1457" i="1"/>
  <c r="K1457" i="1" s="1"/>
  <c r="I1457" i="1"/>
  <c r="E1457" i="1"/>
  <c r="D1457" i="1"/>
  <c r="C1457" i="1"/>
  <c r="B1457" i="1"/>
  <c r="A1457" i="1"/>
  <c r="J1456" i="1"/>
  <c r="K1456" i="1" s="1"/>
  <c r="I1456" i="1"/>
  <c r="E1456" i="1"/>
  <c r="D1456" i="1"/>
  <c r="C1456" i="1"/>
  <c r="B1456" i="1"/>
  <c r="A1456" i="1"/>
  <c r="J1455" i="1"/>
  <c r="K1455" i="1" s="1"/>
  <c r="I1455" i="1"/>
  <c r="E1455" i="1"/>
  <c r="D1455" i="1"/>
  <c r="C1455" i="1"/>
  <c r="B1455" i="1"/>
  <c r="A1455" i="1"/>
  <c r="J1454" i="1"/>
  <c r="K1454" i="1" s="1"/>
  <c r="I1454" i="1"/>
  <c r="E1454" i="1"/>
  <c r="D1454" i="1"/>
  <c r="C1454" i="1"/>
  <c r="B1454" i="1"/>
  <c r="A1454" i="1"/>
  <c r="J1453" i="1"/>
  <c r="K1453" i="1" s="1"/>
  <c r="I1453" i="1"/>
  <c r="E1453" i="1"/>
  <c r="D1453" i="1"/>
  <c r="C1453" i="1"/>
  <c r="B1453" i="1"/>
  <c r="A1453" i="1"/>
  <c r="J1452" i="1"/>
  <c r="K1452" i="1" s="1"/>
  <c r="I1452" i="1"/>
  <c r="E1452" i="1"/>
  <c r="D1452" i="1"/>
  <c r="C1452" i="1"/>
  <c r="B1452" i="1"/>
  <c r="A1452" i="1"/>
  <c r="J1451" i="1"/>
  <c r="K1451" i="1" s="1"/>
  <c r="I1451" i="1"/>
  <c r="E1451" i="1"/>
  <c r="D1451" i="1"/>
  <c r="C1451" i="1"/>
  <c r="B1451" i="1"/>
  <c r="A1451" i="1"/>
  <c r="J1450" i="1"/>
  <c r="K1450" i="1" s="1"/>
  <c r="I1450" i="1"/>
  <c r="E1450" i="1"/>
  <c r="D1450" i="1"/>
  <c r="C1450" i="1"/>
  <c r="B1450" i="1"/>
  <c r="A1450" i="1"/>
  <c r="J1449" i="1"/>
  <c r="K1449" i="1" s="1"/>
  <c r="I1449" i="1"/>
  <c r="E1449" i="1"/>
  <c r="D1449" i="1"/>
  <c r="C1449" i="1"/>
  <c r="B1449" i="1"/>
  <c r="A1449" i="1"/>
  <c r="J1448" i="1"/>
  <c r="K1448" i="1" s="1"/>
  <c r="I1448" i="1"/>
  <c r="E1448" i="1"/>
  <c r="D1448" i="1"/>
  <c r="C1448" i="1"/>
  <c r="B1448" i="1"/>
  <c r="A1448" i="1"/>
  <c r="J1447" i="1"/>
  <c r="K1447" i="1" s="1"/>
  <c r="I1447" i="1"/>
  <c r="E1447" i="1"/>
  <c r="D1447" i="1"/>
  <c r="C1447" i="1"/>
  <c r="B1447" i="1"/>
  <c r="A1447" i="1"/>
  <c r="J1446" i="1"/>
  <c r="K1446" i="1" s="1"/>
  <c r="I1446" i="1"/>
  <c r="E1446" i="1"/>
  <c r="D1446" i="1"/>
  <c r="C1446" i="1"/>
  <c r="B1446" i="1"/>
  <c r="A1446" i="1"/>
  <c r="J1445" i="1"/>
  <c r="K1445" i="1" s="1"/>
  <c r="I1445" i="1"/>
  <c r="E1445" i="1"/>
  <c r="D1445" i="1"/>
  <c r="C1445" i="1"/>
  <c r="B1445" i="1"/>
  <c r="A1445" i="1"/>
  <c r="J1444" i="1"/>
  <c r="K1444" i="1" s="1"/>
  <c r="I1444" i="1"/>
  <c r="E1444" i="1"/>
  <c r="D1444" i="1"/>
  <c r="C1444" i="1"/>
  <c r="B1444" i="1"/>
  <c r="A1444" i="1"/>
  <c r="J1443" i="1"/>
  <c r="K1443" i="1" s="1"/>
  <c r="I1443" i="1"/>
  <c r="E1443" i="1"/>
  <c r="D1443" i="1"/>
  <c r="C1443" i="1"/>
  <c r="B1443" i="1"/>
  <c r="A1443" i="1"/>
  <c r="J1442" i="1"/>
  <c r="K1442" i="1" s="1"/>
  <c r="I1442" i="1"/>
  <c r="E1442" i="1"/>
  <c r="D1442" i="1"/>
  <c r="C1442" i="1"/>
  <c r="B1442" i="1"/>
  <c r="A1442" i="1"/>
  <c r="J1441" i="1"/>
  <c r="K1441" i="1" s="1"/>
  <c r="I1441" i="1"/>
  <c r="E1441" i="1"/>
  <c r="D1441" i="1"/>
  <c r="C1441" i="1"/>
  <c r="B1441" i="1"/>
  <c r="A1441" i="1"/>
  <c r="J1440" i="1"/>
  <c r="K1440" i="1" s="1"/>
  <c r="I1440" i="1"/>
  <c r="E1440" i="1"/>
  <c r="D1440" i="1"/>
  <c r="C1440" i="1"/>
  <c r="B1440" i="1"/>
  <c r="A1440" i="1"/>
  <c r="J1439" i="1"/>
  <c r="K1439" i="1" s="1"/>
  <c r="I1439" i="1"/>
  <c r="E1439" i="1"/>
  <c r="D1439" i="1"/>
  <c r="C1439" i="1"/>
  <c r="B1439" i="1"/>
  <c r="A1439" i="1"/>
  <c r="J1438" i="1"/>
  <c r="K1438" i="1" s="1"/>
  <c r="I1438" i="1"/>
  <c r="E1438" i="1"/>
  <c r="D1438" i="1"/>
  <c r="C1438" i="1"/>
  <c r="B1438" i="1"/>
  <c r="A1438" i="1"/>
  <c r="J1437" i="1"/>
  <c r="K1437" i="1" s="1"/>
  <c r="I1437" i="1"/>
  <c r="E1437" i="1"/>
  <c r="D1437" i="1"/>
  <c r="C1437" i="1"/>
  <c r="B1437" i="1"/>
  <c r="A1437" i="1"/>
  <c r="J1436" i="1"/>
  <c r="K1436" i="1" s="1"/>
  <c r="I1436" i="1"/>
  <c r="E1436" i="1"/>
  <c r="D1436" i="1"/>
  <c r="C1436" i="1"/>
  <c r="B1436" i="1"/>
  <c r="A1436" i="1"/>
  <c r="J1435" i="1"/>
  <c r="K1435" i="1" s="1"/>
  <c r="I1435" i="1"/>
  <c r="E1435" i="1"/>
  <c r="D1435" i="1"/>
  <c r="C1435" i="1"/>
  <c r="B1435" i="1"/>
  <c r="A1435" i="1"/>
  <c r="J1434" i="1"/>
  <c r="K1434" i="1" s="1"/>
  <c r="I1434" i="1"/>
  <c r="E1434" i="1"/>
  <c r="D1434" i="1"/>
  <c r="C1434" i="1"/>
  <c r="B1434" i="1"/>
  <c r="A1434" i="1"/>
  <c r="K1433" i="1"/>
  <c r="J1433" i="1"/>
  <c r="I1433" i="1"/>
  <c r="E1433" i="1"/>
  <c r="D1433" i="1"/>
  <c r="C1433" i="1"/>
  <c r="B1433" i="1"/>
  <c r="A1433" i="1"/>
  <c r="J1432" i="1"/>
  <c r="K1432" i="1" s="1"/>
  <c r="I1432" i="1"/>
  <c r="E1432" i="1"/>
  <c r="D1432" i="1"/>
  <c r="C1432" i="1"/>
  <c r="B1432" i="1"/>
  <c r="A1432" i="1"/>
  <c r="J1431" i="1"/>
  <c r="K1431" i="1" s="1"/>
  <c r="I1431" i="1"/>
  <c r="E1431" i="1"/>
  <c r="D1431" i="1"/>
  <c r="C1431" i="1"/>
  <c r="B1431" i="1"/>
  <c r="A1431" i="1"/>
  <c r="J1430" i="1"/>
  <c r="K1430" i="1" s="1"/>
  <c r="I1430" i="1"/>
  <c r="E1430" i="1"/>
  <c r="D1430" i="1"/>
  <c r="C1430" i="1"/>
  <c r="B1430" i="1"/>
  <c r="A1430" i="1"/>
  <c r="J1429" i="1"/>
  <c r="K1429" i="1" s="1"/>
  <c r="I1429" i="1"/>
  <c r="E1429" i="1"/>
  <c r="D1429" i="1"/>
  <c r="C1429" i="1"/>
  <c r="B1429" i="1"/>
  <c r="A1429" i="1"/>
  <c r="J1428" i="1"/>
  <c r="K1428" i="1" s="1"/>
  <c r="I1428" i="1"/>
  <c r="E1428" i="1"/>
  <c r="D1428" i="1"/>
  <c r="C1428" i="1"/>
  <c r="B1428" i="1"/>
  <c r="A1428" i="1"/>
  <c r="J1427" i="1"/>
  <c r="K1427" i="1" s="1"/>
  <c r="I1427" i="1"/>
  <c r="E1427" i="1"/>
  <c r="D1427" i="1"/>
  <c r="C1427" i="1"/>
  <c r="B1427" i="1"/>
  <c r="A1427" i="1"/>
  <c r="J1426" i="1"/>
  <c r="K1426" i="1" s="1"/>
  <c r="I1426" i="1"/>
  <c r="E1426" i="1"/>
  <c r="D1426" i="1"/>
  <c r="C1426" i="1"/>
  <c r="B1426" i="1"/>
  <c r="A1426" i="1"/>
  <c r="J1425" i="1"/>
  <c r="K1425" i="1" s="1"/>
  <c r="I1425" i="1"/>
  <c r="E1425" i="1"/>
  <c r="D1425" i="1"/>
  <c r="C1425" i="1"/>
  <c r="B1425" i="1"/>
  <c r="A1425" i="1"/>
  <c r="J1424" i="1"/>
  <c r="I1424" i="1"/>
  <c r="K1424" i="1" s="1"/>
  <c r="E1424" i="1"/>
  <c r="D1424" i="1"/>
  <c r="C1424" i="1"/>
  <c r="B1424" i="1"/>
  <c r="A1424" i="1"/>
  <c r="J1423" i="1"/>
  <c r="K1423" i="1" s="1"/>
  <c r="I1423" i="1"/>
  <c r="E1423" i="1"/>
  <c r="D1423" i="1"/>
  <c r="C1423" i="1"/>
  <c r="B1423" i="1"/>
  <c r="A1423" i="1"/>
  <c r="J1422" i="1"/>
  <c r="K1422" i="1" s="1"/>
  <c r="I1422" i="1"/>
  <c r="E1422" i="1"/>
  <c r="D1422" i="1"/>
  <c r="C1422" i="1"/>
  <c r="B1422" i="1"/>
  <c r="A1422" i="1"/>
  <c r="K1421" i="1"/>
  <c r="J1421" i="1"/>
  <c r="I1421" i="1"/>
  <c r="E1421" i="1"/>
  <c r="D1421" i="1"/>
  <c r="C1421" i="1"/>
  <c r="B1421" i="1"/>
  <c r="A1421" i="1"/>
  <c r="J1420" i="1"/>
  <c r="K1420" i="1" s="1"/>
  <c r="I1420" i="1"/>
  <c r="E1420" i="1"/>
  <c r="D1420" i="1"/>
  <c r="C1420" i="1"/>
  <c r="B1420" i="1"/>
  <c r="A1420" i="1"/>
  <c r="J1419" i="1"/>
  <c r="K1419" i="1" s="1"/>
  <c r="I1419" i="1"/>
  <c r="E1419" i="1"/>
  <c r="D1419" i="1"/>
  <c r="C1419" i="1"/>
  <c r="B1419" i="1"/>
  <c r="A1419" i="1"/>
  <c r="J1418" i="1"/>
  <c r="K1418" i="1" s="1"/>
  <c r="I1418" i="1"/>
  <c r="E1418" i="1"/>
  <c r="D1418" i="1"/>
  <c r="C1418" i="1"/>
  <c r="B1418" i="1"/>
  <c r="A1418" i="1"/>
  <c r="J1417" i="1"/>
  <c r="K1417" i="1" s="1"/>
  <c r="I1417" i="1"/>
  <c r="E1417" i="1"/>
  <c r="D1417" i="1"/>
  <c r="C1417" i="1"/>
  <c r="B1417" i="1"/>
  <c r="A1417" i="1"/>
  <c r="J1416" i="1"/>
  <c r="K1416" i="1" s="1"/>
  <c r="I1416" i="1"/>
  <c r="E1416" i="1"/>
  <c r="D1416" i="1"/>
  <c r="C1416" i="1"/>
  <c r="B1416" i="1"/>
  <c r="A1416" i="1"/>
  <c r="J1415" i="1"/>
  <c r="K1415" i="1" s="1"/>
  <c r="I1415" i="1"/>
  <c r="E1415" i="1"/>
  <c r="D1415" i="1"/>
  <c r="C1415" i="1"/>
  <c r="B1415" i="1"/>
  <c r="A1415" i="1"/>
  <c r="J1414" i="1"/>
  <c r="K1414" i="1" s="1"/>
  <c r="I1414" i="1"/>
  <c r="E1414" i="1"/>
  <c r="D1414" i="1"/>
  <c r="C1414" i="1"/>
  <c r="B1414" i="1"/>
  <c r="A1414" i="1"/>
  <c r="J1413" i="1"/>
  <c r="K1413" i="1" s="1"/>
  <c r="I1413" i="1"/>
  <c r="E1413" i="1"/>
  <c r="D1413" i="1"/>
  <c r="C1413" i="1"/>
  <c r="B1413" i="1"/>
  <c r="A1413" i="1"/>
  <c r="J1412" i="1"/>
  <c r="K1412" i="1" s="1"/>
  <c r="I1412" i="1"/>
  <c r="E1412" i="1"/>
  <c r="D1412" i="1"/>
  <c r="C1412" i="1"/>
  <c r="B1412" i="1"/>
  <c r="A1412" i="1"/>
  <c r="J1411" i="1"/>
  <c r="K1411" i="1" s="1"/>
  <c r="I1411" i="1"/>
  <c r="E1411" i="1"/>
  <c r="D1411" i="1"/>
  <c r="C1411" i="1"/>
  <c r="B1411" i="1"/>
  <c r="A1411" i="1"/>
  <c r="J1410" i="1"/>
  <c r="K1410" i="1" s="1"/>
  <c r="I1410" i="1"/>
  <c r="E1410" i="1"/>
  <c r="D1410" i="1"/>
  <c r="C1410" i="1"/>
  <c r="B1410" i="1"/>
  <c r="A1410" i="1"/>
  <c r="J1409" i="1"/>
  <c r="K1409" i="1" s="1"/>
  <c r="I1409" i="1"/>
  <c r="E1409" i="1"/>
  <c r="D1409" i="1"/>
  <c r="C1409" i="1"/>
  <c r="B1409" i="1"/>
  <c r="A1409" i="1"/>
  <c r="J1408" i="1"/>
  <c r="K1408" i="1" s="1"/>
  <c r="I1408" i="1"/>
  <c r="E1408" i="1"/>
  <c r="D1408" i="1"/>
  <c r="C1408" i="1"/>
  <c r="B1408" i="1"/>
  <c r="A1408" i="1"/>
  <c r="J1407" i="1"/>
  <c r="K1407" i="1" s="1"/>
  <c r="I1407" i="1"/>
  <c r="E1407" i="1"/>
  <c r="D1407" i="1"/>
  <c r="C1407" i="1"/>
  <c r="B1407" i="1"/>
  <c r="A1407" i="1"/>
  <c r="J1406" i="1"/>
  <c r="K1406" i="1" s="1"/>
  <c r="I1406" i="1"/>
  <c r="E1406" i="1"/>
  <c r="D1406" i="1"/>
  <c r="C1406" i="1"/>
  <c r="B1406" i="1"/>
  <c r="A1406" i="1"/>
  <c r="J1405" i="1"/>
  <c r="K1405" i="1" s="1"/>
  <c r="I1405" i="1"/>
  <c r="E1405" i="1"/>
  <c r="D1405" i="1"/>
  <c r="C1405" i="1"/>
  <c r="B1405" i="1"/>
  <c r="A1405" i="1"/>
  <c r="J1404" i="1"/>
  <c r="K1404" i="1" s="1"/>
  <c r="I1404" i="1"/>
  <c r="E1404" i="1"/>
  <c r="D1404" i="1"/>
  <c r="C1404" i="1"/>
  <c r="B1404" i="1"/>
  <c r="A1404" i="1"/>
  <c r="J1403" i="1"/>
  <c r="K1403" i="1" s="1"/>
  <c r="I1403" i="1"/>
  <c r="E1403" i="1"/>
  <c r="D1403" i="1"/>
  <c r="C1403" i="1"/>
  <c r="B1403" i="1"/>
  <c r="A1403" i="1"/>
  <c r="J1402" i="1"/>
  <c r="K1402" i="1" s="1"/>
  <c r="I1402" i="1"/>
  <c r="E1402" i="1"/>
  <c r="D1402" i="1"/>
  <c r="C1402" i="1"/>
  <c r="B1402" i="1"/>
  <c r="A1402" i="1"/>
  <c r="J1401" i="1"/>
  <c r="K1401" i="1" s="1"/>
  <c r="I1401" i="1"/>
  <c r="E1401" i="1"/>
  <c r="D1401" i="1"/>
  <c r="C1401" i="1"/>
  <c r="B1401" i="1"/>
  <c r="A1401" i="1"/>
  <c r="J1400" i="1"/>
  <c r="K1400" i="1" s="1"/>
  <c r="I1400" i="1"/>
  <c r="E1400" i="1"/>
  <c r="D1400" i="1"/>
  <c r="C1400" i="1"/>
  <c r="B1400" i="1"/>
  <c r="A1400" i="1"/>
  <c r="J1399" i="1"/>
  <c r="K1399" i="1" s="1"/>
  <c r="I1399" i="1"/>
  <c r="E1399" i="1"/>
  <c r="D1399" i="1"/>
  <c r="C1399" i="1"/>
  <c r="B1399" i="1"/>
  <c r="A1399" i="1"/>
  <c r="J1398" i="1"/>
  <c r="K1398" i="1" s="1"/>
  <c r="I1398" i="1"/>
  <c r="E1398" i="1"/>
  <c r="D1398" i="1"/>
  <c r="C1398" i="1"/>
  <c r="B1398" i="1"/>
  <c r="A1398" i="1"/>
  <c r="J1397" i="1"/>
  <c r="K1397" i="1" s="1"/>
  <c r="I1397" i="1"/>
  <c r="E1397" i="1"/>
  <c r="D1397" i="1"/>
  <c r="C1397" i="1"/>
  <c r="B1397" i="1"/>
  <c r="A1397" i="1"/>
  <c r="J1396" i="1"/>
  <c r="K1396" i="1" s="1"/>
  <c r="I1396" i="1"/>
  <c r="E1396" i="1"/>
  <c r="D1396" i="1"/>
  <c r="C1396" i="1"/>
  <c r="B1396" i="1"/>
  <c r="A1396" i="1"/>
  <c r="J1395" i="1"/>
  <c r="K1395" i="1" s="1"/>
  <c r="I1395" i="1"/>
  <c r="E1395" i="1"/>
  <c r="D1395" i="1"/>
  <c r="C1395" i="1"/>
  <c r="B1395" i="1"/>
  <c r="A1395" i="1"/>
  <c r="J1394" i="1"/>
  <c r="K1394" i="1" s="1"/>
  <c r="I1394" i="1"/>
  <c r="E1394" i="1"/>
  <c r="D1394" i="1"/>
  <c r="C1394" i="1"/>
  <c r="B1394" i="1"/>
  <c r="A1394" i="1"/>
  <c r="J1393" i="1"/>
  <c r="K1393" i="1" s="1"/>
  <c r="I1393" i="1"/>
  <c r="E1393" i="1"/>
  <c r="D1393" i="1"/>
  <c r="C1393" i="1"/>
  <c r="B1393" i="1"/>
  <c r="A1393" i="1"/>
  <c r="J1392" i="1"/>
  <c r="K1392" i="1" s="1"/>
  <c r="I1392" i="1"/>
  <c r="E1392" i="1"/>
  <c r="D1392" i="1"/>
  <c r="C1392" i="1"/>
  <c r="B1392" i="1"/>
  <c r="A1392" i="1"/>
  <c r="J1391" i="1"/>
  <c r="K1391" i="1" s="1"/>
  <c r="I1391" i="1"/>
  <c r="E1391" i="1"/>
  <c r="D1391" i="1"/>
  <c r="C1391" i="1"/>
  <c r="B1391" i="1"/>
  <c r="A1391" i="1"/>
  <c r="J1390" i="1"/>
  <c r="K1390" i="1" s="1"/>
  <c r="I1390" i="1"/>
  <c r="E1390" i="1"/>
  <c r="D1390" i="1"/>
  <c r="C1390" i="1"/>
  <c r="B1390" i="1"/>
  <c r="A1390" i="1"/>
  <c r="J1389" i="1"/>
  <c r="K1389" i="1" s="1"/>
  <c r="I1389" i="1"/>
  <c r="E1389" i="1"/>
  <c r="D1389" i="1"/>
  <c r="C1389" i="1"/>
  <c r="B1389" i="1"/>
  <c r="A1389" i="1"/>
  <c r="J1388" i="1"/>
  <c r="K1388" i="1" s="1"/>
  <c r="I1388" i="1"/>
  <c r="E1388" i="1"/>
  <c r="D1388" i="1"/>
  <c r="C1388" i="1"/>
  <c r="B1388" i="1"/>
  <c r="A1388" i="1"/>
  <c r="J1387" i="1"/>
  <c r="K1387" i="1" s="1"/>
  <c r="I1387" i="1"/>
  <c r="E1387" i="1"/>
  <c r="D1387" i="1"/>
  <c r="C1387" i="1"/>
  <c r="B1387" i="1"/>
  <c r="A1387" i="1"/>
  <c r="J1386" i="1"/>
  <c r="K1386" i="1" s="1"/>
  <c r="I1386" i="1"/>
  <c r="E1386" i="1"/>
  <c r="D1386" i="1"/>
  <c r="C1386" i="1"/>
  <c r="B1386" i="1"/>
  <c r="A1386" i="1"/>
  <c r="J1385" i="1"/>
  <c r="K1385" i="1" s="1"/>
  <c r="I1385" i="1"/>
  <c r="E1385" i="1"/>
  <c r="D1385" i="1"/>
  <c r="C1385" i="1"/>
  <c r="B1385" i="1"/>
  <c r="A1385" i="1"/>
  <c r="J1384" i="1"/>
  <c r="K1384" i="1" s="1"/>
  <c r="I1384" i="1"/>
  <c r="E1384" i="1"/>
  <c r="D1384" i="1"/>
  <c r="C1384" i="1"/>
  <c r="B1384" i="1"/>
  <c r="A1384" i="1"/>
  <c r="J1383" i="1"/>
  <c r="K1383" i="1" s="1"/>
  <c r="I1383" i="1"/>
  <c r="E1383" i="1"/>
  <c r="D1383" i="1"/>
  <c r="C1383" i="1"/>
  <c r="B1383" i="1"/>
  <c r="A1383" i="1"/>
  <c r="J1382" i="1"/>
  <c r="K1382" i="1" s="1"/>
  <c r="I1382" i="1"/>
  <c r="E1382" i="1"/>
  <c r="D1382" i="1"/>
  <c r="C1382" i="1"/>
  <c r="B1382" i="1"/>
  <c r="A1382" i="1"/>
  <c r="J1381" i="1"/>
  <c r="K1381" i="1" s="1"/>
  <c r="I1381" i="1"/>
  <c r="E1381" i="1"/>
  <c r="D1381" i="1"/>
  <c r="C1381" i="1"/>
  <c r="B1381" i="1"/>
  <c r="A1381" i="1"/>
  <c r="J1380" i="1"/>
  <c r="K1380" i="1" s="1"/>
  <c r="I1380" i="1"/>
  <c r="E1380" i="1"/>
  <c r="D1380" i="1"/>
  <c r="C1380" i="1"/>
  <c r="B1380" i="1"/>
  <c r="A1380" i="1"/>
  <c r="J1379" i="1"/>
  <c r="K1379" i="1" s="1"/>
  <c r="I1379" i="1"/>
  <c r="E1379" i="1"/>
  <c r="D1379" i="1"/>
  <c r="C1379" i="1"/>
  <c r="B1379" i="1"/>
  <c r="A1379" i="1"/>
  <c r="J1378" i="1"/>
  <c r="K1378" i="1" s="1"/>
  <c r="I1378" i="1"/>
  <c r="E1378" i="1"/>
  <c r="D1378" i="1"/>
  <c r="C1378" i="1"/>
  <c r="B1378" i="1"/>
  <c r="A1378" i="1"/>
  <c r="K1377" i="1"/>
  <c r="J1377" i="1"/>
  <c r="I1377" i="1"/>
  <c r="E1377" i="1"/>
  <c r="D1377" i="1"/>
  <c r="C1377" i="1"/>
  <c r="B1377" i="1"/>
  <c r="A1377" i="1"/>
  <c r="K1376" i="1"/>
  <c r="J1376" i="1"/>
  <c r="I1376" i="1"/>
  <c r="E1376" i="1"/>
  <c r="D1376" i="1"/>
  <c r="C1376" i="1"/>
  <c r="B1376" i="1"/>
  <c r="A1376" i="1"/>
  <c r="J1375" i="1"/>
  <c r="K1375" i="1" s="1"/>
  <c r="I1375" i="1"/>
  <c r="E1375" i="1"/>
  <c r="D1375" i="1"/>
  <c r="C1375" i="1"/>
  <c r="B1375" i="1"/>
  <c r="A1375" i="1"/>
  <c r="J1374" i="1"/>
  <c r="K1374" i="1" s="1"/>
  <c r="I1374" i="1"/>
  <c r="E1374" i="1"/>
  <c r="D1374" i="1"/>
  <c r="C1374" i="1"/>
  <c r="B1374" i="1"/>
  <c r="A1374" i="1"/>
  <c r="J1373" i="1"/>
  <c r="K1373" i="1" s="1"/>
  <c r="I1373" i="1"/>
  <c r="E1373" i="1"/>
  <c r="D1373" i="1"/>
  <c r="C1373" i="1"/>
  <c r="B1373" i="1"/>
  <c r="A1373" i="1"/>
  <c r="K1372" i="1"/>
  <c r="J1372" i="1"/>
  <c r="I1372" i="1"/>
  <c r="E1372" i="1"/>
  <c r="D1372" i="1"/>
  <c r="C1372" i="1"/>
  <c r="B1372" i="1"/>
  <c r="A1372" i="1"/>
  <c r="J1371" i="1"/>
  <c r="K1371" i="1" s="1"/>
  <c r="I1371" i="1"/>
  <c r="E1371" i="1"/>
  <c r="D1371" i="1"/>
  <c r="C1371" i="1"/>
  <c r="B1371" i="1"/>
  <c r="A1371" i="1"/>
  <c r="K1370" i="1"/>
  <c r="J1370" i="1"/>
  <c r="I1370" i="1"/>
  <c r="E1370" i="1"/>
  <c r="D1370" i="1"/>
  <c r="C1370" i="1"/>
  <c r="B1370" i="1"/>
  <c r="A1370" i="1"/>
  <c r="J1369" i="1"/>
  <c r="K1369" i="1" s="1"/>
  <c r="I1369" i="1"/>
  <c r="E1369" i="1"/>
  <c r="D1369" i="1"/>
  <c r="C1369" i="1"/>
  <c r="B1369" i="1"/>
  <c r="A1369" i="1"/>
  <c r="J1368" i="1"/>
  <c r="K1368" i="1" s="1"/>
  <c r="I1368" i="1"/>
  <c r="E1368" i="1"/>
  <c r="D1368" i="1"/>
  <c r="C1368" i="1"/>
  <c r="B1368" i="1"/>
  <c r="A1368" i="1"/>
  <c r="J1367" i="1"/>
  <c r="K1367" i="1" s="1"/>
  <c r="I1367" i="1"/>
  <c r="E1367" i="1"/>
  <c r="D1367" i="1"/>
  <c r="C1367" i="1"/>
  <c r="B1367" i="1"/>
  <c r="A1367" i="1"/>
  <c r="J1366" i="1"/>
  <c r="K1366" i="1" s="1"/>
  <c r="I1366" i="1"/>
  <c r="E1366" i="1"/>
  <c r="D1366" i="1"/>
  <c r="C1366" i="1"/>
  <c r="B1366" i="1"/>
  <c r="A1366" i="1"/>
  <c r="J1365" i="1"/>
  <c r="K1365" i="1" s="1"/>
  <c r="L1463" i="1" s="1"/>
  <c r="I1365" i="1"/>
  <c r="E1365" i="1"/>
  <c r="D1365" i="1"/>
  <c r="C1365" i="1"/>
  <c r="B1365" i="1"/>
  <c r="A1365" i="1"/>
  <c r="J1364" i="1"/>
  <c r="K1364" i="1" s="1"/>
  <c r="I1364" i="1"/>
  <c r="E1364" i="1"/>
  <c r="D1364" i="1"/>
  <c r="C1364" i="1"/>
  <c r="B1364" i="1"/>
  <c r="A1364" i="1"/>
  <c r="J1363" i="1"/>
  <c r="K1363" i="1" s="1"/>
  <c r="I1363" i="1"/>
  <c r="E1363" i="1"/>
  <c r="D1363" i="1"/>
  <c r="C1363" i="1"/>
  <c r="B1363" i="1"/>
  <c r="A1363" i="1"/>
  <c r="J1362" i="1"/>
  <c r="K1362" i="1" s="1"/>
  <c r="I1362" i="1"/>
  <c r="E1362" i="1"/>
  <c r="D1362" i="1"/>
  <c r="C1362" i="1"/>
  <c r="B1362" i="1"/>
  <c r="A1362" i="1"/>
  <c r="J1361" i="1"/>
  <c r="K1361" i="1" s="1"/>
  <c r="I1361" i="1"/>
  <c r="E1361" i="1"/>
  <c r="D1361" i="1"/>
  <c r="C1361" i="1"/>
  <c r="B1361" i="1"/>
  <c r="A1361" i="1"/>
  <c r="J1360" i="1"/>
  <c r="K1360" i="1" s="1"/>
  <c r="I1360" i="1"/>
  <c r="E1360" i="1"/>
  <c r="D1360" i="1"/>
  <c r="C1360" i="1"/>
  <c r="B1360" i="1"/>
  <c r="A1360" i="1"/>
  <c r="J1359" i="1"/>
  <c r="K1359" i="1" s="1"/>
  <c r="I1359" i="1"/>
  <c r="E1359" i="1"/>
  <c r="D1359" i="1"/>
  <c r="C1359" i="1"/>
  <c r="B1359" i="1"/>
  <c r="A1359" i="1"/>
  <c r="J1358" i="1"/>
  <c r="K1358" i="1" s="1"/>
  <c r="I1358" i="1"/>
  <c r="E1358" i="1"/>
  <c r="D1358" i="1"/>
  <c r="C1358" i="1"/>
  <c r="B1358" i="1"/>
  <c r="A1358" i="1"/>
  <c r="J1357" i="1"/>
  <c r="K1357" i="1" s="1"/>
  <c r="I1357" i="1"/>
  <c r="E1357" i="1"/>
  <c r="D1357" i="1"/>
  <c r="C1357" i="1"/>
  <c r="B1357" i="1"/>
  <c r="A1357" i="1"/>
  <c r="J1356" i="1"/>
  <c r="K1356" i="1" s="1"/>
  <c r="I1356" i="1"/>
  <c r="E1356" i="1"/>
  <c r="D1356" i="1"/>
  <c r="C1356" i="1"/>
  <c r="B1356" i="1"/>
  <c r="A1356" i="1"/>
  <c r="J1355" i="1"/>
  <c r="K1355" i="1" s="1"/>
  <c r="I1355" i="1"/>
  <c r="E1355" i="1"/>
  <c r="D1355" i="1"/>
  <c r="C1355" i="1"/>
  <c r="B1355" i="1"/>
  <c r="A1355" i="1"/>
  <c r="J1354" i="1"/>
  <c r="K1354" i="1" s="1"/>
  <c r="I1354" i="1"/>
  <c r="E1354" i="1"/>
  <c r="D1354" i="1"/>
  <c r="C1354" i="1"/>
  <c r="B1354" i="1"/>
  <c r="A1354" i="1"/>
  <c r="J1353" i="1"/>
  <c r="K1353" i="1" s="1"/>
  <c r="I1353" i="1"/>
  <c r="E1353" i="1"/>
  <c r="D1353" i="1"/>
  <c r="C1353" i="1"/>
  <c r="B1353" i="1"/>
  <c r="A1353" i="1"/>
  <c r="J1352" i="1"/>
  <c r="K1352" i="1" s="1"/>
  <c r="I1352" i="1"/>
  <c r="E1352" i="1"/>
  <c r="D1352" i="1"/>
  <c r="C1352" i="1"/>
  <c r="B1352" i="1"/>
  <c r="A1352" i="1"/>
  <c r="J1351" i="1"/>
  <c r="K1351" i="1" s="1"/>
  <c r="I1351" i="1"/>
  <c r="E1351" i="1"/>
  <c r="D1351" i="1"/>
  <c r="C1351" i="1"/>
  <c r="B1351" i="1"/>
  <c r="A1351" i="1"/>
  <c r="J1350" i="1"/>
  <c r="K1350" i="1" s="1"/>
  <c r="I1350" i="1"/>
  <c r="E1350" i="1"/>
  <c r="D1350" i="1"/>
  <c r="C1350" i="1"/>
  <c r="B1350" i="1"/>
  <c r="A1350" i="1"/>
  <c r="J1349" i="1"/>
  <c r="K1349" i="1" s="1"/>
  <c r="I1349" i="1"/>
  <c r="E1349" i="1"/>
  <c r="D1349" i="1"/>
  <c r="C1349" i="1"/>
  <c r="B1349" i="1"/>
  <c r="A1349" i="1"/>
  <c r="J1348" i="1"/>
  <c r="K1348" i="1" s="1"/>
  <c r="I1348" i="1"/>
  <c r="E1348" i="1"/>
  <c r="D1348" i="1"/>
  <c r="C1348" i="1"/>
  <c r="B1348" i="1"/>
  <c r="A1348" i="1"/>
  <c r="J1347" i="1"/>
  <c r="K1347" i="1" s="1"/>
  <c r="I1347" i="1"/>
  <c r="E1347" i="1"/>
  <c r="D1347" i="1"/>
  <c r="C1347" i="1"/>
  <c r="B1347" i="1"/>
  <c r="A1347" i="1"/>
  <c r="J1346" i="1"/>
  <c r="K1346" i="1" s="1"/>
  <c r="I1346" i="1"/>
  <c r="E1346" i="1"/>
  <c r="D1346" i="1"/>
  <c r="C1346" i="1"/>
  <c r="B1346" i="1"/>
  <c r="A1346" i="1"/>
  <c r="J1345" i="1"/>
  <c r="K1345" i="1" s="1"/>
  <c r="I1345" i="1"/>
  <c r="E1345" i="1"/>
  <c r="D1345" i="1"/>
  <c r="C1345" i="1"/>
  <c r="B1345" i="1"/>
  <c r="A1345" i="1"/>
  <c r="J1344" i="1"/>
  <c r="K1344" i="1" s="1"/>
  <c r="I1344" i="1"/>
  <c r="E1344" i="1"/>
  <c r="D1344" i="1"/>
  <c r="C1344" i="1"/>
  <c r="B1344" i="1"/>
  <c r="A1344" i="1"/>
  <c r="J1343" i="1"/>
  <c r="K1343" i="1" s="1"/>
  <c r="I1343" i="1"/>
  <c r="E1343" i="1"/>
  <c r="D1343" i="1"/>
  <c r="C1343" i="1"/>
  <c r="B1343" i="1"/>
  <c r="A1343" i="1"/>
  <c r="J1342" i="1"/>
  <c r="K1342" i="1" s="1"/>
  <c r="I1342" i="1"/>
  <c r="E1342" i="1"/>
  <c r="D1342" i="1"/>
  <c r="C1342" i="1"/>
  <c r="B1342" i="1"/>
  <c r="A1342" i="1"/>
  <c r="J1341" i="1"/>
  <c r="K1341" i="1" s="1"/>
  <c r="I1341" i="1"/>
  <c r="E1341" i="1"/>
  <c r="D1341" i="1"/>
  <c r="C1341" i="1"/>
  <c r="B1341" i="1"/>
  <c r="A1341" i="1"/>
  <c r="J1340" i="1"/>
  <c r="K1340" i="1" s="1"/>
  <c r="I1340" i="1"/>
  <c r="E1340" i="1"/>
  <c r="D1340" i="1"/>
  <c r="C1340" i="1"/>
  <c r="B1340" i="1"/>
  <c r="A1340" i="1"/>
  <c r="J1339" i="1"/>
  <c r="K1339" i="1" s="1"/>
  <c r="I1339" i="1"/>
  <c r="E1339" i="1"/>
  <c r="D1339" i="1"/>
  <c r="C1339" i="1"/>
  <c r="B1339" i="1"/>
  <c r="A1339" i="1"/>
  <c r="J1338" i="1"/>
  <c r="K1338" i="1" s="1"/>
  <c r="I1338" i="1"/>
  <c r="E1338" i="1"/>
  <c r="D1338" i="1"/>
  <c r="C1338" i="1"/>
  <c r="B1338" i="1"/>
  <c r="A1338" i="1"/>
  <c r="J1337" i="1"/>
  <c r="K1337" i="1" s="1"/>
  <c r="I1337" i="1"/>
  <c r="E1337" i="1"/>
  <c r="D1337" i="1"/>
  <c r="C1337" i="1"/>
  <c r="B1337" i="1"/>
  <c r="A1337" i="1"/>
  <c r="J1336" i="1"/>
  <c r="K1336" i="1" s="1"/>
  <c r="I1336" i="1"/>
  <c r="E1336" i="1"/>
  <c r="D1336" i="1"/>
  <c r="C1336" i="1"/>
  <c r="B1336" i="1"/>
  <c r="A1336" i="1"/>
  <c r="J1335" i="1"/>
  <c r="K1335" i="1" s="1"/>
  <c r="I1335" i="1"/>
  <c r="E1335" i="1"/>
  <c r="D1335" i="1"/>
  <c r="C1335" i="1"/>
  <c r="B1335" i="1"/>
  <c r="A1335" i="1"/>
  <c r="J1334" i="1"/>
  <c r="K1334" i="1" s="1"/>
  <c r="I1334" i="1"/>
  <c r="E1334" i="1"/>
  <c r="D1334" i="1"/>
  <c r="C1334" i="1"/>
  <c r="B1334" i="1"/>
  <c r="A1334" i="1"/>
  <c r="J1333" i="1"/>
  <c r="K1333" i="1" s="1"/>
  <c r="I1333" i="1"/>
  <c r="E1333" i="1"/>
  <c r="D1333" i="1"/>
  <c r="C1333" i="1"/>
  <c r="B1333" i="1"/>
  <c r="A1333" i="1"/>
  <c r="J1332" i="1"/>
  <c r="K1332" i="1" s="1"/>
  <c r="I1332" i="1"/>
  <c r="E1332" i="1"/>
  <c r="D1332" i="1"/>
  <c r="C1332" i="1"/>
  <c r="B1332" i="1"/>
  <c r="A1332" i="1"/>
  <c r="J1331" i="1"/>
  <c r="K1331" i="1" s="1"/>
  <c r="I1331" i="1"/>
  <c r="E1331" i="1"/>
  <c r="D1331" i="1"/>
  <c r="C1331" i="1"/>
  <c r="B1331" i="1"/>
  <c r="A1331" i="1"/>
  <c r="J1330" i="1"/>
  <c r="K1330" i="1" s="1"/>
  <c r="I1330" i="1"/>
  <c r="E1330" i="1"/>
  <c r="D1330" i="1"/>
  <c r="C1330" i="1"/>
  <c r="B1330" i="1"/>
  <c r="A1330" i="1"/>
  <c r="J1329" i="1"/>
  <c r="K1329" i="1" s="1"/>
  <c r="I1329" i="1"/>
  <c r="E1329" i="1"/>
  <c r="D1329" i="1"/>
  <c r="C1329" i="1"/>
  <c r="B1329" i="1"/>
  <c r="A1329" i="1"/>
  <c r="J1328" i="1"/>
  <c r="K1328" i="1" s="1"/>
  <c r="I1328" i="1"/>
  <c r="E1328" i="1"/>
  <c r="D1328" i="1"/>
  <c r="C1328" i="1"/>
  <c r="B1328" i="1"/>
  <c r="A1328" i="1"/>
  <c r="K1327" i="1"/>
  <c r="J1327" i="1"/>
  <c r="I1327" i="1"/>
  <c r="E1327" i="1"/>
  <c r="D1327" i="1"/>
  <c r="C1327" i="1"/>
  <c r="B1327" i="1"/>
  <c r="A1327" i="1"/>
  <c r="J1326" i="1"/>
  <c r="K1326" i="1" s="1"/>
  <c r="I1326" i="1"/>
  <c r="E1326" i="1"/>
  <c r="D1326" i="1"/>
  <c r="C1326" i="1"/>
  <c r="B1326" i="1"/>
  <c r="A1326" i="1"/>
  <c r="K1325" i="1"/>
  <c r="J1325" i="1"/>
  <c r="I1325" i="1"/>
  <c r="E1325" i="1"/>
  <c r="D1325" i="1"/>
  <c r="C1325" i="1"/>
  <c r="B1325" i="1"/>
  <c r="A1325" i="1"/>
  <c r="J1324" i="1"/>
  <c r="K1324" i="1" s="1"/>
  <c r="I1324" i="1"/>
  <c r="E1324" i="1"/>
  <c r="D1324" i="1"/>
  <c r="C1324" i="1"/>
  <c r="B1324" i="1"/>
  <c r="A1324" i="1"/>
  <c r="J1323" i="1"/>
  <c r="K1323" i="1" s="1"/>
  <c r="I1323" i="1"/>
  <c r="E1323" i="1"/>
  <c r="D1323" i="1"/>
  <c r="C1323" i="1"/>
  <c r="B1323" i="1"/>
  <c r="A1323" i="1"/>
  <c r="J1322" i="1"/>
  <c r="K1322" i="1" s="1"/>
  <c r="I1322" i="1"/>
  <c r="E1322" i="1"/>
  <c r="D1322" i="1"/>
  <c r="C1322" i="1"/>
  <c r="B1322" i="1"/>
  <c r="A1322" i="1"/>
  <c r="J1321" i="1"/>
  <c r="K1321" i="1" s="1"/>
  <c r="I1321" i="1"/>
  <c r="E1321" i="1"/>
  <c r="D1321" i="1"/>
  <c r="C1321" i="1"/>
  <c r="B1321" i="1"/>
  <c r="A1321" i="1"/>
  <c r="J1320" i="1"/>
  <c r="I1320" i="1"/>
  <c r="K1320" i="1" s="1"/>
  <c r="E1320" i="1"/>
  <c r="D1320" i="1"/>
  <c r="C1320" i="1"/>
  <c r="B1320" i="1"/>
  <c r="A1320" i="1"/>
  <c r="J1319" i="1"/>
  <c r="K1319" i="1" s="1"/>
  <c r="I1319" i="1"/>
  <c r="E1319" i="1"/>
  <c r="D1319" i="1"/>
  <c r="C1319" i="1"/>
  <c r="B1319" i="1"/>
  <c r="A1319" i="1"/>
  <c r="J1318" i="1"/>
  <c r="K1318" i="1" s="1"/>
  <c r="I1318" i="1"/>
  <c r="E1318" i="1"/>
  <c r="D1318" i="1"/>
  <c r="C1318" i="1"/>
  <c r="B1318" i="1"/>
  <c r="A1318" i="1"/>
  <c r="J1317" i="1"/>
  <c r="K1317" i="1" s="1"/>
  <c r="I1317" i="1"/>
  <c r="E1317" i="1"/>
  <c r="D1317" i="1"/>
  <c r="C1317" i="1"/>
  <c r="B1317" i="1"/>
  <c r="A1317" i="1"/>
  <c r="J1316" i="1"/>
  <c r="K1316" i="1" s="1"/>
  <c r="I1316" i="1"/>
  <c r="E1316" i="1"/>
  <c r="D1316" i="1"/>
  <c r="C1316" i="1"/>
  <c r="B1316" i="1"/>
  <c r="A1316" i="1"/>
  <c r="J1315" i="1"/>
  <c r="K1315" i="1" s="1"/>
  <c r="I1315" i="1"/>
  <c r="E1315" i="1"/>
  <c r="D1315" i="1"/>
  <c r="C1315" i="1"/>
  <c r="B1315" i="1"/>
  <c r="A1315" i="1"/>
  <c r="J1314" i="1"/>
  <c r="I1314" i="1"/>
  <c r="K1314" i="1" s="1"/>
  <c r="E1314" i="1"/>
  <c r="D1314" i="1"/>
  <c r="C1314" i="1"/>
  <c r="B1314" i="1"/>
  <c r="A1314" i="1"/>
  <c r="J1313" i="1"/>
  <c r="K1313" i="1" s="1"/>
  <c r="I1313" i="1"/>
  <c r="E1313" i="1"/>
  <c r="D1313" i="1"/>
  <c r="C1313" i="1"/>
  <c r="B1313" i="1"/>
  <c r="A1313" i="1"/>
  <c r="J1312" i="1"/>
  <c r="K1312" i="1" s="1"/>
  <c r="I1312" i="1"/>
  <c r="E1312" i="1"/>
  <c r="D1312" i="1"/>
  <c r="C1312" i="1"/>
  <c r="B1312" i="1"/>
  <c r="A1312" i="1"/>
  <c r="J1311" i="1"/>
  <c r="K1311" i="1" s="1"/>
  <c r="I1311" i="1"/>
  <c r="E1311" i="1"/>
  <c r="D1311" i="1"/>
  <c r="C1311" i="1"/>
  <c r="B1311" i="1"/>
  <c r="A1311" i="1"/>
  <c r="J1310" i="1"/>
  <c r="K1310" i="1" s="1"/>
  <c r="L1364" i="1" s="1"/>
  <c r="I1310" i="1"/>
  <c r="E1310" i="1"/>
  <c r="D1310" i="1"/>
  <c r="C1310" i="1"/>
  <c r="B1310" i="1"/>
  <c r="A1310" i="1"/>
  <c r="J1309" i="1"/>
  <c r="K1309" i="1" s="1"/>
  <c r="I1309" i="1"/>
  <c r="E1309" i="1"/>
  <c r="D1309" i="1"/>
  <c r="C1309" i="1"/>
  <c r="B1309" i="1"/>
  <c r="A1309" i="1"/>
  <c r="K1308" i="1"/>
  <c r="J1308" i="1"/>
  <c r="I1308" i="1"/>
  <c r="E1308" i="1"/>
  <c r="D1308" i="1"/>
  <c r="C1308" i="1"/>
  <c r="B1308" i="1"/>
  <c r="A1308" i="1"/>
  <c r="K1307" i="1"/>
  <c r="J1307" i="1"/>
  <c r="I1307" i="1"/>
  <c r="E1307" i="1"/>
  <c r="D1307" i="1"/>
  <c r="C1307" i="1"/>
  <c r="B1307" i="1"/>
  <c r="A1307" i="1"/>
  <c r="K1306" i="1"/>
  <c r="J1306" i="1"/>
  <c r="I1306" i="1"/>
  <c r="E1306" i="1"/>
  <c r="D1306" i="1"/>
  <c r="C1306" i="1"/>
  <c r="B1306" i="1"/>
  <c r="A1306" i="1"/>
  <c r="K1305" i="1"/>
  <c r="L1309" i="1" s="1"/>
  <c r="J1305" i="1"/>
  <c r="I1305" i="1"/>
  <c r="E1305" i="1"/>
  <c r="D1305" i="1"/>
  <c r="C1305" i="1"/>
  <c r="B1305" i="1"/>
  <c r="A1305" i="1"/>
  <c r="K1304" i="1"/>
  <c r="L1304" i="1" s="1"/>
  <c r="J1304" i="1"/>
  <c r="I1304" i="1"/>
  <c r="E1304" i="1"/>
  <c r="D1304" i="1"/>
  <c r="C1304" i="1"/>
  <c r="B1304" i="1"/>
  <c r="A1304" i="1"/>
  <c r="J1303" i="1"/>
  <c r="K1303" i="1" s="1"/>
  <c r="L1303" i="1" s="1"/>
  <c r="I1303" i="1"/>
  <c r="E1303" i="1"/>
  <c r="D1303" i="1"/>
  <c r="C1303" i="1"/>
  <c r="B1303" i="1"/>
  <c r="A1303" i="1"/>
  <c r="J1302" i="1"/>
  <c r="I1302" i="1"/>
  <c r="K1302" i="1" s="1"/>
  <c r="E1302" i="1"/>
  <c r="D1302" i="1"/>
  <c r="C1302" i="1"/>
  <c r="B1302" i="1"/>
  <c r="A1302" i="1"/>
  <c r="J1301" i="1"/>
  <c r="K1301" i="1" s="1"/>
  <c r="I1301" i="1"/>
  <c r="E1301" i="1"/>
  <c r="D1301" i="1"/>
  <c r="C1301" i="1"/>
  <c r="B1301" i="1"/>
  <c r="A1301" i="1"/>
  <c r="J1300" i="1"/>
  <c r="K1300" i="1" s="1"/>
  <c r="I1300" i="1"/>
  <c r="E1300" i="1"/>
  <c r="D1300" i="1"/>
  <c r="C1300" i="1"/>
  <c r="B1300" i="1"/>
  <c r="A1300" i="1"/>
  <c r="J1299" i="1"/>
  <c r="K1299" i="1" s="1"/>
  <c r="I1299" i="1"/>
  <c r="E1299" i="1"/>
  <c r="D1299" i="1"/>
  <c r="C1299" i="1"/>
  <c r="B1299" i="1"/>
  <c r="A1299" i="1"/>
  <c r="J1298" i="1"/>
  <c r="K1298" i="1" s="1"/>
  <c r="I1298" i="1"/>
  <c r="E1298" i="1"/>
  <c r="D1298" i="1"/>
  <c r="C1298" i="1"/>
  <c r="B1298" i="1"/>
  <c r="A1298" i="1"/>
  <c r="J1297" i="1"/>
  <c r="K1297" i="1" s="1"/>
  <c r="I1297" i="1"/>
  <c r="E1297" i="1"/>
  <c r="D1297" i="1"/>
  <c r="C1297" i="1"/>
  <c r="B1297" i="1"/>
  <c r="A1297" i="1"/>
  <c r="J1296" i="1"/>
  <c r="K1296" i="1" s="1"/>
  <c r="I1296" i="1"/>
  <c r="E1296" i="1"/>
  <c r="D1296" i="1"/>
  <c r="C1296" i="1"/>
  <c r="B1296" i="1"/>
  <c r="A1296" i="1"/>
  <c r="J1295" i="1"/>
  <c r="K1295" i="1" s="1"/>
  <c r="I1295" i="1"/>
  <c r="E1295" i="1"/>
  <c r="D1295" i="1"/>
  <c r="C1295" i="1"/>
  <c r="B1295" i="1"/>
  <c r="A1295" i="1"/>
  <c r="J1294" i="1"/>
  <c r="K1294" i="1" s="1"/>
  <c r="I1294" i="1"/>
  <c r="E1294" i="1"/>
  <c r="D1294" i="1"/>
  <c r="C1294" i="1"/>
  <c r="B1294" i="1"/>
  <c r="A1294" i="1"/>
  <c r="J1293" i="1"/>
  <c r="K1293" i="1" s="1"/>
  <c r="I1293" i="1"/>
  <c r="E1293" i="1"/>
  <c r="D1293" i="1"/>
  <c r="C1293" i="1"/>
  <c r="B1293" i="1"/>
  <c r="A1293" i="1"/>
  <c r="J1292" i="1"/>
  <c r="K1292" i="1" s="1"/>
  <c r="I1292" i="1"/>
  <c r="E1292" i="1"/>
  <c r="D1292" i="1"/>
  <c r="C1292" i="1"/>
  <c r="B1292" i="1"/>
  <c r="A1292" i="1"/>
  <c r="K1291" i="1"/>
  <c r="J1291" i="1"/>
  <c r="I1291" i="1"/>
  <c r="E1291" i="1"/>
  <c r="D1291" i="1"/>
  <c r="C1291" i="1"/>
  <c r="B1291" i="1"/>
  <c r="A1291" i="1"/>
  <c r="J1290" i="1"/>
  <c r="K1290" i="1" s="1"/>
  <c r="I1290" i="1"/>
  <c r="E1290" i="1"/>
  <c r="D1290" i="1"/>
  <c r="C1290" i="1"/>
  <c r="B1290" i="1"/>
  <c r="A1290" i="1"/>
  <c r="J1289" i="1"/>
  <c r="K1289" i="1" s="1"/>
  <c r="I1289" i="1"/>
  <c r="E1289" i="1"/>
  <c r="D1289" i="1"/>
  <c r="C1289" i="1"/>
  <c r="B1289" i="1"/>
  <c r="A1289" i="1"/>
  <c r="J1288" i="1"/>
  <c r="K1288" i="1" s="1"/>
  <c r="I1288" i="1"/>
  <c r="E1288" i="1"/>
  <c r="D1288" i="1"/>
  <c r="C1288" i="1"/>
  <c r="B1288" i="1"/>
  <c r="A1288" i="1"/>
  <c r="J1287" i="1"/>
  <c r="K1287" i="1" s="1"/>
  <c r="I1287" i="1"/>
  <c r="E1287" i="1"/>
  <c r="D1287" i="1"/>
  <c r="C1287" i="1"/>
  <c r="B1287" i="1"/>
  <c r="A1287" i="1"/>
  <c r="J1286" i="1"/>
  <c r="K1286" i="1" s="1"/>
  <c r="I1286" i="1"/>
  <c r="E1286" i="1"/>
  <c r="D1286" i="1"/>
  <c r="C1286" i="1"/>
  <c r="B1286" i="1"/>
  <c r="A1286" i="1"/>
  <c r="J1285" i="1"/>
  <c r="K1285" i="1" s="1"/>
  <c r="I1285" i="1"/>
  <c r="E1285" i="1"/>
  <c r="D1285" i="1"/>
  <c r="C1285" i="1"/>
  <c r="B1285" i="1"/>
  <c r="A1285" i="1"/>
  <c r="J1284" i="1"/>
  <c r="K1284" i="1" s="1"/>
  <c r="I1284" i="1"/>
  <c r="E1284" i="1"/>
  <c r="D1284" i="1"/>
  <c r="C1284" i="1"/>
  <c r="B1284" i="1"/>
  <c r="A1284" i="1"/>
  <c r="J1283" i="1"/>
  <c r="K1283" i="1" s="1"/>
  <c r="I1283" i="1"/>
  <c r="E1283" i="1"/>
  <c r="D1283" i="1"/>
  <c r="C1283" i="1"/>
  <c r="B1283" i="1"/>
  <c r="A1283" i="1"/>
  <c r="J1282" i="1"/>
  <c r="K1282" i="1" s="1"/>
  <c r="I1282" i="1"/>
  <c r="E1282" i="1"/>
  <c r="D1282" i="1"/>
  <c r="C1282" i="1"/>
  <c r="B1282" i="1"/>
  <c r="A1282" i="1"/>
  <c r="J1281" i="1"/>
  <c r="K1281" i="1" s="1"/>
  <c r="I1281" i="1"/>
  <c r="E1281" i="1"/>
  <c r="D1281" i="1"/>
  <c r="C1281" i="1"/>
  <c r="B1281" i="1"/>
  <c r="A1281" i="1"/>
  <c r="J1280" i="1"/>
  <c r="K1280" i="1" s="1"/>
  <c r="I1280" i="1"/>
  <c r="E1280" i="1"/>
  <c r="D1280" i="1"/>
  <c r="C1280" i="1"/>
  <c r="B1280" i="1"/>
  <c r="A1280" i="1"/>
  <c r="J1279" i="1"/>
  <c r="K1279" i="1" s="1"/>
  <c r="I1279" i="1"/>
  <c r="E1279" i="1"/>
  <c r="D1279" i="1"/>
  <c r="C1279" i="1"/>
  <c r="B1279" i="1"/>
  <c r="A1279" i="1"/>
  <c r="J1278" i="1"/>
  <c r="K1278" i="1" s="1"/>
  <c r="I1278" i="1"/>
  <c r="E1278" i="1"/>
  <c r="D1278" i="1"/>
  <c r="C1278" i="1"/>
  <c r="B1278" i="1"/>
  <c r="A1278" i="1"/>
  <c r="J1277" i="1"/>
  <c r="K1277" i="1" s="1"/>
  <c r="I1277" i="1"/>
  <c r="E1277" i="1"/>
  <c r="D1277" i="1"/>
  <c r="C1277" i="1"/>
  <c r="B1277" i="1"/>
  <c r="A1277" i="1"/>
  <c r="J1276" i="1"/>
  <c r="K1276" i="1" s="1"/>
  <c r="I1276" i="1"/>
  <c r="E1276" i="1"/>
  <c r="D1276" i="1"/>
  <c r="C1276" i="1"/>
  <c r="B1276" i="1"/>
  <c r="A1276" i="1"/>
  <c r="J1275" i="1"/>
  <c r="K1275" i="1" s="1"/>
  <c r="I1275" i="1"/>
  <c r="E1275" i="1"/>
  <c r="D1275" i="1"/>
  <c r="C1275" i="1"/>
  <c r="B1275" i="1"/>
  <c r="A1275" i="1"/>
  <c r="J1274" i="1"/>
  <c r="K1274" i="1" s="1"/>
  <c r="I1274" i="1"/>
  <c r="E1274" i="1"/>
  <c r="D1274" i="1"/>
  <c r="C1274" i="1"/>
  <c r="B1274" i="1"/>
  <c r="A1274" i="1"/>
  <c r="J1273" i="1"/>
  <c r="K1273" i="1" s="1"/>
  <c r="I1273" i="1"/>
  <c r="E1273" i="1"/>
  <c r="D1273" i="1"/>
  <c r="C1273" i="1"/>
  <c r="B1273" i="1"/>
  <c r="A1273" i="1"/>
  <c r="J1272" i="1"/>
  <c r="K1272" i="1" s="1"/>
  <c r="I1272" i="1"/>
  <c r="E1272" i="1"/>
  <c r="D1272" i="1"/>
  <c r="C1272" i="1"/>
  <c r="B1272" i="1"/>
  <c r="A1272" i="1"/>
  <c r="J1271" i="1"/>
  <c r="K1271" i="1" s="1"/>
  <c r="I1271" i="1"/>
  <c r="E1271" i="1"/>
  <c r="D1271" i="1"/>
  <c r="C1271" i="1"/>
  <c r="B1271" i="1"/>
  <c r="A1271" i="1"/>
  <c r="J1270" i="1"/>
  <c r="K1270" i="1" s="1"/>
  <c r="I1270" i="1"/>
  <c r="E1270" i="1"/>
  <c r="D1270" i="1"/>
  <c r="C1270" i="1"/>
  <c r="B1270" i="1"/>
  <c r="A1270" i="1"/>
  <c r="J1269" i="1"/>
  <c r="K1269" i="1" s="1"/>
  <c r="I1269" i="1"/>
  <c r="E1269" i="1"/>
  <c r="D1269" i="1"/>
  <c r="C1269" i="1"/>
  <c r="B1269" i="1"/>
  <c r="A1269" i="1"/>
  <c r="J1268" i="1"/>
  <c r="K1268" i="1" s="1"/>
  <c r="I1268" i="1"/>
  <c r="E1268" i="1"/>
  <c r="D1268" i="1"/>
  <c r="C1268" i="1"/>
  <c r="B1268" i="1"/>
  <c r="A1268" i="1"/>
  <c r="J1267" i="1"/>
  <c r="K1267" i="1" s="1"/>
  <c r="I1267" i="1"/>
  <c r="E1267" i="1"/>
  <c r="D1267" i="1"/>
  <c r="C1267" i="1"/>
  <c r="B1267" i="1"/>
  <c r="A1267" i="1"/>
  <c r="J1266" i="1"/>
  <c r="K1266" i="1" s="1"/>
  <c r="I1266" i="1"/>
  <c r="E1266" i="1"/>
  <c r="D1266" i="1"/>
  <c r="C1266" i="1"/>
  <c r="B1266" i="1"/>
  <c r="A1266" i="1"/>
  <c r="J1265" i="1"/>
  <c r="K1265" i="1" s="1"/>
  <c r="I1265" i="1"/>
  <c r="E1265" i="1"/>
  <c r="D1265" i="1"/>
  <c r="C1265" i="1"/>
  <c r="B1265" i="1"/>
  <c r="A1265" i="1"/>
  <c r="J1264" i="1"/>
  <c r="K1264" i="1" s="1"/>
  <c r="I1264" i="1"/>
  <c r="E1264" i="1"/>
  <c r="D1264" i="1"/>
  <c r="C1264" i="1"/>
  <c r="B1264" i="1"/>
  <c r="A1264" i="1"/>
  <c r="J1263" i="1"/>
  <c r="K1263" i="1" s="1"/>
  <c r="I1263" i="1"/>
  <c r="E1263" i="1"/>
  <c r="D1263" i="1"/>
  <c r="C1263" i="1"/>
  <c r="B1263" i="1"/>
  <c r="A1263" i="1"/>
  <c r="J1262" i="1"/>
  <c r="K1262" i="1" s="1"/>
  <c r="I1262" i="1"/>
  <c r="E1262" i="1"/>
  <c r="D1262" i="1"/>
  <c r="C1262" i="1"/>
  <c r="B1262" i="1"/>
  <c r="A1262" i="1"/>
  <c r="J1261" i="1"/>
  <c r="K1261" i="1" s="1"/>
  <c r="I1261" i="1"/>
  <c r="E1261" i="1"/>
  <c r="D1261" i="1"/>
  <c r="C1261" i="1"/>
  <c r="B1261" i="1"/>
  <c r="A1261" i="1"/>
  <c r="J1260" i="1"/>
  <c r="K1260" i="1" s="1"/>
  <c r="I1260" i="1"/>
  <c r="E1260" i="1"/>
  <c r="D1260" i="1"/>
  <c r="C1260" i="1"/>
  <c r="B1260" i="1"/>
  <c r="A1260" i="1"/>
  <c r="J1259" i="1"/>
  <c r="K1259" i="1" s="1"/>
  <c r="I1259" i="1"/>
  <c r="E1259" i="1"/>
  <c r="D1259" i="1"/>
  <c r="C1259" i="1"/>
  <c r="B1259" i="1"/>
  <c r="A1259" i="1"/>
  <c r="J1258" i="1"/>
  <c r="K1258" i="1" s="1"/>
  <c r="I1258" i="1"/>
  <c r="E1258" i="1"/>
  <c r="D1258" i="1"/>
  <c r="C1258" i="1"/>
  <c r="B1258" i="1"/>
  <c r="A1258" i="1"/>
  <c r="J1257" i="1"/>
  <c r="K1257" i="1" s="1"/>
  <c r="I1257" i="1"/>
  <c r="E1257" i="1"/>
  <c r="D1257" i="1"/>
  <c r="C1257" i="1"/>
  <c r="B1257" i="1"/>
  <c r="A1257" i="1"/>
  <c r="J1256" i="1"/>
  <c r="K1256" i="1" s="1"/>
  <c r="I1256" i="1"/>
  <c r="E1256" i="1"/>
  <c r="D1256" i="1"/>
  <c r="C1256" i="1"/>
  <c r="B1256" i="1"/>
  <c r="A1256" i="1"/>
  <c r="J1255" i="1"/>
  <c r="K1255" i="1" s="1"/>
  <c r="L1301" i="1" s="1"/>
  <c r="I1255" i="1"/>
  <c r="E1255" i="1"/>
  <c r="D1255" i="1"/>
  <c r="C1255" i="1"/>
  <c r="B1255" i="1"/>
  <c r="A1255" i="1"/>
  <c r="J1254" i="1"/>
  <c r="K1254" i="1" s="1"/>
  <c r="L1254" i="1" s="1"/>
  <c r="I1254" i="1"/>
  <c r="E1254" i="1"/>
  <c r="D1254" i="1"/>
  <c r="C1254" i="1"/>
  <c r="B1254" i="1"/>
  <c r="A1254" i="1"/>
  <c r="J1253" i="1"/>
  <c r="K1253" i="1" s="1"/>
  <c r="I1253" i="1"/>
  <c r="E1253" i="1"/>
  <c r="D1253" i="1"/>
  <c r="C1253" i="1"/>
  <c r="B1253" i="1"/>
  <c r="A1253" i="1"/>
  <c r="J1252" i="1"/>
  <c r="K1252" i="1" s="1"/>
  <c r="I1252" i="1"/>
  <c r="E1252" i="1"/>
  <c r="D1252" i="1"/>
  <c r="C1252" i="1"/>
  <c r="B1252" i="1"/>
  <c r="A1252" i="1"/>
  <c r="J1251" i="1"/>
  <c r="K1251" i="1" s="1"/>
  <c r="L1253" i="1" s="1"/>
  <c r="I1251" i="1"/>
  <c r="E1251" i="1"/>
  <c r="D1251" i="1"/>
  <c r="C1251" i="1"/>
  <c r="B1251" i="1"/>
  <c r="A1251" i="1"/>
  <c r="J1250" i="1"/>
  <c r="K1250" i="1" s="1"/>
  <c r="E1250" i="1"/>
  <c r="D1250" i="1"/>
  <c r="C1250" i="1"/>
  <c r="B1250" i="1"/>
  <c r="A1250" i="1"/>
  <c r="J1249" i="1"/>
  <c r="K1249" i="1" s="1"/>
  <c r="L1250" i="1" s="1"/>
  <c r="I1249" i="1"/>
  <c r="E1249" i="1"/>
  <c r="D1249" i="1"/>
  <c r="C1249" i="1"/>
  <c r="B1249" i="1"/>
  <c r="A1249" i="1"/>
  <c r="J1248" i="1"/>
  <c r="K1248" i="1" s="1"/>
  <c r="I1248" i="1"/>
  <c r="E1248" i="1"/>
  <c r="D1248" i="1"/>
  <c r="C1248" i="1"/>
  <c r="B1248" i="1"/>
  <c r="A1248" i="1"/>
  <c r="J1247" i="1"/>
  <c r="K1247" i="1" s="1"/>
  <c r="I1247" i="1"/>
  <c r="E1247" i="1"/>
  <c r="D1247" i="1"/>
  <c r="C1247" i="1"/>
  <c r="B1247" i="1"/>
  <c r="A1247" i="1"/>
  <c r="J1246" i="1"/>
  <c r="K1246" i="1" s="1"/>
  <c r="I1246" i="1"/>
  <c r="E1246" i="1"/>
  <c r="D1246" i="1"/>
  <c r="C1246" i="1"/>
  <c r="B1246" i="1"/>
  <c r="A1246" i="1"/>
  <c r="J1245" i="1"/>
  <c r="K1245" i="1" s="1"/>
  <c r="I1245" i="1"/>
  <c r="E1245" i="1"/>
  <c r="D1245" i="1"/>
  <c r="C1245" i="1"/>
  <c r="B1245" i="1"/>
  <c r="A1245" i="1"/>
  <c r="J1244" i="1"/>
  <c r="K1244" i="1" s="1"/>
  <c r="I1244" i="1"/>
  <c r="E1244" i="1"/>
  <c r="D1244" i="1"/>
  <c r="C1244" i="1"/>
  <c r="B1244" i="1"/>
  <c r="A1244" i="1"/>
  <c r="J1243" i="1"/>
  <c r="K1243" i="1" s="1"/>
  <c r="I1243" i="1"/>
  <c r="E1243" i="1"/>
  <c r="D1243" i="1"/>
  <c r="C1243" i="1"/>
  <c r="B1243" i="1"/>
  <c r="A1243" i="1"/>
  <c r="J1242" i="1"/>
  <c r="K1242" i="1" s="1"/>
  <c r="I1242" i="1"/>
  <c r="E1242" i="1"/>
  <c r="D1242" i="1"/>
  <c r="C1242" i="1"/>
  <c r="B1242" i="1"/>
  <c r="A1242" i="1"/>
  <c r="J1241" i="1"/>
  <c r="K1241" i="1" s="1"/>
  <c r="I1241" i="1"/>
  <c r="E1241" i="1"/>
  <c r="D1241" i="1"/>
  <c r="C1241" i="1"/>
  <c r="B1241" i="1"/>
  <c r="A1241" i="1"/>
  <c r="J1240" i="1"/>
  <c r="K1240" i="1" s="1"/>
  <c r="I1240" i="1"/>
  <c r="E1240" i="1"/>
  <c r="D1240" i="1"/>
  <c r="C1240" i="1"/>
  <c r="B1240" i="1"/>
  <c r="A1240" i="1"/>
  <c r="J1239" i="1"/>
  <c r="K1239" i="1" s="1"/>
  <c r="I1239" i="1"/>
  <c r="E1239" i="1"/>
  <c r="D1239" i="1"/>
  <c r="C1239" i="1"/>
  <c r="B1239" i="1"/>
  <c r="A1239" i="1"/>
  <c r="J1238" i="1"/>
  <c r="K1238" i="1" s="1"/>
  <c r="L1247" i="1" s="1"/>
  <c r="I1238" i="1"/>
  <c r="E1238" i="1"/>
  <c r="D1238" i="1"/>
  <c r="C1238" i="1"/>
  <c r="B1238" i="1"/>
  <c r="A1238" i="1"/>
  <c r="J1237" i="1"/>
  <c r="K1237" i="1" s="1"/>
  <c r="I1237" i="1"/>
  <c r="E1237" i="1"/>
  <c r="D1237" i="1"/>
  <c r="C1237" i="1"/>
  <c r="B1237" i="1"/>
  <c r="A1237" i="1"/>
  <c r="J1236" i="1"/>
  <c r="K1236" i="1" s="1"/>
  <c r="L1237" i="1" s="1"/>
  <c r="I1236" i="1"/>
  <c r="E1236" i="1"/>
  <c r="D1236" i="1"/>
  <c r="C1236" i="1"/>
  <c r="B1236" i="1"/>
  <c r="A1236" i="1"/>
  <c r="J1235" i="1"/>
  <c r="K1235" i="1" s="1"/>
  <c r="I1235" i="1"/>
  <c r="E1235" i="1"/>
  <c r="D1235" i="1"/>
  <c r="C1235" i="1"/>
  <c r="B1235" i="1"/>
  <c r="A1235" i="1"/>
  <c r="J1234" i="1"/>
  <c r="K1234" i="1" s="1"/>
  <c r="I1234" i="1"/>
  <c r="E1234" i="1"/>
  <c r="D1234" i="1"/>
  <c r="C1234" i="1"/>
  <c r="B1234" i="1"/>
  <c r="A1234" i="1"/>
  <c r="J1233" i="1"/>
  <c r="K1233" i="1" s="1"/>
  <c r="I1233" i="1"/>
  <c r="E1233" i="1"/>
  <c r="D1233" i="1"/>
  <c r="C1233" i="1"/>
  <c r="B1233" i="1"/>
  <c r="A1233" i="1"/>
  <c r="J1232" i="1"/>
  <c r="K1232" i="1" s="1"/>
  <c r="I1232" i="1"/>
  <c r="E1232" i="1"/>
  <c r="D1232" i="1"/>
  <c r="C1232" i="1"/>
  <c r="B1232" i="1"/>
  <c r="A1232" i="1"/>
  <c r="J1231" i="1"/>
  <c r="K1231" i="1" s="1"/>
  <c r="I1231" i="1"/>
  <c r="E1231" i="1"/>
  <c r="D1231" i="1"/>
  <c r="C1231" i="1"/>
  <c r="B1231" i="1"/>
  <c r="A1231" i="1"/>
  <c r="J1230" i="1"/>
  <c r="K1230" i="1" s="1"/>
  <c r="I1230" i="1"/>
  <c r="E1230" i="1"/>
  <c r="D1230" i="1"/>
  <c r="C1230" i="1"/>
  <c r="B1230" i="1"/>
  <c r="A1230" i="1"/>
  <c r="J1229" i="1"/>
  <c r="K1229" i="1" s="1"/>
  <c r="I1229" i="1"/>
  <c r="E1229" i="1"/>
  <c r="D1229" i="1"/>
  <c r="C1229" i="1"/>
  <c r="B1229" i="1"/>
  <c r="A1229" i="1"/>
  <c r="J1228" i="1"/>
  <c r="K1228" i="1" s="1"/>
  <c r="I1228" i="1"/>
  <c r="E1228" i="1"/>
  <c r="D1228" i="1"/>
  <c r="C1228" i="1"/>
  <c r="B1228" i="1"/>
  <c r="A1228" i="1"/>
  <c r="J1227" i="1"/>
  <c r="K1227" i="1" s="1"/>
  <c r="I1227" i="1"/>
  <c r="E1227" i="1"/>
  <c r="D1227" i="1"/>
  <c r="C1227" i="1"/>
  <c r="B1227" i="1"/>
  <c r="A1227" i="1"/>
  <c r="J1226" i="1"/>
  <c r="K1226" i="1" s="1"/>
  <c r="I1226" i="1"/>
  <c r="E1226" i="1"/>
  <c r="D1226" i="1"/>
  <c r="C1226" i="1"/>
  <c r="B1226" i="1"/>
  <c r="A1226" i="1"/>
  <c r="J1225" i="1"/>
  <c r="K1225" i="1" s="1"/>
  <c r="I1225" i="1"/>
  <c r="E1225" i="1"/>
  <c r="D1225" i="1"/>
  <c r="C1225" i="1"/>
  <c r="B1225" i="1"/>
  <c r="A1225" i="1"/>
  <c r="J1224" i="1"/>
  <c r="K1224" i="1" s="1"/>
  <c r="I1224" i="1"/>
  <c r="E1224" i="1"/>
  <c r="D1224" i="1"/>
  <c r="C1224" i="1"/>
  <c r="B1224" i="1"/>
  <c r="A1224" i="1"/>
  <c r="J1223" i="1"/>
  <c r="K1223" i="1" s="1"/>
  <c r="I1223" i="1"/>
  <c r="E1223" i="1"/>
  <c r="D1223" i="1"/>
  <c r="C1223" i="1"/>
  <c r="B1223" i="1"/>
  <c r="A1223" i="1"/>
  <c r="J1222" i="1"/>
  <c r="K1222" i="1" s="1"/>
  <c r="I1222" i="1"/>
  <c r="E1222" i="1"/>
  <c r="D1222" i="1"/>
  <c r="C1222" i="1"/>
  <c r="B1222" i="1"/>
  <c r="A1222" i="1"/>
  <c r="J1221" i="1"/>
  <c r="K1221" i="1" s="1"/>
  <c r="I1221" i="1"/>
  <c r="E1221" i="1"/>
  <c r="D1221" i="1"/>
  <c r="C1221" i="1"/>
  <c r="B1221" i="1"/>
  <c r="A1221" i="1"/>
  <c r="J1220" i="1"/>
  <c r="K1220" i="1" s="1"/>
  <c r="I1220" i="1"/>
  <c r="E1220" i="1"/>
  <c r="D1220" i="1"/>
  <c r="C1220" i="1"/>
  <c r="B1220" i="1"/>
  <c r="A1220" i="1"/>
  <c r="J1219" i="1"/>
  <c r="K1219" i="1" s="1"/>
  <c r="I1219" i="1"/>
  <c r="E1219" i="1"/>
  <c r="D1219" i="1"/>
  <c r="C1219" i="1"/>
  <c r="B1219" i="1"/>
  <c r="A1219" i="1"/>
  <c r="J1218" i="1"/>
  <c r="K1218" i="1" s="1"/>
  <c r="I1218" i="1"/>
  <c r="E1218" i="1"/>
  <c r="D1218" i="1"/>
  <c r="C1218" i="1"/>
  <c r="B1218" i="1"/>
  <c r="A1218" i="1"/>
  <c r="J1217" i="1"/>
  <c r="K1217" i="1" s="1"/>
  <c r="I1217" i="1"/>
  <c r="E1217" i="1"/>
  <c r="D1217" i="1"/>
  <c r="C1217" i="1"/>
  <c r="B1217" i="1"/>
  <c r="A1217" i="1"/>
  <c r="J1216" i="1"/>
  <c r="K1216" i="1" s="1"/>
  <c r="I1216" i="1"/>
  <c r="E1216" i="1"/>
  <c r="D1216" i="1"/>
  <c r="C1216" i="1"/>
  <c r="B1216" i="1"/>
  <c r="A1216" i="1"/>
  <c r="J1215" i="1"/>
  <c r="K1215" i="1" s="1"/>
  <c r="I1215" i="1"/>
  <c r="E1215" i="1"/>
  <c r="D1215" i="1"/>
  <c r="C1215" i="1"/>
  <c r="B1215" i="1"/>
  <c r="A1215" i="1"/>
  <c r="J1214" i="1"/>
  <c r="K1214" i="1" s="1"/>
  <c r="I1214" i="1"/>
  <c r="E1214" i="1"/>
  <c r="D1214" i="1"/>
  <c r="C1214" i="1"/>
  <c r="B1214" i="1"/>
  <c r="A1214" i="1"/>
  <c r="J1213" i="1"/>
  <c r="K1213" i="1" s="1"/>
  <c r="I1213" i="1"/>
  <c r="E1213" i="1"/>
  <c r="D1213" i="1"/>
  <c r="C1213" i="1"/>
  <c r="B1213" i="1"/>
  <c r="A1213" i="1"/>
  <c r="J1212" i="1"/>
  <c r="K1212" i="1" s="1"/>
  <c r="L1234" i="1" s="1"/>
  <c r="I1212" i="1"/>
  <c r="E1212" i="1"/>
  <c r="D1212" i="1"/>
  <c r="C1212" i="1"/>
  <c r="B1212" i="1"/>
  <c r="A1212" i="1"/>
  <c r="J1211" i="1"/>
  <c r="K1211" i="1" s="1"/>
  <c r="I1211" i="1"/>
  <c r="E1211" i="1"/>
  <c r="D1211" i="1"/>
  <c r="C1211" i="1"/>
  <c r="B1211" i="1"/>
  <c r="A1211" i="1"/>
  <c r="J1210" i="1"/>
  <c r="K1210" i="1" s="1"/>
  <c r="I1210" i="1"/>
  <c r="E1210" i="1"/>
  <c r="D1210" i="1"/>
  <c r="C1210" i="1"/>
  <c r="B1210" i="1"/>
  <c r="A1210" i="1"/>
  <c r="J1209" i="1"/>
  <c r="K1209" i="1" s="1"/>
  <c r="I1209" i="1"/>
  <c r="E1209" i="1"/>
  <c r="D1209" i="1"/>
  <c r="C1209" i="1"/>
  <c r="B1209" i="1"/>
  <c r="A1209" i="1"/>
  <c r="J1208" i="1"/>
  <c r="K1208" i="1" s="1"/>
  <c r="I1208" i="1"/>
  <c r="E1208" i="1"/>
  <c r="D1208" i="1"/>
  <c r="C1208" i="1"/>
  <c r="B1208" i="1"/>
  <c r="A1208" i="1"/>
  <c r="J1207" i="1"/>
  <c r="K1207" i="1" s="1"/>
  <c r="I1207" i="1"/>
  <c r="E1207" i="1"/>
  <c r="D1207" i="1"/>
  <c r="C1207" i="1"/>
  <c r="B1207" i="1"/>
  <c r="A1207" i="1"/>
  <c r="J1206" i="1"/>
  <c r="K1206" i="1" s="1"/>
  <c r="L1211" i="1" s="1"/>
  <c r="I1206" i="1"/>
  <c r="E1206" i="1"/>
  <c r="D1206" i="1"/>
  <c r="C1206" i="1"/>
  <c r="B1206" i="1"/>
  <c r="A1206" i="1"/>
  <c r="J1205" i="1"/>
  <c r="K1205" i="1" s="1"/>
  <c r="I1205" i="1"/>
  <c r="E1205" i="1"/>
  <c r="D1205" i="1"/>
  <c r="C1205" i="1"/>
  <c r="B1205" i="1"/>
  <c r="A1205" i="1"/>
  <c r="J1204" i="1"/>
  <c r="K1204" i="1" s="1"/>
  <c r="I1204" i="1"/>
  <c r="E1204" i="1"/>
  <c r="D1204" i="1"/>
  <c r="C1204" i="1"/>
  <c r="B1204" i="1"/>
  <c r="A1204" i="1"/>
  <c r="J1203" i="1"/>
  <c r="K1203" i="1" s="1"/>
  <c r="L1205" i="1" s="1"/>
  <c r="I1203" i="1"/>
  <c r="E1203" i="1"/>
  <c r="D1203" i="1"/>
  <c r="C1203" i="1"/>
  <c r="B1203" i="1"/>
  <c r="A1203" i="1"/>
  <c r="J1202" i="1"/>
  <c r="K1202" i="1" s="1"/>
  <c r="I1202" i="1"/>
  <c r="E1202" i="1"/>
  <c r="D1202" i="1"/>
  <c r="C1202" i="1"/>
  <c r="B1202" i="1"/>
  <c r="A1202" i="1"/>
  <c r="J1201" i="1"/>
  <c r="K1201" i="1" s="1"/>
  <c r="I1201" i="1"/>
  <c r="E1201" i="1"/>
  <c r="D1201" i="1"/>
  <c r="C1201" i="1"/>
  <c r="B1201" i="1"/>
  <c r="A1201" i="1"/>
  <c r="J1200" i="1"/>
  <c r="K1200" i="1" s="1"/>
  <c r="L1202" i="1" s="1"/>
  <c r="I1200" i="1"/>
  <c r="E1200" i="1"/>
  <c r="D1200" i="1"/>
  <c r="C1200" i="1"/>
  <c r="B1200" i="1"/>
  <c r="A1200" i="1"/>
  <c r="J1199" i="1"/>
  <c r="K1199" i="1" s="1"/>
  <c r="I1199" i="1"/>
  <c r="E1199" i="1"/>
  <c r="D1199" i="1"/>
  <c r="C1199" i="1"/>
  <c r="B1199" i="1"/>
  <c r="A1199" i="1"/>
  <c r="J1198" i="1"/>
  <c r="K1198" i="1" s="1"/>
  <c r="L1199" i="1" s="1"/>
  <c r="I1198" i="1"/>
  <c r="E1198" i="1"/>
  <c r="D1198" i="1"/>
  <c r="C1198" i="1"/>
  <c r="B1198" i="1"/>
  <c r="A1198" i="1"/>
  <c r="J1197" i="1"/>
  <c r="K1197" i="1" s="1"/>
  <c r="L1197" i="1" s="1"/>
  <c r="I1197" i="1"/>
  <c r="E1197" i="1"/>
  <c r="D1197" i="1"/>
  <c r="C1197" i="1"/>
  <c r="B1197" i="1"/>
  <c r="A1197" i="1"/>
  <c r="J1196" i="1"/>
  <c r="K1196" i="1" s="1"/>
  <c r="I1196" i="1"/>
  <c r="E1196" i="1"/>
  <c r="D1196" i="1"/>
  <c r="C1196" i="1"/>
  <c r="B1196" i="1"/>
  <c r="A1196" i="1"/>
  <c r="J1195" i="1"/>
  <c r="K1195" i="1" s="1"/>
  <c r="I1195" i="1"/>
  <c r="E1195" i="1"/>
  <c r="D1195" i="1"/>
  <c r="C1195" i="1"/>
  <c r="B1195" i="1"/>
  <c r="A1195" i="1"/>
  <c r="J1194" i="1"/>
  <c r="K1194" i="1" s="1"/>
  <c r="I1194" i="1"/>
  <c r="E1194" i="1"/>
  <c r="D1194" i="1"/>
  <c r="C1194" i="1"/>
  <c r="B1194" i="1"/>
  <c r="A1194" i="1"/>
  <c r="J1193" i="1"/>
  <c r="K1193" i="1" s="1"/>
  <c r="I1193" i="1"/>
  <c r="E1193" i="1"/>
  <c r="D1193" i="1"/>
  <c r="C1193" i="1"/>
  <c r="B1193" i="1"/>
  <c r="A1193" i="1"/>
  <c r="J1192" i="1"/>
  <c r="K1192" i="1" s="1"/>
  <c r="I1192" i="1"/>
  <c r="E1192" i="1"/>
  <c r="D1192" i="1"/>
  <c r="C1192" i="1"/>
  <c r="B1192" i="1"/>
  <c r="A1192" i="1"/>
  <c r="J1191" i="1"/>
  <c r="K1191" i="1" s="1"/>
  <c r="I1191" i="1"/>
  <c r="E1191" i="1"/>
  <c r="D1191" i="1"/>
  <c r="C1191" i="1"/>
  <c r="B1191" i="1"/>
  <c r="A1191" i="1"/>
  <c r="J1190" i="1"/>
  <c r="K1190" i="1" s="1"/>
  <c r="I1190" i="1"/>
  <c r="E1190" i="1"/>
  <c r="D1190" i="1"/>
  <c r="C1190" i="1"/>
  <c r="B1190" i="1"/>
  <c r="A1190" i="1"/>
  <c r="J1189" i="1"/>
  <c r="K1189" i="1" s="1"/>
  <c r="I1189" i="1"/>
  <c r="E1189" i="1"/>
  <c r="D1189" i="1"/>
  <c r="C1189" i="1"/>
  <c r="B1189" i="1"/>
  <c r="A1189" i="1"/>
  <c r="J1188" i="1"/>
  <c r="K1188" i="1" s="1"/>
  <c r="I1188" i="1"/>
  <c r="E1188" i="1"/>
  <c r="D1188" i="1"/>
  <c r="C1188" i="1"/>
  <c r="B1188" i="1"/>
  <c r="A1188" i="1"/>
  <c r="J1187" i="1"/>
  <c r="K1187" i="1" s="1"/>
  <c r="I1187" i="1"/>
  <c r="E1187" i="1"/>
  <c r="D1187" i="1"/>
  <c r="C1187" i="1"/>
  <c r="B1187" i="1"/>
  <c r="A1187" i="1"/>
  <c r="J1186" i="1"/>
  <c r="K1186" i="1" s="1"/>
  <c r="I1186" i="1"/>
  <c r="E1186" i="1"/>
  <c r="D1186" i="1"/>
  <c r="C1186" i="1"/>
  <c r="B1186" i="1"/>
  <c r="A1186" i="1"/>
  <c r="J1185" i="1"/>
  <c r="K1185" i="1" s="1"/>
  <c r="I1185" i="1"/>
  <c r="E1185" i="1"/>
  <c r="D1185" i="1"/>
  <c r="C1185" i="1"/>
  <c r="B1185" i="1"/>
  <c r="A1185" i="1"/>
  <c r="J1184" i="1"/>
  <c r="K1184" i="1" s="1"/>
  <c r="I1184" i="1"/>
  <c r="E1184" i="1"/>
  <c r="D1184" i="1"/>
  <c r="C1184" i="1"/>
  <c r="B1184" i="1"/>
  <c r="A1184" i="1"/>
  <c r="J1183" i="1"/>
  <c r="K1183" i="1" s="1"/>
  <c r="I1183" i="1"/>
  <c r="E1183" i="1"/>
  <c r="D1183" i="1"/>
  <c r="C1183" i="1"/>
  <c r="B1183" i="1"/>
  <c r="A1183" i="1"/>
  <c r="J1182" i="1"/>
  <c r="K1182" i="1" s="1"/>
  <c r="I1182" i="1"/>
  <c r="E1182" i="1"/>
  <c r="D1182" i="1"/>
  <c r="C1182" i="1"/>
  <c r="B1182" i="1"/>
  <c r="A1182" i="1"/>
  <c r="J1181" i="1"/>
  <c r="K1181" i="1" s="1"/>
  <c r="I1181" i="1"/>
  <c r="E1181" i="1"/>
  <c r="D1181" i="1"/>
  <c r="C1181" i="1"/>
  <c r="B1181" i="1"/>
  <c r="A1181" i="1"/>
  <c r="J1180" i="1"/>
  <c r="K1180" i="1" s="1"/>
  <c r="I1180" i="1"/>
  <c r="E1180" i="1"/>
  <c r="D1180" i="1"/>
  <c r="C1180" i="1"/>
  <c r="B1180" i="1"/>
  <c r="A1180" i="1"/>
  <c r="J1179" i="1"/>
  <c r="K1179" i="1" s="1"/>
  <c r="I1179" i="1"/>
  <c r="E1179" i="1"/>
  <c r="D1179" i="1"/>
  <c r="C1179" i="1"/>
  <c r="B1179" i="1"/>
  <c r="A1179" i="1"/>
  <c r="J1178" i="1"/>
  <c r="K1178" i="1" s="1"/>
  <c r="I1178" i="1"/>
  <c r="E1178" i="1"/>
  <c r="D1178" i="1"/>
  <c r="C1178" i="1"/>
  <c r="B1178" i="1"/>
  <c r="A1178" i="1"/>
  <c r="J1177" i="1"/>
  <c r="K1177" i="1" s="1"/>
  <c r="I1177" i="1"/>
  <c r="E1177" i="1"/>
  <c r="D1177" i="1"/>
  <c r="C1177" i="1"/>
  <c r="B1177" i="1"/>
  <c r="A1177" i="1"/>
  <c r="J1176" i="1"/>
  <c r="K1176" i="1" s="1"/>
  <c r="I1176" i="1"/>
  <c r="E1176" i="1"/>
  <c r="D1176" i="1"/>
  <c r="C1176" i="1"/>
  <c r="B1176" i="1"/>
  <c r="A1176" i="1"/>
  <c r="J1175" i="1"/>
  <c r="K1175" i="1" s="1"/>
  <c r="I1175" i="1"/>
  <c r="E1175" i="1"/>
  <c r="D1175" i="1"/>
  <c r="C1175" i="1"/>
  <c r="B1175" i="1"/>
  <c r="A1175" i="1"/>
  <c r="J1174" i="1"/>
  <c r="K1174" i="1" s="1"/>
  <c r="I1174" i="1"/>
  <c r="E1174" i="1"/>
  <c r="D1174" i="1"/>
  <c r="C1174" i="1"/>
  <c r="B1174" i="1"/>
  <c r="A1174" i="1"/>
  <c r="J1173" i="1"/>
  <c r="K1173" i="1" s="1"/>
  <c r="I1173" i="1"/>
  <c r="E1173" i="1"/>
  <c r="D1173" i="1"/>
  <c r="C1173" i="1"/>
  <c r="B1173" i="1"/>
  <c r="A1173" i="1"/>
  <c r="J1172" i="1"/>
  <c r="K1172" i="1" s="1"/>
  <c r="I1172" i="1"/>
  <c r="E1172" i="1"/>
  <c r="D1172" i="1"/>
  <c r="C1172" i="1"/>
  <c r="B1172" i="1"/>
  <c r="A1172" i="1"/>
  <c r="J1171" i="1"/>
  <c r="K1171" i="1" s="1"/>
  <c r="I1171" i="1"/>
  <c r="E1171" i="1"/>
  <c r="D1171" i="1"/>
  <c r="C1171" i="1"/>
  <c r="B1171" i="1"/>
  <c r="A1171" i="1"/>
  <c r="J1170" i="1"/>
  <c r="K1170" i="1" s="1"/>
  <c r="I1170" i="1"/>
  <c r="E1170" i="1"/>
  <c r="D1170" i="1"/>
  <c r="C1170" i="1"/>
  <c r="B1170" i="1"/>
  <c r="A1170" i="1"/>
  <c r="J1169" i="1"/>
  <c r="K1169" i="1" s="1"/>
  <c r="I1169" i="1"/>
  <c r="E1169" i="1"/>
  <c r="D1169" i="1"/>
  <c r="C1169" i="1"/>
  <c r="B1169" i="1"/>
  <c r="A1169" i="1"/>
  <c r="J1168" i="1"/>
  <c r="K1168" i="1" s="1"/>
  <c r="I1168" i="1"/>
  <c r="E1168" i="1"/>
  <c r="D1168" i="1"/>
  <c r="C1168" i="1"/>
  <c r="B1168" i="1"/>
  <c r="A1168" i="1"/>
  <c r="J1167" i="1"/>
  <c r="K1167" i="1" s="1"/>
  <c r="I1167" i="1"/>
  <c r="E1167" i="1"/>
  <c r="D1167" i="1"/>
  <c r="C1167" i="1"/>
  <c r="B1167" i="1"/>
  <c r="A1167" i="1"/>
  <c r="K1166" i="1"/>
  <c r="J1166" i="1"/>
  <c r="I1166" i="1"/>
  <c r="E1166" i="1"/>
  <c r="D1166" i="1"/>
  <c r="C1166" i="1"/>
  <c r="B1166" i="1"/>
  <c r="A1166" i="1"/>
  <c r="J1165" i="1"/>
  <c r="K1165" i="1" s="1"/>
  <c r="I1165" i="1"/>
  <c r="E1165" i="1"/>
  <c r="D1165" i="1"/>
  <c r="C1165" i="1"/>
  <c r="B1165" i="1"/>
  <c r="A1165" i="1"/>
  <c r="J1164" i="1"/>
  <c r="K1164" i="1" s="1"/>
  <c r="I1164" i="1"/>
  <c r="E1164" i="1"/>
  <c r="D1164" i="1"/>
  <c r="C1164" i="1"/>
  <c r="B1164" i="1"/>
  <c r="A1164" i="1"/>
  <c r="J1163" i="1"/>
  <c r="K1163" i="1" s="1"/>
  <c r="I1163" i="1"/>
  <c r="E1163" i="1"/>
  <c r="D1163" i="1"/>
  <c r="C1163" i="1"/>
  <c r="B1163" i="1"/>
  <c r="A1163" i="1"/>
  <c r="J1162" i="1"/>
  <c r="K1162" i="1" s="1"/>
  <c r="I1162" i="1"/>
  <c r="E1162" i="1"/>
  <c r="D1162" i="1"/>
  <c r="C1162" i="1"/>
  <c r="B1162" i="1"/>
  <c r="A1162" i="1"/>
  <c r="J1161" i="1"/>
  <c r="K1161" i="1" s="1"/>
  <c r="I1161" i="1"/>
  <c r="E1161" i="1"/>
  <c r="D1161" i="1"/>
  <c r="C1161" i="1"/>
  <c r="B1161" i="1"/>
  <c r="A1161" i="1"/>
  <c r="J1160" i="1"/>
  <c r="K1160" i="1" s="1"/>
  <c r="I1160" i="1"/>
  <c r="E1160" i="1"/>
  <c r="D1160" i="1"/>
  <c r="C1160" i="1"/>
  <c r="B1160" i="1"/>
  <c r="A1160" i="1"/>
  <c r="J1159" i="1"/>
  <c r="K1159" i="1" s="1"/>
  <c r="I1159" i="1"/>
  <c r="E1159" i="1"/>
  <c r="D1159" i="1"/>
  <c r="C1159" i="1"/>
  <c r="B1159" i="1"/>
  <c r="A1159" i="1"/>
  <c r="J1158" i="1"/>
  <c r="K1158" i="1" s="1"/>
  <c r="I1158" i="1"/>
  <c r="E1158" i="1"/>
  <c r="D1158" i="1"/>
  <c r="C1158" i="1"/>
  <c r="B1158" i="1"/>
  <c r="A1158" i="1"/>
  <c r="J1157" i="1"/>
  <c r="K1157" i="1" s="1"/>
  <c r="I1157" i="1"/>
  <c r="E1157" i="1"/>
  <c r="D1157" i="1"/>
  <c r="C1157" i="1"/>
  <c r="B1157" i="1"/>
  <c r="A1157" i="1"/>
  <c r="J1156" i="1"/>
  <c r="K1156" i="1" s="1"/>
  <c r="I1156" i="1"/>
  <c r="E1156" i="1"/>
  <c r="D1156" i="1"/>
  <c r="C1156" i="1"/>
  <c r="B1156" i="1"/>
  <c r="A1156" i="1"/>
  <c r="J1155" i="1"/>
  <c r="K1155" i="1" s="1"/>
  <c r="I1155" i="1"/>
  <c r="E1155" i="1"/>
  <c r="D1155" i="1"/>
  <c r="C1155" i="1"/>
  <c r="B1155" i="1"/>
  <c r="A1155" i="1"/>
  <c r="J1154" i="1"/>
  <c r="K1154" i="1" s="1"/>
  <c r="I1154" i="1"/>
  <c r="E1154" i="1"/>
  <c r="D1154" i="1"/>
  <c r="C1154" i="1"/>
  <c r="B1154" i="1"/>
  <c r="A1154" i="1"/>
  <c r="J1153" i="1"/>
  <c r="K1153" i="1" s="1"/>
  <c r="I1153" i="1"/>
  <c r="E1153" i="1"/>
  <c r="D1153" i="1"/>
  <c r="C1153" i="1"/>
  <c r="B1153" i="1"/>
  <c r="A1153" i="1"/>
  <c r="J1152" i="1"/>
  <c r="K1152" i="1" s="1"/>
  <c r="I1152" i="1"/>
  <c r="E1152" i="1"/>
  <c r="D1152" i="1"/>
  <c r="C1152" i="1"/>
  <c r="B1152" i="1"/>
  <c r="A1152" i="1"/>
  <c r="J1151" i="1"/>
  <c r="K1151" i="1" s="1"/>
  <c r="I1151" i="1"/>
  <c r="E1151" i="1"/>
  <c r="D1151" i="1"/>
  <c r="C1151" i="1"/>
  <c r="B1151" i="1"/>
  <c r="A1151" i="1"/>
  <c r="J1150" i="1"/>
  <c r="K1150" i="1" s="1"/>
  <c r="I1150" i="1"/>
  <c r="E1150" i="1"/>
  <c r="D1150" i="1"/>
  <c r="C1150" i="1"/>
  <c r="B1150" i="1"/>
  <c r="A1150" i="1"/>
  <c r="J1149" i="1"/>
  <c r="K1149" i="1" s="1"/>
  <c r="I1149" i="1"/>
  <c r="E1149" i="1"/>
  <c r="D1149" i="1"/>
  <c r="C1149" i="1"/>
  <c r="B1149" i="1"/>
  <c r="A1149" i="1"/>
  <c r="J1148" i="1"/>
  <c r="K1148" i="1" s="1"/>
  <c r="I1148" i="1"/>
  <c r="E1148" i="1"/>
  <c r="D1148" i="1"/>
  <c r="C1148" i="1"/>
  <c r="B1148" i="1"/>
  <c r="A1148" i="1"/>
  <c r="J1147" i="1"/>
  <c r="K1147" i="1" s="1"/>
  <c r="I1147" i="1"/>
  <c r="E1147" i="1"/>
  <c r="D1147" i="1"/>
  <c r="C1147" i="1"/>
  <c r="B1147" i="1"/>
  <c r="A1147" i="1"/>
  <c r="J1146" i="1"/>
  <c r="K1146" i="1" s="1"/>
  <c r="I1146" i="1"/>
  <c r="E1146" i="1"/>
  <c r="D1146" i="1"/>
  <c r="C1146" i="1"/>
  <c r="B1146" i="1"/>
  <c r="A1146" i="1"/>
  <c r="J1145" i="1"/>
  <c r="K1145" i="1" s="1"/>
  <c r="I1145" i="1"/>
  <c r="E1145" i="1"/>
  <c r="D1145" i="1"/>
  <c r="C1145" i="1"/>
  <c r="B1145" i="1"/>
  <c r="A1145" i="1"/>
  <c r="J1144" i="1"/>
  <c r="K1144" i="1" s="1"/>
  <c r="I1144" i="1"/>
  <c r="E1144" i="1"/>
  <c r="D1144" i="1"/>
  <c r="C1144" i="1"/>
  <c r="B1144" i="1"/>
  <c r="A1144" i="1"/>
  <c r="J1143" i="1"/>
  <c r="K1143" i="1" s="1"/>
  <c r="I1143" i="1"/>
  <c r="E1143" i="1"/>
  <c r="D1143" i="1"/>
  <c r="C1143" i="1"/>
  <c r="B1143" i="1"/>
  <c r="A1143" i="1"/>
  <c r="J1142" i="1"/>
  <c r="K1142" i="1" s="1"/>
  <c r="I1142" i="1"/>
  <c r="E1142" i="1"/>
  <c r="D1142" i="1"/>
  <c r="C1142" i="1"/>
  <c r="B1142" i="1"/>
  <c r="A1142" i="1"/>
  <c r="J1141" i="1"/>
  <c r="K1141" i="1" s="1"/>
  <c r="I1141" i="1"/>
  <c r="E1141" i="1"/>
  <c r="D1141" i="1"/>
  <c r="C1141" i="1"/>
  <c r="B1141" i="1"/>
  <c r="A1141" i="1"/>
  <c r="J1140" i="1"/>
  <c r="K1140" i="1" s="1"/>
  <c r="I1140" i="1"/>
  <c r="E1140" i="1"/>
  <c r="D1140" i="1"/>
  <c r="C1140" i="1"/>
  <c r="B1140" i="1"/>
  <c r="A1140" i="1"/>
  <c r="J1139" i="1"/>
  <c r="K1139" i="1" s="1"/>
  <c r="I1139" i="1"/>
  <c r="E1139" i="1"/>
  <c r="D1139" i="1"/>
  <c r="C1139" i="1"/>
  <c r="B1139" i="1"/>
  <c r="A1139" i="1"/>
  <c r="J1138" i="1"/>
  <c r="K1138" i="1" s="1"/>
  <c r="I1138" i="1"/>
  <c r="E1138" i="1"/>
  <c r="D1138" i="1"/>
  <c r="C1138" i="1"/>
  <c r="B1138" i="1"/>
  <c r="A1138" i="1"/>
  <c r="J1137" i="1"/>
  <c r="K1137" i="1" s="1"/>
  <c r="I1137" i="1"/>
  <c r="E1137" i="1"/>
  <c r="D1137" i="1"/>
  <c r="C1137" i="1"/>
  <c r="B1137" i="1"/>
  <c r="A1137" i="1"/>
  <c r="J1136" i="1"/>
  <c r="K1136" i="1" s="1"/>
  <c r="I1136" i="1"/>
  <c r="E1136" i="1"/>
  <c r="D1136" i="1"/>
  <c r="C1136" i="1"/>
  <c r="B1136" i="1"/>
  <c r="A1136" i="1"/>
  <c r="K1135" i="1"/>
  <c r="J1135" i="1"/>
  <c r="I1135" i="1"/>
  <c r="E1135" i="1"/>
  <c r="D1135" i="1"/>
  <c r="C1135" i="1"/>
  <c r="B1135" i="1"/>
  <c r="A1135" i="1"/>
  <c r="J1134" i="1"/>
  <c r="K1134" i="1" s="1"/>
  <c r="I1134" i="1"/>
  <c r="E1134" i="1"/>
  <c r="D1134" i="1"/>
  <c r="C1134" i="1"/>
  <c r="B1134" i="1"/>
  <c r="A1134" i="1"/>
  <c r="J1133" i="1"/>
  <c r="K1133" i="1" s="1"/>
  <c r="I1133" i="1"/>
  <c r="E1133" i="1"/>
  <c r="D1133" i="1"/>
  <c r="C1133" i="1"/>
  <c r="B1133" i="1"/>
  <c r="A1133" i="1"/>
  <c r="J1132" i="1"/>
  <c r="K1132" i="1" s="1"/>
  <c r="I1132" i="1"/>
  <c r="E1132" i="1"/>
  <c r="D1132" i="1"/>
  <c r="C1132" i="1"/>
  <c r="B1132" i="1"/>
  <c r="A1132" i="1"/>
  <c r="J1131" i="1"/>
  <c r="K1131" i="1" s="1"/>
  <c r="I1131" i="1"/>
  <c r="E1131" i="1"/>
  <c r="D1131" i="1"/>
  <c r="C1131" i="1"/>
  <c r="B1131" i="1"/>
  <c r="A1131" i="1"/>
  <c r="K1130" i="1"/>
  <c r="J1130" i="1"/>
  <c r="I1130" i="1"/>
  <c r="E1130" i="1"/>
  <c r="D1130" i="1"/>
  <c r="C1130" i="1"/>
  <c r="B1130" i="1"/>
  <c r="A1130" i="1"/>
  <c r="J1129" i="1"/>
  <c r="K1129" i="1" s="1"/>
  <c r="I1129" i="1"/>
  <c r="E1129" i="1"/>
  <c r="D1129" i="1"/>
  <c r="C1129" i="1"/>
  <c r="B1129" i="1"/>
  <c r="A1129" i="1"/>
  <c r="J1128" i="1"/>
  <c r="K1128" i="1" s="1"/>
  <c r="I1128" i="1"/>
  <c r="E1128" i="1"/>
  <c r="D1128" i="1"/>
  <c r="C1128" i="1"/>
  <c r="B1128" i="1"/>
  <c r="A1128" i="1"/>
  <c r="J1127" i="1"/>
  <c r="K1127" i="1" s="1"/>
  <c r="I1127" i="1"/>
  <c r="E1127" i="1"/>
  <c r="D1127" i="1"/>
  <c r="C1127" i="1"/>
  <c r="B1127" i="1"/>
  <c r="A1127" i="1"/>
  <c r="J1126" i="1"/>
  <c r="K1126" i="1" s="1"/>
  <c r="I1126" i="1"/>
  <c r="E1126" i="1"/>
  <c r="D1126" i="1"/>
  <c r="C1126" i="1"/>
  <c r="B1126" i="1"/>
  <c r="A1126" i="1"/>
  <c r="J1125" i="1"/>
  <c r="K1125" i="1" s="1"/>
  <c r="I1125" i="1"/>
  <c r="E1125" i="1"/>
  <c r="D1125" i="1"/>
  <c r="C1125" i="1"/>
  <c r="B1125" i="1"/>
  <c r="A1125" i="1"/>
  <c r="J1124" i="1"/>
  <c r="K1124" i="1" s="1"/>
  <c r="I1124" i="1"/>
  <c r="E1124" i="1"/>
  <c r="D1124" i="1"/>
  <c r="C1124" i="1"/>
  <c r="B1124" i="1"/>
  <c r="A1124" i="1"/>
  <c r="J1123" i="1"/>
  <c r="K1123" i="1" s="1"/>
  <c r="I1123" i="1"/>
  <c r="E1123" i="1"/>
  <c r="D1123" i="1"/>
  <c r="C1123" i="1"/>
  <c r="B1123" i="1"/>
  <c r="A1123" i="1"/>
  <c r="J1122" i="1"/>
  <c r="K1122" i="1" s="1"/>
  <c r="I1122" i="1"/>
  <c r="E1122" i="1"/>
  <c r="D1122" i="1"/>
  <c r="C1122" i="1"/>
  <c r="B1122" i="1"/>
  <c r="A1122" i="1"/>
  <c r="J1121" i="1"/>
  <c r="K1121" i="1" s="1"/>
  <c r="I1121" i="1"/>
  <c r="E1121" i="1"/>
  <c r="D1121" i="1"/>
  <c r="C1121" i="1"/>
  <c r="B1121" i="1"/>
  <c r="A1121" i="1"/>
  <c r="J1120" i="1"/>
  <c r="K1120" i="1" s="1"/>
  <c r="I1120" i="1"/>
  <c r="E1120" i="1"/>
  <c r="D1120" i="1"/>
  <c r="C1120" i="1"/>
  <c r="B1120" i="1"/>
  <c r="A1120" i="1"/>
  <c r="J1119" i="1"/>
  <c r="K1119" i="1" s="1"/>
  <c r="I1119" i="1"/>
  <c r="E1119" i="1"/>
  <c r="D1119" i="1"/>
  <c r="C1119" i="1"/>
  <c r="B1119" i="1"/>
  <c r="A1119" i="1"/>
  <c r="J1118" i="1"/>
  <c r="K1118" i="1" s="1"/>
  <c r="I1118" i="1"/>
  <c r="E1118" i="1"/>
  <c r="D1118" i="1"/>
  <c r="C1118" i="1"/>
  <c r="B1118" i="1"/>
  <c r="A1118" i="1"/>
  <c r="J1117" i="1"/>
  <c r="K1117" i="1" s="1"/>
  <c r="I1117" i="1"/>
  <c r="E1117" i="1"/>
  <c r="D1117" i="1"/>
  <c r="C1117" i="1"/>
  <c r="B1117" i="1"/>
  <c r="A1117" i="1"/>
  <c r="J1116" i="1"/>
  <c r="K1116" i="1" s="1"/>
  <c r="I1116" i="1"/>
  <c r="E1116" i="1"/>
  <c r="D1116" i="1"/>
  <c r="C1116" i="1"/>
  <c r="B1116" i="1"/>
  <c r="A1116" i="1"/>
  <c r="J1115" i="1"/>
  <c r="K1115" i="1" s="1"/>
  <c r="I1115" i="1"/>
  <c r="E1115" i="1"/>
  <c r="D1115" i="1"/>
  <c r="C1115" i="1"/>
  <c r="B1115" i="1"/>
  <c r="A1115" i="1"/>
  <c r="J1114" i="1"/>
  <c r="K1114" i="1" s="1"/>
  <c r="I1114" i="1"/>
  <c r="E1114" i="1"/>
  <c r="D1114" i="1"/>
  <c r="C1114" i="1"/>
  <c r="B1114" i="1"/>
  <c r="A1114" i="1"/>
  <c r="J1113" i="1"/>
  <c r="K1113" i="1" s="1"/>
  <c r="I1113" i="1"/>
  <c r="E1113" i="1"/>
  <c r="D1113" i="1"/>
  <c r="C1113" i="1"/>
  <c r="B1113" i="1"/>
  <c r="A1113" i="1"/>
  <c r="J1112" i="1"/>
  <c r="K1112" i="1" s="1"/>
  <c r="I1112" i="1"/>
  <c r="E1112" i="1"/>
  <c r="D1112" i="1"/>
  <c r="C1112" i="1"/>
  <c r="B1112" i="1"/>
  <c r="A1112" i="1"/>
  <c r="J1111" i="1"/>
  <c r="K1111" i="1" s="1"/>
  <c r="I1111" i="1"/>
  <c r="E1111" i="1"/>
  <c r="D1111" i="1"/>
  <c r="C1111" i="1"/>
  <c r="B1111" i="1"/>
  <c r="A1111" i="1"/>
  <c r="J1110" i="1"/>
  <c r="K1110" i="1" s="1"/>
  <c r="I1110" i="1"/>
  <c r="E1110" i="1"/>
  <c r="D1110" i="1"/>
  <c r="C1110" i="1"/>
  <c r="B1110" i="1"/>
  <c r="A1110" i="1"/>
  <c r="J1109" i="1"/>
  <c r="K1109" i="1" s="1"/>
  <c r="I1109" i="1"/>
  <c r="E1109" i="1"/>
  <c r="D1109" i="1"/>
  <c r="C1109" i="1"/>
  <c r="B1109" i="1"/>
  <c r="A1109" i="1"/>
  <c r="J1108" i="1"/>
  <c r="K1108" i="1" s="1"/>
  <c r="I1108" i="1"/>
  <c r="E1108" i="1"/>
  <c r="D1108" i="1"/>
  <c r="C1108" i="1"/>
  <c r="B1108" i="1"/>
  <c r="A1108" i="1"/>
  <c r="J1107" i="1"/>
  <c r="K1107" i="1" s="1"/>
  <c r="I1107" i="1"/>
  <c r="E1107" i="1"/>
  <c r="D1107" i="1"/>
  <c r="C1107" i="1"/>
  <c r="B1107" i="1"/>
  <c r="A1107" i="1"/>
  <c r="J1106" i="1"/>
  <c r="K1106" i="1" s="1"/>
  <c r="I1106" i="1"/>
  <c r="E1106" i="1"/>
  <c r="D1106" i="1"/>
  <c r="C1106" i="1"/>
  <c r="B1106" i="1"/>
  <c r="A1106" i="1"/>
  <c r="J1105" i="1"/>
  <c r="K1105" i="1" s="1"/>
  <c r="I1105" i="1"/>
  <c r="E1105" i="1"/>
  <c r="D1105" i="1"/>
  <c r="C1105" i="1"/>
  <c r="B1105" i="1"/>
  <c r="A1105" i="1"/>
  <c r="J1104" i="1"/>
  <c r="K1104" i="1" s="1"/>
  <c r="I1104" i="1"/>
  <c r="E1104" i="1"/>
  <c r="D1104" i="1"/>
  <c r="C1104" i="1"/>
  <c r="B1104" i="1"/>
  <c r="A1104" i="1"/>
  <c r="J1103" i="1"/>
  <c r="K1103" i="1" s="1"/>
  <c r="I1103" i="1"/>
  <c r="E1103" i="1"/>
  <c r="D1103" i="1"/>
  <c r="C1103" i="1"/>
  <c r="B1103" i="1"/>
  <c r="A1103" i="1"/>
  <c r="J1102" i="1"/>
  <c r="K1102" i="1" s="1"/>
  <c r="I1102" i="1"/>
  <c r="E1102" i="1"/>
  <c r="D1102" i="1"/>
  <c r="C1102" i="1"/>
  <c r="B1102" i="1"/>
  <c r="A1102" i="1"/>
  <c r="J1101" i="1"/>
  <c r="K1101" i="1" s="1"/>
  <c r="I1101" i="1"/>
  <c r="E1101" i="1"/>
  <c r="D1101" i="1"/>
  <c r="C1101" i="1"/>
  <c r="B1101" i="1"/>
  <c r="A1101" i="1"/>
  <c r="J1100" i="1"/>
  <c r="K1100" i="1" s="1"/>
  <c r="I1100" i="1"/>
  <c r="E1100" i="1"/>
  <c r="D1100" i="1"/>
  <c r="C1100" i="1"/>
  <c r="B1100" i="1"/>
  <c r="A1100" i="1"/>
  <c r="J1099" i="1"/>
  <c r="K1099" i="1" s="1"/>
  <c r="I1099" i="1"/>
  <c r="E1099" i="1"/>
  <c r="D1099" i="1"/>
  <c r="C1099" i="1"/>
  <c r="B1099" i="1"/>
  <c r="A1099" i="1"/>
  <c r="J1098" i="1"/>
  <c r="K1098" i="1" s="1"/>
  <c r="I1098" i="1"/>
  <c r="E1098" i="1"/>
  <c r="D1098" i="1"/>
  <c r="C1098" i="1"/>
  <c r="B1098" i="1"/>
  <c r="A1098" i="1"/>
  <c r="J1097" i="1"/>
  <c r="K1097" i="1" s="1"/>
  <c r="I1097" i="1"/>
  <c r="E1097" i="1"/>
  <c r="D1097" i="1"/>
  <c r="C1097" i="1"/>
  <c r="B1097" i="1"/>
  <c r="A1097" i="1"/>
  <c r="J1096" i="1"/>
  <c r="K1096" i="1" s="1"/>
  <c r="I1096" i="1"/>
  <c r="E1096" i="1"/>
  <c r="D1096" i="1"/>
  <c r="C1096" i="1"/>
  <c r="B1096" i="1"/>
  <c r="A1096" i="1"/>
  <c r="J1095" i="1"/>
  <c r="K1095" i="1" s="1"/>
  <c r="I1095" i="1"/>
  <c r="E1095" i="1"/>
  <c r="D1095" i="1"/>
  <c r="C1095" i="1"/>
  <c r="B1095" i="1"/>
  <c r="A1095" i="1"/>
  <c r="J1094" i="1"/>
  <c r="K1094" i="1" s="1"/>
  <c r="I1094" i="1"/>
  <c r="E1094" i="1"/>
  <c r="D1094" i="1"/>
  <c r="C1094" i="1"/>
  <c r="B1094" i="1"/>
  <c r="A1094" i="1"/>
  <c r="J1093" i="1"/>
  <c r="K1093" i="1" s="1"/>
  <c r="I1093" i="1"/>
  <c r="E1093" i="1"/>
  <c r="D1093" i="1"/>
  <c r="C1093" i="1"/>
  <c r="B1093" i="1"/>
  <c r="A1093" i="1"/>
  <c r="J1092" i="1"/>
  <c r="K1092" i="1" s="1"/>
  <c r="I1092" i="1"/>
  <c r="E1092" i="1"/>
  <c r="D1092" i="1"/>
  <c r="C1092" i="1"/>
  <c r="B1092" i="1"/>
  <c r="A1092" i="1"/>
  <c r="J1091" i="1"/>
  <c r="K1091" i="1" s="1"/>
  <c r="I1091" i="1"/>
  <c r="E1091" i="1"/>
  <c r="D1091" i="1"/>
  <c r="C1091" i="1"/>
  <c r="B1091" i="1"/>
  <c r="A1091" i="1"/>
  <c r="J1090" i="1"/>
  <c r="K1090" i="1" s="1"/>
  <c r="I1090" i="1"/>
  <c r="E1090" i="1"/>
  <c r="D1090" i="1"/>
  <c r="C1090" i="1"/>
  <c r="B1090" i="1"/>
  <c r="A1090" i="1"/>
  <c r="J1089" i="1"/>
  <c r="K1089" i="1" s="1"/>
  <c r="I1089" i="1"/>
  <c r="E1089" i="1"/>
  <c r="D1089" i="1"/>
  <c r="C1089" i="1"/>
  <c r="B1089" i="1"/>
  <c r="A1089" i="1"/>
  <c r="J1088" i="1"/>
  <c r="K1088" i="1" s="1"/>
  <c r="I1088" i="1"/>
  <c r="E1088" i="1"/>
  <c r="D1088" i="1"/>
  <c r="C1088" i="1"/>
  <c r="B1088" i="1"/>
  <c r="A1088" i="1"/>
  <c r="J1087" i="1"/>
  <c r="K1087" i="1" s="1"/>
  <c r="I1087" i="1"/>
  <c r="E1087" i="1"/>
  <c r="D1087" i="1"/>
  <c r="C1087" i="1"/>
  <c r="B1087" i="1"/>
  <c r="A1087" i="1"/>
  <c r="J1086" i="1"/>
  <c r="K1086" i="1" s="1"/>
  <c r="I1086" i="1"/>
  <c r="E1086" i="1"/>
  <c r="D1086" i="1"/>
  <c r="C1086" i="1"/>
  <c r="B1086" i="1"/>
  <c r="A1086" i="1"/>
  <c r="J1085" i="1"/>
  <c r="K1085" i="1" s="1"/>
  <c r="I1085" i="1"/>
  <c r="E1085" i="1"/>
  <c r="D1085" i="1"/>
  <c r="C1085" i="1"/>
  <c r="B1085" i="1"/>
  <c r="A1085" i="1"/>
  <c r="J1084" i="1"/>
  <c r="K1084" i="1" s="1"/>
  <c r="I1084" i="1"/>
  <c r="E1084" i="1"/>
  <c r="D1084" i="1"/>
  <c r="C1084" i="1"/>
  <c r="B1084" i="1"/>
  <c r="A1084" i="1"/>
  <c r="J1083" i="1"/>
  <c r="K1083" i="1" s="1"/>
  <c r="I1083" i="1"/>
  <c r="E1083" i="1"/>
  <c r="D1083" i="1"/>
  <c r="C1083" i="1"/>
  <c r="B1083" i="1"/>
  <c r="A1083" i="1"/>
  <c r="J1082" i="1"/>
  <c r="K1082" i="1" s="1"/>
  <c r="I1082" i="1"/>
  <c r="E1082" i="1"/>
  <c r="D1082" i="1"/>
  <c r="C1082" i="1"/>
  <c r="B1082" i="1"/>
  <c r="A1082" i="1"/>
  <c r="J1081" i="1"/>
  <c r="K1081" i="1" s="1"/>
  <c r="I1081" i="1"/>
  <c r="E1081" i="1"/>
  <c r="D1081" i="1"/>
  <c r="C1081" i="1"/>
  <c r="B1081" i="1"/>
  <c r="A1081" i="1"/>
  <c r="J1080" i="1"/>
  <c r="K1080" i="1" s="1"/>
  <c r="I1080" i="1"/>
  <c r="E1080" i="1"/>
  <c r="D1080" i="1"/>
  <c r="C1080" i="1"/>
  <c r="B1080" i="1"/>
  <c r="A1080" i="1"/>
  <c r="J1079" i="1"/>
  <c r="K1079" i="1" s="1"/>
  <c r="I1079" i="1"/>
  <c r="E1079" i="1"/>
  <c r="D1079" i="1"/>
  <c r="C1079" i="1"/>
  <c r="B1079" i="1"/>
  <c r="A1079" i="1"/>
  <c r="J1078" i="1"/>
  <c r="K1078" i="1" s="1"/>
  <c r="I1078" i="1"/>
  <c r="E1078" i="1"/>
  <c r="D1078" i="1"/>
  <c r="C1078" i="1"/>
  <c r="B1078" i="1"/>
  <c r="A1078" i="1"/>
  <c r="J1077" i="1"/>
  <c r="K1077" i="1" s="1"/>
  <c r="I1077" i="1"/>
  <c r="E1077" i="1"/>
  <c r="D1077" i="1"/>
  <c r="C1077" i="1"/>
  <c r="B1077" i="1"/>
  <c r="A1077" i="1"/>
  <c r="J1076" i="1"/>
  <c r="K1076" i="1" s="1"/>
  <c r="I1076" i="1"/>
  <c r="E1076" i="1"/>
  <c r="D1076" i="1"/>
  <c r="C1076" i="1"/>
  <c r="B1076" i="1"/>
  <c r="A1076" i="1"/>
  <c r="J1075" i="1"/>
  <c r="K1075" i="1" s="1"/>
  <c r="I1075" i="1"/>
  <c r="E1075" i="1"/>
  <c r="D1075" i="1"/>
  <c r="C1075" i="1"/>
  <c r="B1075" i="1"/>
  <c r="A1075" i="1"/>
  <c r="J1074" i="1"/>
  <c r="K1074" i="1" s="1"/>
  <c r="I1074" i="1"/>
  <c r="E1074" i="1"/>
  <c r="D1074" i="1"/>
  <c r="C1074" i="1"/>
  <c r="B1074" i="1"/>
  <c r="A1074" i="1"/>
  <c r="J1073" i="1"/>
  <c r="K1073" i="1" s="1"/>
  <c r="I1073" i="1"/>
  <c r="E1073" i="1"/>
  <c r="D1073" i="1"/>
  <c r="C1073" i="1"/>
  <c r="B1073" i="1"/>
  <c r="A1073" i="1"/>
  <c r="J1072" i="1"/>
  <c r="K1072" i="1" s="1"/>
  <c r="I1072" i="1"/>
  <c r="E1072" i="1"/>
  <c r="D1072" i="1"/>
  <c r="C1072" i="1"/>
  <c r="B1072" i="1"/>
  <c r="A1072" i="1"/>
  <c r="J1071" i="1"/>
  <c r="K1071" i="1" s="1"/>
  <c r="I1071" i="1"/>
  <c r="E1071" i="1"/>
  <c r="D1071" i="1"/>
  <c r="C1071" i="1"/>
  <c r="B1071" i="1"/>
  <c r="A1071" i="1"/>
  <c r="J1070" i="1"/>
  <c r="K1070" i="1" s="1"/>
  <c r="I1070" i="1"/>
  <c r="E1070" i="1"/>
  <c r="D1070" i="1"/>
  <c r="C1070" i="1"/>
  <c r="B1070" i="1"/>
  <c r="A1070" i="1"/>
  <c r="J1069" i="1"/>
  <c r="K1069" i="1" s="1"/>
  <c r="I1069" i="1"/>
  <c r="E1069" i="1"/>
  <c r="D1069" i="1"/>
  <c r="C1069" i="1"/>
  <c r="B1069" i="1"/>
  <c r="A1069" i="1"/>
  <c r="K1068" i="1"/>
  <c r="J1068" i="1"/>
  <c r="I1068" i="1"/>
  <c r="E1068" i="1"/>
  <c r="D1068" i="1"/>
  <c r="C1068" i="1"/>
  <c r="B1068" i="1"/>
  <c r="A1068" i="1"/>
  <c r="J1067" i="1"/>
  <c r="K1067" i="1" s="1"/>
  <c r="I1067" i="1"/>
  <c r="E1067" i="1"/>
  <c r="D1067" i="1"/>
  <c r="C1067" i="1"/>
  <c r="B1067" i="1"/>
  <c r="A1067" i="1"/>
  <c r="J1066" i="1"/>
  <c r="K1066" i="1" s="1"/>
  <c r="L1196" i="1" s="1"/>
  <c r="I1066" i="1"/>
  <c r="E1066" i="1"/>
  <c r="D1066" i="1"/>
  <c r="C1066" i="1"/>
  <c r="B1066" i="1"/>
  <c r="A1066" i="1"/>
  <c r="J1065" i="1"/>
  <c r="K1065" i="1" s="1"/>
  <c r="I1065" i="1"/>
  <c r="E1065" i="1"/>
  <c r="D1065" i="1"/>
  <c r="C1065" i="1"/>
  <c r="B1065" i="1"/>
  <c r="A1065" i="1"/>
  <c r="J1064" i="1"/>
  <c r="K1064" i="1" s="1"/>
  <c r="I1064" i="1"/>
  <c r="E1064" i="1"/>
  <c r="D1064" i="1"/>
  <c r="C1064" i="1"/>
  <c r="B1064" i="1"/>
  <c r="A1064" i="1"/>
  <c r="J1063" i="1"/>
  <c r="K1063" i="1" s="1"/>
  <c r="L1064" i="1" s="1"/>
  <c r="I1063" i="1"/>
  <c r="E1063" i="1"/>
  <c r="D1063" i="1"/>
  <c r="C1063" i="1"/>
  <c r="B1063" i="1"/>
  <c r="A1063" i="1"/>
  <c r="J1062" i="1"/>
  <c r="K1062" i="1" s="1"/>
  <c r="I1062" i="1"/>
  <c r="E1062" i="1"/>
  <c r="D1062" i="1"/>
  <c r="C1062" i="1"/>
  <c r="B1062" i="1"/>
  <c r="A1062" i="1"/>
  <c r="J1061" i="1"/>
  <c r="K1061" i="1" s="1"/>
  <c r="L1062" i="1" s="1"/>
  <c r="I1061" i="1"/>
  <c r="E1061" i="1"/>
  <c r="D1061" i="1"/>
  <c r="C1061" i="1"/>
  <c r="B1061" i="1"/>
  <c r="A1061" i="1"/>
  <c r="J1060" i="1"/>
  <c r="K1060" i="1" s="1"/>
  <c r="I1060" i="1"/>
  <c r="E1060" i="1"/>
  <c r="D1060" i="1"/>
  <c r="C1060" i="1"/>
  <c r="B1060" i="1"/>
  <c r="A1060" i="1"/>
  <c r="J1059" i="1"/>
  <c r="K1059" i="1" s="1"/>
  <c r="L1060" i="1" s="1"/>
  <c r="I1059" i="1"/>
  <c r="E1059" i="1"/>
  <c r="D1059" i="1"/>
  <c r="C1059" i="1"/>
  <c r="B1059" i="1"/>
  <c r="A1059" i="1"/>
  <c r="J1058" i="1"/>
  <c r="K1058" i="1" s="1"/>
  <c r="I1058" i="1"/>
  <c r="E1058" i="1"/>
  <c r="D1058" i="1"/>
  <c r="C1058" i="1"/>
  <c r="B1058" i="1"/>
  <c r="A1058" i="1"/>
  <c r="J1057" i="1"/>
  <c r="K1057" i="1" s="1"/>
  <c r="I1057" i="1"/>
  <c r="E1057" i="1"/>
  <c r="D1057" i="1"/>
  <c r="C1057" i="1"/>
  <c r="B1057" i="1"/>
  <c r="A1057" i="1"/>
  <c r="J1056" i="1"/>
  <c r="K1056" i="1" s="1"/>
  <c r="I1056" i="1"/>
  <c r="E1056" i="1"/>
  <c r="D1056" i="1"/>
  <c r="C1056" i="1"/>
  <c r="B1056" i="1"/>
  <c r="A1056" i="1"/>
  <c r="J1055" i="1"/>
  <c r="K1055" i="1" s="1"/>
  <c r="I1055" i="1"/>
  <c r="E1055" i="1"/>
  <c r="D1055" i="1"/>
  <c r="C1055" i="1"/>
  <c r="B1055" i="1"/>
  <c r="A1055" i="1"/>
  <c r="J1054" i="1"/>
  <c r="K1054" i="1" s="1"/>
  <c r="I1054" i="1"/>
  <c r="E1054" i="1"/>
  <c r="D1054" i="1"/>
  <c r="C1054" i="1"/>
  <c r="B1054" i="1"/>
  <c r="A1054" i="1"/>
  <c r="J1053" i="1"/>
  <c r="K1053" i="1" s="1"/>
  <c r="I1053" i="1"/>
  <c r="E1053" i="1"/>
  <c r="D1053" i="1"/>
  <c r="C1053" i="1"/>
  <c r="B1053" i="1"/>
  <c r="A1053" i="1"/>
  <c r="J1052" i="1"/>
  <c r="K1052" i="1" s="1"/>
  <c r="I1052" i="1"/>
  <c r="E1052" i="1"/>
  <c r="D1052" i="1"/>
  <c r="C1052" i="1"/>
  <c r="B1052" i="1"/>
  <c r="A1052" i="1"/>
  <c r="J1051" i="1"/>
  <c r="K1051" i="1" s="1"/>
  <c r="I1051" i="1"/>
  <c r="E1051" i="1"/>
  <c r="D1051" i="1"/>
  <c r="C1051" i="1"/>
  <c r="B1051" i="1"/>
  <c r="A1051" i="1"/>
  <c r="J1050" i="1"/>
  <c r="K1050" i="1" s="1"/>
  <c r="I1050" i="1"/>
  <c r="E1050" i="1"/>
  <c r="D1050" i="1"/>
  <c r="C1050" i="1"/>
  <c r="B1050" i="1"/>
  <c r="A1050" i="1"/>
  <c r="J1049" i="1"/>
  <c r="K1049" i="1" s="1"/>
  <c r="I1049" i="1"/>
  <c r="E1049" i="1"/>
  <c r="D1049" i="1"/>
  <c r="C1049" i="1"/>
  <c r="B1049" i="1"/>
  <c r="A1049" i="1"/>
  <c r="J1048" i="1"/>
  <c r="K1048" i="1" s="1"/>
  <c r="I1048" i="1"/>
  <c r="E1048" i="1"/>
  <c r="D1048" i="1"/>
  <c r="C1048" i="1"/>
  <c r="B1048" i="1"/>
  <c r="A1048" i="1"/>
  <c r="J1047" i="1"/>
  <c r="K1047" i="1" s="1"/>
  <c r="I1047" i="1"/>
  <c r="E1047" i="1"/>
  <c r="D1047" i="1"/>
  <c r="C1047" i="1"/>
  <c r="B1047" i="1"/>
  <c r="A1047" i="1"/>
  <c r="J1046" i="1"/>
  <c r="K1046" i="1" s="1"/>
  <c r="I1046" i="1"/>
  <c r="E1046" i="1"/>
  <c r="D1046" i="1"/>
  <c r="C1046" i="1"/>
  <c r="B1046" i="1"/>
  <c r="A1046" i="1"/>
  <c r="J1045" i="1"/>
  <c r="K1045" i="1" s="1"/>
  <c r="I1045" i="1"/>
  <c r="E1045" i="1"/>
  <c r="D1045" i="1"/>
  <c r="C1045" i="1"/>
  <c r="B1045" i="1"/>
  <c r="A1045" i="1"/>
  <c r="J1044" i="1"/>
  <c r="K1044" i="1" s="1"/>
  <c r="I1044" i="1"/>
  <c r="E1044" i="1"/>
  <c r="D1044" i="1"/>
  <c r="C1044" i="1"/>
  <c r="B1044" i="1"/>
  <c r="A1044" i="1"/>
  <c r="J1043" i="1"/>
  <c r="K1043" i="1" s="1"/>
  <c r="I1043" i="1"/>
  <c r="E1043" i="1"/>
  <c r="D1043" i="1"/>
  <c r="C1043" i="1"/>
  <c r="B1043" i="1"/>
  <c r="A1043" i="1"/>
  <c r="J1042" i="1"/>
  <c r="K1042" i="1" s="1"/>
  <c r="L1058" i="1" s="1"/>
  <c r="I1042" i="1"/>
  <c r="E1042" i="1"/>
  <c r="D1042" i="1"/>
  <c r="C1042" i="1"/>
  <c r="B1042" i="1"/>
  <c r="A1042" i="1"/>
  <c r="J1041" i="1"/>
  <c r="K1041" i="1" s="1"/>
  <c r="L1041" i="1" s="1"/>
  <c r="I1041" i="1"/>
  <c r="E1041" i="1"/>
  <c r="D1041" i="1"/>
  <c r="C1041" i="1"/>
  <c r="B1041" i="1"/>
  <c r="A1041" i="1"/>
  <c r="J1040" i="1"/>
  <c r="K1040" i="1" s="1"/>
  <c r="I1040" i="1"/>
  <c r="E1040" i="1"/>
  <c r="D1040" i="1"/>
  <c r="C1040" i="1"/>
  <c r="B1040" i="1"/>
  <c r="A1040" i="1"/>
  <c r="J1039" i="1"/>
  <c r="K1039" i="1" s="1"/>
  <c r="I1039" i="1"/>
  <c r="E1039" i="1"/>
  <c r="D1039" i="1"/>
  <c r="C1039" i="1"/>
  <c r="B1039" i="1"/>
  <c r="A1039" i="1"/>
  <c r="J1038" i="1"/>
  <c r="K1038" i="1" s="1"/>
  <c r="L1040" i="1" s="1"/>
  <c r="I1038" i="1"/>
  <c r="E1038" i="1"/>
  <c r="D1038" i="1"/>
  <c r="C1038" i="1"/>
  <c r="B1038" i="1"/>
  <c r="A1038" i="1"/>
  <c r="J1037" i="1"/>
  <c r="K1037" i="1" s="1"/>
  <c r="I1037" i="1"/>
  <c r="E1037" i="1"/>
  <c r="D1037" i="1"/>
  <c r="C1037" i="1"/>
  <c r="B1037" i="1"/>
  <c r="A1037" i="1"/>
  <c r="J1036" i="1"/>
  <c r="K1036" i="1" s="1"/>
  <c r="I1036" i="1"/>
  <c r="E1036" i="1"/>
  <c r="D1036" i="1"/>
  <c r="C1036" i="1"/>
  <c r="B1036" i="1"/>
  <c r="A1036" i="1"/>
  <c r="J1035" i="1"/>
  <c r="K1035" i="1" s="1"/>
  <c r="L1036" i="1" s="1"/>
  <c r="I1035" i="1"/>
  <c r="E1035" i="1"/>
  <c r="D1035" i="1"/>
  <c r="C1035" i="1"/>
  <c r="B1035" i="1"/>
  <c r="A1035" i="1"/>
  <c r="J1034" i="1"/>
  <c r="K1034" i="1" s="1"/>
  <c r="I1034" i="1"/>
  <c r="E1034" i="1"/>
  <c r="D1034" i="1"/>
  <c r="C1034" i="1"/>
  <c r="B1034" i="1"/>
  <c r="A1034" i="1"/>
  <c r="J1033" i="1"/>
  <c r="K1033" i="1" s="1"/>
  <c r="I1033" i="1"/>
  <c r="E1033" i="1"/>
  <c r="D1033" i="1"/>
  <c r="C1033" i="1"/>
  <c r="B1033" i="1"/>
  <c r="A1033" i="1"/>
  <c r="J1032" i="1"/>
  <c r="K1032" i="1" s="1"/>
  <c r="I1032" i="1"/>
  <c r="E1032" i="1"/>
  <c r="D1032" i="1"/>
  <c r="C1032" i="1"/>
  <c r="B1032" i="1"/>
  <c r="A1032" i="1"/>
  <c r="J1031" i="1"/>
  <c r="K1031" i="1" s="1"/>
  <c r="L1034" i="1" s="1"/>
  <c r="I1031" i="1"/>
  <c r="E1031" i="1"/>
  <c r="D1031" i="1"/>
  <c r="C1031" i="1"/>
  <c r="B1031" i="1"/>
  <c r="A1031" i="1"/>
  <c r="J1030" i="1"/>
  <c r="K1030" i="1" s="1"/>
  <c r="I1030" i="1"/>
  <c r="E1030" i="1"/>
  <c r="D1030" i="1"/>
  <c r="C1030" i="1"/>
  <c r="B1030" i="1"/>
  <c r="A1030" i="1"/>
  <c r="J1029" i="1"/>
  <c r="K1029" i="1" s="1"/>
  <c r="I1029" i="1"/>
  <c r="E1029" i="1"/>
  <c r="D1029" i="1"/>
  <c r="C1029" i="1"/>
  <c r="B1029" i="1"/>
  <c r="A1029" i="1"/>
  <c r="J1028" i="1"/>
  <c r="K1028" i="1" s="1"/>
  <c r="I1028" i="1"/>
  <c r="E1028" i="1"/>
  <c r="D1028" i="1"/>
  <c r="C1028" i="1"/>
  <c r="B1028" i="1"/>
  <c r="A1028" i="1"/>
  <c r="J1027" i="1"/>
  <c r="I1027" i="1"/>
  <c r="K1027" i="1" s="1"/>
  <c r="L1030" i="1" s="1"/>
  <c r="E1027" i="1"/>
  <c r="D1027" i="1"/>
  <c r="C1027" i="1"/>
  <c r="B1027" i="1"/>
  <c r="A1027" i="1"/>
  <c r="J1026" i="1"/>
  <c r="K1026" i="1" s="1"/>
  <c r="I1026" i="1"/>
  <c r="E1026" i="1"/>
  <c r="D1026" i="1"/>
  <c r="C1026" i="1"/>
  <c r="B1026" i="1"/>
  <c r="A1026" i="1"/>
  <c r="J1025" i="1"/>
  <c r="K1025" i="1" s="1"/>
  <c r="L1025" i="1" s="1"/>
  <c r="I1025" i="1"/>
  <c r="E1025" i="1"/>
  <c r="D1025" i="1"/>
  <c r="C1025" i="1"/>
  <c r="B1025" i="1"/>
  <c r="A1025" i="1"/>
  <c r="J1024" i="1"/>
  <c r="K1024" i="1" s="1"/>
  <c r="L1024" i="1" s="1"/>
  <c r="I1024" i="1"/>
  <c r="E1024" i="1"/>
  <c r="D1024" i="1"/>
  <c r="C1024" i="1"/>
  <c r="B1024" i="1"/>
  <c r="A1024" i="1"/>
  <c r="J1023" i="1"/>
  <c r="K1023" i="1" s="1"/>
  <c r="I1023" i="1"/>
  <c r="E1023" i="1"/>
  <c r="D1023" i="1"/>
  <c r="C1023" i="1"/>
  <c r="B1023" i="1"/>
  <c r="A1023" i="1"/>
  <c r="J1022" i="1"/>
  <c r="K1022" i="1" s="1"/>
  <c r="I1022" i="1"/>
  <c r="E1022" i="1"/>
  <c r="D1022" i="1"/>
  <c r="C1022" i="1"/>
  <c r="B1022" i="1"/>
  <c r="A1022" i="1"/>
  <c r="J1021" i="1"/>
  <c r="K1021" i="1" s="1"/>
  <c r="I1021" i="1"/>
  <c r="E1021" i="1"/>
  <c r="D1021" i="1"/>
  <c r="C1021" i="1"/>
  <c r="B1021" i="1"/>
  <c r="A1021" i="1"/>
  <c r="J1020" i="1"/>
  <c r="K1020" i="1" s="1"/>
  <c r="I1020" i="1"/>
  <c r="E1020" i="1"/>
  <c r="D1020" i="1"/>
  <c r="C1020" i="1"/>
  <c r="B1020" i="1"/>
  <c r="A1020" i="1"/>
  <c r="J1019" i="1"/>
  <c r="K1019" i="1" s="1"/>
  <c r="I1019" i="1"/>
  <c r="E1019" i="1"/>
  <c r="D1019" i="1"/>
  <c r="C1019" i="1"/>
  <c r="B1019" i="1"/>
  <c r="A1019" i="1"/>
  <c r="J1018" i="1"/>
  <c r="K1018" i="1" s="1"/>
  <c r="I1018" i="1"/>
  <c r="E1018" i="1"/>
  <c r="D1018" i="1"/>
  <c r="C1018" i="1"/>
  <c r="B1018" i="1"/>
  <c r="A1018" i="1"/>
  <c r="J1017" i="1"/>
  <c r="K1017" i="1" s="1"/>
  <c r="I1017" i="1"/>
  <c r="E1017" i="1"/>
  <c r="D1017" i="1"/>
  <c r="C1017" i="1"/>
  <c r="B1017" i="1"/>
  <c r="A1017" i="1"/>
  <c r="J1016" i="1"/>
  <c r="K1016" i="1" s="1"/>
  <c r="I1016" i="1"/>
  <c r="E1016" i="1"/>
  <c r="D1016" i="1"/>
  <c r="C1016" i="1"/>
  <c r="B1016" i="1"/>
  <c r="A1016" i="1"/>
  <c r="J1015" i="1"/>
  <c r="K1015" i="1" s="1"/>
  <c r="I1015" i="1"/>
  <c r="E1015" i="1"/>
  <c r="D1015" i="1"/>
  <c r="C1015" i="1"/>
  <c r="B1015" i="1"/>
  <c r="A1015" i="1"/>
  <c r="J1014" i="1"/>
  <c r="K1014" i="1" s="1"/>
  <c r="I1014" i="1"/>
  <c r="E1014" i="1"/>
  <c r="D1014" i="1"/>
  <c r="C1014" i="1"/>
  <c r="B1014" i="1"/>
  <c r="A1014" i="1"/>
  <c r="J1013" i="1"/>
  <c r="K1013" i="1" s="1"/>
  <c r="I1013" i="1"/>
  <c r="E1013" i="1"/>
  <c r="D1013" i="1"/>
  <c r="C1013" i="1"/>
  <c r="B1013" i="1"/>
  <c r="A1013" i="1"/>
  <c r="J1012" i="1"/>
  <c r="K1012" i="1" s="1"/>
  <c r="I1012" i="1"/>
  <c r="E1012" i="1"/>
  <c r="D1012" i="1"/>
  <c r="C1012" i="1"/>
  <c r="B1012" i="1"/>
  <c r="A1012" i="1"/>
  <c r="J1011" i="1"/>
  <c r="K1011" i="1" s="1"/>
  <c r="I1011" i="1"/>
  <c r="E1011" i="1"/>
  <c r="D1011" i="1"/>
  <c r="C1011" i="1"/>
  <c r="B1011" i="1"/>
  <c r="A1011" i="1"/>
  <c r="J1010" i="1"/>
  <c r="K1010" i="1" s="1"/>
  <c r="I1010" i="1"/>
  <c r="E1010" i="1"/>
  <c r="D1010" i="1"/>
  <c r="C1010" i="1"/>
  <c r="B1010" i="1"/>
  <c r="A1010" i="1"/>
  <c r="J1009" i="1"/>
  <c r="K1009" i="1" s="1"/>
  <c r="I1009" i="1"/>
  <c r="E1009" i="1"/>
  <c r="D1009" i="1"/>
  <c r="C1009" i="1"/>
  <c r="B1009" i="1"/>
  <c r="A1009" i="1"/>
  <c r="J1008" i="1"/>
  <c r="K1008" i="1" s="1"/>
  <c r="I1008" i="1"/>
  <c r="E1008" i="1"/>
  <c r="D1008" i="1"/>
  <c r="C1008" i="1"/>
  <c r="B1008" i="1"/>
  <c r="A1008" i="1"/>
  <c r="J1007" i="1"/>
  <c r="K1007" i="1" s="1"/>
  <c r="I1007" i="1"/>
  <c r="E1007" i="1"/>
  <c r="D1007" i="1"/>
  <c r="C1007" i="1"/>
  <c r="B1007" i="1"/>
  <c r="A1007" i="1"/>
  <c r="J1006" i="1"/>
  <c r="K1006" i="1" s="1"/>
  <c r="I1006" i="1"/>
  <c r="E1006" i="1"/>
  <c r="D1006" i="1"/>
  <c r="C1006" i="1"/>
  <c r="B1006" i="1"/>
  <c r="A1006" i="1"/>
  <c r="J1005" i="1"/>
  <c r="K1005" i="1" s="1"/>
  <c r="I1005" i="1"/>
  <c r="E1005" i="1"/>
  <c r="D1005" i="1"/>
  <c r="C1005" i="1"/>
  <c r="B1005" i="1"/>
  <c r="A1005" i="1"/>
  <c r="J1004" i="1"/>
  <c r="K1004" i="1" s="1"/>
  <c r="I1004" i="1"/>
  <c r="E1004" i="1"/>
  <c r="D1004" i="1"/>
  <c r="C1004" i="1"/>
  <c r="B1004" i="1"/>
  <c r="A1004" i="1"/>
  <c r="J1003" i="1"/>
  <c r="K1003" i="1" s="1"/>
  <c r="I1003" i="1"/>
  <c r="E1003" i="1"/>
  <c r="D1003" i="1"/>
  <c r="C1003" i="1"/>
  <c r="B1003" i="1"/>
  <c r="A1003" i="1"/>
  <c r="J1002" i="1"/>
  <c r="K1002" i="1" s="1"/>
  <c r="I1002" i="1"/>
  <c r="E1002" i="1"/>
  <c r="D1002" i="1"/>
  <c r="C1002" i="1"/>
  <c r="B1002" i="1"/>
  <c r="A1002" i="1"/>
  <c r="J1001" i="1"/>
  <c r="K1001" i="1" s="1"/>
  <c r="I1001" i="1"/>
  <c r="E1001" i="1"/>
  <c r="D1001" i="1"/>
  <c r="C1001" i="1"/>
  <c r="B1001" i="1"/>
  <c r="A1001" i="1"/>
  <c r="J1000" i="1"/>
  <c r="K1000" i="1" s="1"/>
  <c r="I1000" i="1"/>
  <c r="E1000" i="1"/>
  <c r="D1000" i="1"/>
  <c r="C1000" i="1"/>
  <c r="B1000" i="1"/>
  <c r="A1000" i="1"/>
  <c r="J999" i="1"/>
  <c r="K999" i="1" s="1"/>
  <c r="I999" i="1"/>
  <c r="E999" i="1"/>
  <c r="D999" i="1"/>
  <c r="C999" i="1"/>
  <c r="B999" i="1"/>
  <c r="A999" i="1"/>
  <c r="J998" i="1"/>
  <c r="K998" i="1" s="1"/>
  <c r="I998" i="1"/>
  <c r="E998" i="1"/>
  <c r="D998" i="1"/>
  <c r="C998" i="1"/>
  <c r="B998" i="1"/>
  <c r="A998" i="1"/>
  <c r="J997" i="1"/>
  <c r="K997" i="1" s="1"/>
  <c r="I997" i="1"/>
  <c r="E997" i="1"/>
  <c r="D997" i="1"/>
  <c r="C997" i="1"/>
  <c r="B997" i="1"/>
  <c r="A997" i="1"/>
  <c r="J996" i="1"/>
  <c r="K996" i="1" s="1"/>
  <c r="I996" i="1"/>
  <c r="E996" i="1"/>
  <c r="D996" i="1"/>
  <c r="C996" i="1"/>
  <c r="B996" i="1"/>
  <c r="A996" i="1"/>
  <c r="J995" i="1"/>
  <c r="K995" i="1" s="1"/>
  <c r="I995" i="1"/>
  <c r="E995" i="1"/>
  <c r="D995" i="1"/>
  <c r="C995" i="1"/>
  <c r="B995" i="1"/>
  <c r="A995" i="1"/>
  <c r="J994" i="1"/>
  <c r="K994" i="1" s="1"/>
  <c r="I994" i="1"/>
  <c r="E994" i="1"/>
  <c r="D994" i="1"/>
  <c r="C994" i="1"/>
  <c r="B994" i="1"/>
  <c r="A994" i="1"/>
  <c r="J993" i="1"/>
  <c r="K993" i="1" s="1"/>
  <c r="I993" i="1"/>
  <c r="E993" i="1"/>
  <c r="D993" i="1"/>
  <c r="C993" i="1"/>
  <c r="B993" i="1"/>
  <c r="A993" i="1"/>
  <c r="J992" i="1"/>
  <c r="K992" i="1" s="1"/>
  <c r="I992" i="1"/>
  <c r="E992" i="1"/>
  <c r="D992" i="1"/>
  <c r="C992" i="1"/>
  <c r="B992" i="1"/>
  <c r="A992" i="1"/>
  <c r="J991" i="1"/>
  <c r="K991" i="1" s="1"/>
  <c r="I991" i="1"/>
  <c r="E991" i="1"/>
  <c r="D991" i="1"/>
  <c r="C991" i="1"/>
  <c r="B991" i="1"/>
  <c r="A991" i="1"/>
  <c r="J990" i="1"/>
  <c r="K990" i="1" s="1"/>
  <c r="I990" i="1"/>
  <c r="E990" i="1"/>
  <c r="D990" i="1"/>
  <c r="C990" i="1"/>
  <c r="B990" i="1"/>
  <c r="A990" i="1"/>
  <c r="J989" i="1"/>
  <c r="K989" i="1" s="1"/>
  <c r="I989" i="1"/>
  <c r="E989" i="1"/>
  <c r="D989" i="1"/>
  <c r="C989" i="1"/>
  <c r="B989" i="1"/>
  <c r="A989" i="1"/>
  <c r="J988" i="1"/>
  <c r="K988" i="1" s="1"/>
  <c r="I988" i="1"/>
  <c r="E988" i="1"/>
  <c r="D988" i="1"/>
  <c r="C988" i="1"/>
  <c r="B988" i="1"/>
  <c r="A988" i="1"/>
  <c r="J987" i="1"/>
  <c r="K987" i="1" s="1"/>
  <c r="I987" i="1"/>
  <c r="E987" i="1"/>
  <c r="D987" i="1"/>
  <c r="C987" i="1"/>
  <c r="B987" i="1"/>
  <c r="A987" i="1"/>
  <c r="J986" i="1"/>
  <c r="K986" i="1" s="1"/>
  <c r="I986" i="1"/>
  <c r="E986" i="1"/>
  <c r="D986" i="1"/>
  <c r="C986" i="1"/>
  <c r="B986" i="1"/>
  <c r="A986" i="1"/>
  <c r="J985" i="1"/>
  <c r="K985" i="1" s="1"/>
  <c r="I985" i="1"/>
  <c r="E985" i="1"/>
  <c r="D985" i="1"/>
  <c r="C985" i="1"/>
  <c r="B985" i="1"/>
  <c r="A985" i="1"/>
  <c r="J984" i="1"/>
  <c r="K984" i="1" s="1"/>
  <c r="I984" i="1"/>
  <c r="E984" i="1"/>
  <c r="D984" i="1"/>
  <c r="C984" i="1"/>
  <c r="B984" i="1"/>
  <c r="A984" i="1"/>
  <c r="J983" i="1"/>
  <c r="K983" i="1" s="1"/>
  <c r="I983" i="1"/>
  <c r="E983" i="1"/>
  <c r="D983" i="1"/>
  <c r="C983" i="1"/>
  <c r="B983" i="1"/>
  <c r="A983" i="1"/>
  <c r="J982" i="1"/>
  <c r="K982" i="1" s="1"/>
  <c r="I982" i="1"/>
  <c r="E982" i="1"/>
  <c r="D982" i="1"/>
  <c r="C982" i="1"/>
  <c r="B982" i="1"/>
  <c r="A982" i="1"/>
  <c r="J981" i="1"/>
  <c r="K981" i="1" s="1"/>
  <c r="I981" i="1"/>
  <c r="E981" i="1"/>
  <c r="D981" i="1"/>
  <c r="C981" i="1"/>
  <c r="B981" i="1"/>
  <c r="A981" i="1"/>
  <c r="J980" i="1"/>
  <c r="K980" i="1" s="1"/>
  <c r="I980" i="1"/>
  <c r="E980" i="1"/>
  <c r="D980" i="1"/>
  <c r="C980" i="1"/>
  <c r="B980" i="1"/>
  <c r="A980" i="1"/>
  <c r="J979" i="1"/>
  <c r="K979" i="1" s="1"/>
  <c r="I979" i="1"/>
  <c r="E979" i="1"/>
  <c r="D979" i="1"/>
  <c r="C979" i="1"/>
  <c r="B979" i="1"/>
  <c r="A979" i="1"/>
  <c r="J978" i="1"/>
  <c r="K978" i="1" s="1"/>
  <c r="I978" i="1"/>
  <c r="E978" i="1"/>
  <c r="D978" i="1"/>
  <c r="C978" i="1"/>
  <c r="B978" i="1"/>
  <c r="A978" i="1"/>
  <c r="J977" i="1"/>
  <c r="K977" i="1" s="1"/>
  <c r="I977" i="1"/>
  <c r="E977" i="1"/>
  <c r="D977" i="1"/>
  <c r="C977" i="1"/>
  <c r="B977" i="1"/>
  <c r="A977" i="1"/>
  <c r="J976" i="1"/>
  <c r="K976" i="1" s="1"/>
  <c r="I976" i="1"/>
  <c r="E976" i="1"/>
  <c r="D976" i="1"/>
  <c r="C976" i="1"/>
  <c r="B976" i="1"/>
  <c r="A976" i="1"/>
  <c r="J975" i="1"/>
  <c r="K975" i="1" s="1"/>
  <c r="I975" i="1"/>
  <c r="E975" i="1"/>
  <c r="D975" i="1"/>
  <c r="C975" i="1"/>
  <c r="B975" i="1"/>
  <c r="A975" i="1"/>
  <c r="J974" i="1"/>
  <c r="K974" i="1" s="1"/>
  <c r="I974" i="1"/>
  <c r="E974" i="1"/>
  <c r="D974" i="1"/>
  <c r="C974" i="1"/>
  <c r="B974" i="1"/>
  <c r="A974" i="1"/>
  <c r="J973" i="1"/>
  <c r="K973" i="1" s="1"/>
  <c r="I973" i="1"/>
  <c r="E973" i="1"/>
  <c r="D973" i="1"/>
  <c r="C973" i="1"/>
  <c r="B973" i="1"/>
  <c r="A973" i="1"/>
  <c r="J972" i="1"/>
  <c r="K972" i="1" s="1"/>
  <c r="I972" i="1"/>
  <c r="E972" i="1"/>
  <c r="D972" i="1"/>
  <c r="C972" i="1"/>
  <c r="B972" i="1"/>
  <c r="A972" i="1"/>
  <c r="J971" i="1"/>
  <c r="K971" i="1" s="1"/>
  <c r="I971" i="1"/>
  <c r="E971" i="1"/>
  <c r="D971" i="1"/>
  <c r="C971" i="1"/>
  <c r="B971" i="1"/>
  <c r="A971" i="1"/>
  <c r="J970" i="1"/>
  <c r="K970" i="1" s="1"/>
  <c r="I970" i="1"/>
  <c r="E970" i="1"/>
  <c r="D970" i="1"/>
  <c r="C970" i="1"/>
  <c r="B970" i="1"/>
  <c r="A970" i="1"/>
  <c r="J969" i="1"/>
  <c r="K969" i="1" s="1"/>
  <c r="I969" i="1"/>
  <c r="E969" i="1"/>
  <c r="D969" i="1"/>
  <c r="C969" i="1"/>
  <c r="B969" i="1"/>
  <c r="A969" i="1"/>
  <c r="J968" i="1"/>
  <c r="K968" i="1" s="1"/>
  <c r="I968" i="1"/>
  <c r="E968" i="1"/>
  <c r="D968" i="1"/>
  <c r="C968" i="1"/>
  <c r="B968" i="1"/>
  <c r="A968" i="1"/>
  <c r="J967" i="1"/>
  <c r="K967" i="1" s="1"/>
  <c r="I967" i="1"/>
  <c r="E967" i="1"/>
  <c r="D967" i="1"/>
  <c r="C967" i="1"/>
  <c r="B967" i="1"/>
  <c r="A967" i="1"/>
  <c r="J966" i="1"/>
  <c r="K966" i="1" s="1"/>
  <c r="I966" i="1"/>
  <c r="E966" i="1"/>
  <c r="D966" i="1"/>
  <c r="C966" i="1"/>
  <c r="B966" i="1"/>
  <c r="A966" i="1"/>
  <c r="J965" i="1"/>
  <c r="K965" i="1" s="1"/>
  <c r="I965" i="1"/>
  <c r="E965" i="1"/>
  <c r="D965" i="1"/>
  <c r="C965" i="1"/>
  <c r="B965" i="1"/>
  <c r="A965" i="1"/>
  <c r="J964" i="1"/>
  <c r="K964" i="1" s="1"/>
  <c r="I964" i="1"/>
  <c r="E964" i="1"/>
  <c r="D964" i="1"/>
  <c r="C964" i="1"/>
  <c r="B964" i="1"/>
  <c r="A964" i="1"/>
  <c r="J963" i="1"/>
  <c r="K963" i="1" s="1"/>
  <c r="I963" i="1"/>
  <c r="E963" i="1"/>
  <c r="D963" i="1"/>
  <c r="C963" i="1"/>
  <c r="B963" i="1"/>
  <c r="A963" i="1"/>
  <c r="J962" i="1"/>
  <c r="K962" i="1" s="1"/>
  <c r="I962" i="1"/>
  <c r="E962" i="1"/>
  <c r="D962" i="1"/>
  <c r="C962" i="1"/>
  <c r="B962" i="1"/>
  <c r="A962" i="1"/>
  <c r="J961" i="1"/>
  <c r="K961" i="1" s="1"/>
  <c r="I961" i="1"/>
  <c r="E961" i="1"/>
  <c r="D961" i="1"/>
  <c r="C961" i="1"/>
  <c r="B961" i="1"/>
  <c r="A961" i="1"/>
  <c r="J960" i="1"/>
  <c r="K960" i="1" s="1"/>
  <c r="I960" i="1"/>
  <c r="E960" i="1"/>
  <c r="D960" i="1"/>
  <c r="C960" i="1"/>
  <c r="B960" i="1"/>
  <c r="A960" i="1"/>
  <c r="J959" i="1"/>
  <c r="K959" i="1" s="1"/>
  <c r="I959" i="1"/>
  <c r="E959" i="1"/>
  <c r="D959" i="1"/>
  <c r="C959" i="1"/>
  <c r="B959" i="1"/>
  <c r="A959" i="1"/>
  <c r="J958" i="1"/>
  <c r="K958" i="1" s="1"/>
  <c r="I958" i="1"/>
  <c r="E958" i="1"/>
  <c r="D958" i="1"/>
  <c r="C958" i="1"/>
  <c r="B958" i="1"/>
  <c r="A958" i="1"/>
  <c r="J957" i="1"/>
  <c r="K957" i="1" s="1"/>
  <c r="I957" i="1"/>
  <c r="E957" i="1"/>
  <c r="D957" i="1"/>
  <c r="C957" i="1"/>
  <c r="B957" i="1"/>
  <c r="A957" i="1"/>
  <c r="J956" i="1"/>
  <c r="K956" i="1" s="1"/>
  <c r="I956" i="1"/>
  <c r="E956" i="1"/>
  <c r="D956" i="1"/>
  <c r="C956" i="1"/>
  <c r="B956" i="1"/>
  <c r="A956" i="1"/>
  <c r="J955" i="1"/>
  <c r="K955" i="1" s="1"/>
  <c r="I955" i="1"/>
  <c r="E955" i="1"/>
  <c r="D955" i="1"/>
  <c r="C955" i="1"/>
  <c r="B955" i="1"/>
  <c r="A955" i="1"/>
  <c r="J954" i="1"/>
  <c r="K954" i="1" s="1"/>
  <c r="I954" i="1"/>
  <c r="E954" i="1"/>
  <c r="D954" i="1"/>
  <c r="C954" i="1"/>
  <c r="B954" i="1"/>
  <c r="A954" i="1"/>
  <c r="J953" i="1"/>
  <c r="K953" i="1" s="1"/>
  <c r="I953" i="1"/>
  <c r="E953" i="1"/>
  <c r="D953" i="1"/>
  <c r="C953" i="1"/>
  <c r="B953" i="1"/>
  <c r="A953" i="1"/>
  <c r="J952" i="1"/>
  <c r="K952" i="1" s="1"/>
  <c r="I952" i="1"/>
  <c r="E952" i="1"/>
  <c r="D952" i="1"/>
  <c r="C952" i="1"/>
  <c r="B952" i="1"/>
  <c r="A952" i="1"/>
  <c r="J951" i="1"/>
  <c r="K951" i="1" s="1"/>
  <c r="I951" i="1"/>
  <c r="E951" i="1"/>
  <c r="D951" i="1"/>
  <c r="C951" i="1"/>
  <c r="B951" i="1"/>
  <c r="A951" i="1"/>
  <c r="J950" i="1"/>
  <c r="K950" i="1" s="1"/>
  <c r="I950" i="1"/>
  <c r="E950" i="1"/>
  <c r="D950" i="1"/>
  <c r="C950" i="1"/>
  <c r="B950" i="1"/>
  <c r="A950" i="1"/>
  <c r="J949" i="1"/>
  <c r="K949" i="1" s="1"/>
  <c r="I949" i="1"/>
  <c r="E949" i="1"/>
  <c r="D949" i="1"/>
  <c r="C949" i="1"/>
  <c r="B949" i="1"/>
  <c r="A949" i="1"/>
  <c r="J948" i="1"/>
  <c r="K948" i="1" s="1"/>
  <c r="L1022" i="1" s="1"/>
  <c r="I948" i="1"/>
  <c r="E948" i="1"/>
  <c r="D948" i="1"/>
  <c r="C948" i="1"/>
  <c r="B948" i="1"/>
  <c r="A948" i="1"/>
  <c r="J947" i="1"/>
  <c r="K947" i="1" s="1"/>
  <c r="I947" i="1"/>
  <c r="E947" i="1"/>
  <c r="D947" i="1"/>
  <c r="C947" i="1"/>
  <c r="B947" i="1"/>
  <c r="A947" i="1"/>
  <c r="J946" i="1"/>
  <c r="K946" i="1" s="1"/>
  <c r="I946" i="1"/>
  <c r="E946" i="1"/>
  <c r="D946" i="1"/>
  <c r="C946" i="1"/>
  <c r="B946" i="1"/>
  <c r="A946" i="1"/>
  <c r="J945" i="1"/>
  <c r="K945" i="1" s="1"/>
  <c r="I945" i="1"/>
  <c r="E945" i="1"/>
  <c r="D945" i="1"/>
  <c r="C945" i="1"/>
  <c r="B945" i="1"/>
  <c r="A945" i="1"/>
  <c r="J944" i="1"/>
  <c r="K944" i="1" s="1"/>
  <c r="I944" i="1"/>
  <c r="E944" i="1"/>
  <c r="D944" i="1"/>
  <c r="C944" i="1"/>
  <c r="B944" i="1"/>
  <c r="A944" i="1"/>
  <c r="J943" i="1"/>
  <c r="K943" i="1" s="1"/>
  <c r="I943" i="1"/>
  <c r="E943" i="1"/>
  <c r="D943" i="1"/>
  <c r="C943" i="1"/>
  <c r="B943" i="1"/>
  <c r="A943" i="1"/>
  <c r="J942" i="1"/>
  <c r="K942" i="1" s="1"/>
  <c r="I942" i="1"/>
  <c r="E942" i="1"/>
  <c r="D942" i="1"/>
  <c r="C942" i="1"/>
  <c r="B942" i="1"/>
  <c r="A942" i="1"/>
  <c r="J941" i="1"/>
  <c r="K941" i="1" s="1"/>
  <c r="L947" i="1" s="1"/>
  <c r="I941" i="1"/>
  <c r="E941" i="1"/>
  <c r="D941" i="1"/>
  <c r="C941" i="1"/>
  <c r="B941" i="1"/>
  <c r="A941" i="1"/>
  <c r="J940" i="1"/>
  <c r="K940" i="1" s="1"/>
  <c r="L940" i="1" s="1"/>
  <c r="I940" i="1"/>
  <c r="E940" i="1"/>
  <c r="D940" i="1"/>
  <c r="C940" i="1"/>
  <c r="B940" i="1"/>
  <c r="A940" i="1"/>
  <c r="K939" i="1"/>
  <c r="J939" i="1"/>
  <c r="I939" i="1"/>
  <c r="E939" i="1"/>
  <c r="D939" i="1"/>
  <c r="C939" i="1"/>
  <c r="B939" i="1"/>
  <c r="A939" i="1"/>
  <c r="J938" i="1"/>
  <c r="K938" i="1" s="1"/>
  <c r="I938" i="1"/>
  <c r="E938" i="1"/>
  <c r="D938" i="1"/>
  <c r="C938" i="1"/>
  <c r="B938" i="1"/>
  <c r="A938" i="1"/>
  <c r="J937" i="1"/>
  <c r="K937" i="1" s="1"/>
  <c r="I937" i="1"/>
  <c r="E937" i="1"/>
  <c r="D937" i="1"/>
  <c r="C937" i="1"/>
  <c r="B937" i="1"/>
  <c r="A937" i="1"/>
  <c r="J936" i="1"/>
  <c r="K936" i="1" s="1"/>
  <c r="I936" i="1"/>
  <c r="E936" i="1"/>
  <c r="D936" i="1"/>
  <c r="C936" i="1"/>
  <c r="B936" i="1"/>
  <c r="A936" i="1"/>
  <c r="J935" i="1"/>
  <c r="K935" i="1" s="1"/>
  <c r="I935" i="1"/>
  <c r="E935" i="1"/>
  <c r="D935" i="1"/>
  <c r="C935" i="1"/>
  <c r="B935" i="1"/>
  <c r="A935" i="1"/>
  <c r="J934" i="1"/>
  <c r="K934" i="1" s="1"/>
  <c r="I934" i="1"/>
  <c r="E934" i="1"/>
  <c r="D934" i="1"/>
  <c r="C934" i="1"/>
  <c r="B934" i="1"/>
  <c r="A934" i="1"/>
  <c r="J933" i="1"/>
  <c r="K933" i="1" s="1"/>
  <c r="I933" i="1"/>
  <c r="E933" i="1"/>
  <c r="D933" i="1"/>
  <c r="C933" i="1"/>
  <c r="B933" i="1"/>
  <c r="A933" i="1"/>
  <c r="J932" i="1"/>
  <c r="K932" i="1" s="1"/>
  <c r="I932" i="1"/>
  <c r="E932" i="1"/>
  <c r="D932" i="1"/>
  <c r="C932" i="1"/>
  <c r="B932" i="1"/>
  <c r="A932" i="1"/>
  <c r="J931" i="1"/>
  <c r="K931" i="1" s="1"/>
  <c r="I931" i="1"/>
  <c r="E931" i="1"/>
  <c r="D931" i="1"/>
  <c r="C931" i="1"/>
  <c r="B931" i="1"/>
  <c r="A931" i="1"/>
  <c r="J930" i="1"/>
  <c r="K930" i="1" s="1"/>
  <c r="I930" i="1"/>
  <c r="E930" i="1"/>
  <c r="D930" i="1"/>
  <c r="C930" i="1"/>
  <c r="B930" i="1"/>
  <c r="A930" i="1"/>
  <c r="J929" i="1"/>
  <c r="K929" i="1" s="1"/>
  <c r="I929" i="1"/>
  <c r="E929" i="1"/>
  <c r="D929" i="1"/>
  <c r="C929" i="1"/>
  <c r="B929" i="1"/>
  <c r="A929" i="1"/>
  <c r="K928" i="1"/>
  <c r="J928" i="1"/>
  <c r="I928" i="1"/>
  <c r="E928" i="1"/>
  <c r="D928" i="1"/>
  <c r="C928" i="1"/>
  <c r="B928" i="1"/>
  <c r="A928" i="1"/>
  <c r="J927" i="1"/>
  <c r="K927" i="1" s="1"/>
  <c r="I927" i="1"/>
  <c r="E927" i="1"/>
  <c r="D927" i="1"/>
  <c r="C927" i="1"/>
  <c r="B927" i="1"/>
  <c r="A927" i="1"/>
  <c r="J926" i="1"/>
  <c r="K926" i="1" s="1"/>
  <c r="I926" i="1"/>
  <c r="E926" i="1"/>
  <c r="D926" i="1"/>
  <c r="C926" i="1"/>
  <c r="B926" i="1"/>
  <c r="A926" i="1"/>
  <c r="J925" i="1"/>
  <c r="K925" i="1" s="1"/>
  <c r="I925" i="1"/>
  <c r="E925" i="1"/>
  <c r="D925" i="1"/>
  <c r="C925" i="1"/>
  <c r="B925" i="1"/>
  <c r="A925" i="1"/>
  <c r="J924" i="1"/>
  <c r="K924" i="1" s="1"/>
  <c r="I924" i="1"/>
  <c r="E924" i="1"/>
  <c r="D924" i="1"/>
  <c r="C924" i="1"/>
  <c r="B924" i="1"/>
  <c r="A924" i="1"/>
  <c r="J923" i="1"/>
  <c r="K923" i="1" s="1"/>
  <c r="I923" i="1"/>
  <c r="E923" i="1"/>
  <c r="D923" i="1"/>
  <c r="C923" i="1"/>
  <c r="B923" i="1"/>
  <c r="A923" i="1"/>
  <c r="J922" i="1"/>
  <c r="K922" i="1" s="1"/>
  <c r="I922" i="1"/>
  <c r="E922" i="1"/>
  <c r="D922" i="1"/>
  <c r="C922" i="1"/>
  <c r="B922" i="1"/>
  <c r="A922" i="1"/>
  <c r="J921" i="1"/>
  <c r="K921" i="1" s="1"/>
  <c r="I921" i="1"/>
  <c r="E921" i="1"/>
  <c r="D921" i="1"/>
  <c r="C921" i="1"/>
  <c r="B921" i="1"/>
  <c r="A921" i="1"/>
  <c r="J920" i="1"/>
  <c r="K920" i="1" s="1"/>
  <c r="I920" i="1"/>
  <c r="E920" i="1"/>
  <c r="D920" i="1"/>
  <c r="C920" i="1"/>
  <c r="B920" i="1"/>
  <c r="A920" i="1"/>
  <c r="J919" i="1"/>
  <c r="K919" i="1" s="1"/>
  <c r="I919" i="1"/>
  <c r="E919" i="1"/>
  <c r="D919" i="1"/>
  <c r="C919" i="1"/>
  <c r="B919" i="1"/>
  <c r="A919" i="1"/>
  <c r="J918" i="1"/>
  <c r="K918" i="1" s="1"/>
  <c r="I918" i="1"/>
  <c r="E918" i="1"/>
  <c r="D918" i="1"/>
  <c r="C918" i="1"/>
  <c r="B918" i="1"/>
  <c r="A918" i="1"/>
  <c r="J917" i="1"/>
  <c r="K917" i="1" s="1"/>
  <c r="I917" i="1"/>
  <c r="E917" i="1"/>
  <c r="D917" i="1"/>
  <c r="C917" i="1"/>
  <c r="B917" i="1"/>
  <c r="A917" i="1"/>
  <c r="J916" i="1"/>
  <c r="K916" i="1" s="1"/>
  <c r="I916" i="1"/>
  <c r="E916" i="1"/>
  <c r="D916" i="1"/>
  <c r="C916" i="1"/>
  <c r="B916" i="1"/>
  <c r="A916" i="1"/>
  <c r="J915" i="1"/>
  <c r="K915" i="1" s="1"/>
  <c r="L939" i="1" s="1"/>
  <c r="I915" i="1"/>
  <c r="E915" i="1"/>
  <c r="D915" i="1"/>
  <c r="C915" i="1"/>
  <c r="B915" i="1"/>
  <c r="A915" i="1"/>
  <c r="J914" i="1"/>
  <c r="K914" i="1" s="1"/>
  <c r="I914" i="1"/>
  <c r="E914" i="1"/>
  <c r="D914" i="1"/>
  <c r="C914" i="1"/>
  <c r="B914" i="1"/>
  <c r="A914" i="1"/>
  <c r="J913" i="1"/>
  <c r="K913" i="1" s="1"/>
  <c r="I913" i="1"/>
  <c r="E913" i="1"/>
  <c r="D913" i="1"/>
  <c r="C913" i="1"/>
  <c r="B913" i="1"/>
  <c r="A913" i="1"/>
  <c r="J912" i="1"/>
  <c r="K912" i="1" s="1"/>
  <c r="I912" i="1"/>
  <c r="E912" i="1"/>
  <c r="D912" i="1"/>
  <c r="C912" i="1"/>
  <c r="B912" i="1"/>
  <c r="A912" i="1"/>
  <c r="J911" i="1"/>
  <c r="K911" i="1" s="1"/>
  <c r="I911" i="1"/>
  <c r="E911" i="1"/>
  <c r="D911" i="1"/>
  <c r="C911" i="1"/>
  <c r="B911" i="1"/>
  <c r="A911" i="1"/>
  <c r="J910" i="1"/>
  <c r="K910" i="1" s="1"/>
  <c r="I910" i="1"/>
  <c r="E910" i="1"/>
  <c r="D910" i="1"/>
  <c r="C910" i="1"/>
  <c r="B910" i="1"/>
  <c r="A910" i="1"/>
  <c r="J909" i="1"/>
  <c r="K909" i="1" s="1"/>
  <c r="I909" i="1"/>
  <c r="E909" i="1"/>
  <c r="D909" i="1"/>
  <c r="C909" i="1"/>
  <c r="B909" i="1"/>
  <c r="A909" i="1"/>
  <c r="J908" i="1"/>
  <c r="K908" i="1" s="1"/>
  <c r="I908" i="1"/>
  <c r="E908" i="1"/>
  <c r="D908" i="1"/>
  <c r="C908" i="1"/>
  <c r="B908" i="1"/>
  <c r="A908" i="1"/>
  <c r="J907" i="1"/>
  <c r="K907" i="1" s="1"/>
  <c r="I907" i="1"/>
  <c r="E907" i="1"/>
  <c r="D907" i="1"/>
  <c r="C907" i="1"/>
  <c r="B907" i="1"/>
  <c r="A907" i="1"/>
  <c r="J906" i="1"/>
  <c r="K906" i="1" s="1"/>
  <c r="I906" i="1"/>
  <c r="E906" i="1"/>
  <c r="D906" i="1"/>
  <c r="C906" i="1"/>
  <c r="B906" i="1"/>
  <c r="A906" i="1"/>
  <c r="J905" i="1"/>
  <c r="K905" i="1" s="1"/>
  <c r="I905" i="1"/>
  <c r="E905" i="1"/>
  <c r="D905" i="1"/>
  <c r="C905" i="1"/>
  <c r="B905" i="1"/>
  <c r="A905" i="1"/>
  <c r="J904" i="1"/>
  <c r="K904" i="1" s="1"/>
  <c r="I904" i="1"/>
  <c r="E904" i="1"/>
  <c r="D904" i="1"/>
  <c r="C904" i="1"/>
  <c r="B904" i="1"/>
  <c r="A904" i="1"/>
  <c r="J903" i="1"/>
  <c r="K903" i="1" s="1"/>
  <c r="I903" i="1"/>
  <c r="E903" i="1"/>
  <c r="D903" i="1"/>
  <c r="C903" i="1"/>
  <c r="B903" i="1"/>
  <c r="A903" i="1"/>
  <c r="J902" i="1"/>
  <c r="K902" i="1" s="1"/>
  <c r="I902" i="1"/>
  <c r="E902" i="1"/>
  <c r="D902" i="1"/>
  <c r="C902" i="1"/>
  <c r="B902" i="1"/>
  <c r="A902" i="1"/>
  <c r="J901" i="1"/>
  <c r="K901" i="1" s="1"/>
  <c r="I901" i="1"/>
  <c r="E901" i="1"/>
  <c r="D901" i="1"/>
  <c r="C901" i="1"/>
  <c r="B901" i="1"/>
  <c r="A901" i="1"/>
  <c r="J900" i="1"/>
  <c r="K900" i="1" s="1"/>
  <c r="I900" i="1"/>
  <c r="E900" i="1"/>
  <c r="D900" i="1"/>
  <c r="C900" i="1"/>
  <c r="B900" i="1"/>
  <c r="A900" i="1"/>
  <c r="J899" i="1"/>
  <c r="K899" i="1" s="1"/>
  <c r="I899" i="1"/>
  <c r="E899" i="1"/>
  <c r="D899" i="1"/>
  <c r="C899" i="1"/>
  <c r="B899" i="1"/>
  <c r="A899" i="1"/>
  <c r="J898" i="1"/>
  <c r="K898" i="1" s="1"/>
  <c r="I898" i="1"/>
  <c r="E898" i="1"/>
  <c r="D898" i="1"/>
  <c r="C898" i="1"/>
  <c r="B898" i="1"/>
  <c r="A898" i="1"/>
  <c r="J897" i="1"/>
  <c r="K897" i="1" s="1"/>
  <c r="I897" i="1"/>
  <c r="E897" i="1"/>
  <c r="D897" i="1"/>
  <c r="C897" i="1"/>
  <c r="B897" i="1"/>
  <c r="A897" i="1"/>
  <c r="J896" i="1"/>
  <c r="K896" i="1" s="1"/>
  <c r="I896" i="1"/>
  <c r="E896" i="1"/>
  <c r="D896" i="1"/>
  <c r="C896" i="1"/>
  <c r="B896" i="1"/>
  <c r="A896" i="1"/>
  <c r="J895" i="1"/>
  <c r="K895" i="1" s="1"/>
  <c r="I895" i="1"/>
  <c r="E895" i="1"/>
  <c r="D895" i="1"/>
  <c r="C895" i="1"/>
  <c r="B895" i="1"/>
  <c r="A895" i="1"/>
  <c r="J894" i="1"/>
  <c r="K894" i="1" s="1"/>
  <c r="I894" i="1"/>
  <c r="E894" i="1"/>
  <c r="D894" i="1"/>
  <c r="C894" i="1"/>
  <c r="B894" i="1"/>
  <c r="A894" i="1"/>
  <c r="J893" i="1"/>
  <c r="K893" i="1" s="1"/>
  <c r="I893" i="1"/>
  <c r="E893" i="1"/>
  <c r="D893" i="1"/>
  <c r="C893" i="1"/>
  <c r="B893" i="1"/>
  <c r="A893" i="1"/>
  <c r="J892" i="1"/>
  <c r="K892" i="1" s="1"/>
  <c r="I892" i="1"/>
  <c r="E892" i="1"/>
  <c r="D892" i="1"/>
  <c r="C892" i="1"/>
  <c r="B892" i="1"/>
  <c r="A892" i="1"/>
  <c r="J891" i="1"/>
  <c r="K891" i="1" s="1"/>
  <c r="I891" i="1"/>
  <c r="E891" i="1"/>
  <c r="D891" i="1"/>
  <c r="C891" i="1"/>
  <c r="B891" i="1"/>
  <c r="A891" i="1"/>
  <c r="J890" i="1"/>
  <c r="K890" i="1" s="1"/>
  <c r="I890" i="1"/>
  <c r="E890" i="1"/>
  <c r="D890" i="1"/>
  <c r="C890" i="1"/>
  <c r="B890" i="1"/>
  <c r="A890" i="1"/>
  <c r="J889" i="1"/>
  <c r="K889" i="1" s="1"/>
  <c r="I889" i="1"/>
  <c r="E889" i="1"/>
  <c r="D889" i="1"/>
  <c r="C889" i="1"/>
  <c r="B889" i="1"/>
  <c r="A889" i="1"/>
  <c r="J888" i="1"/>
  <c r="K888" i="1" s="1"/>
  <c r="I888" i="1"/>
  <c r="E888" i="1"/>
  <c r="D888" i="1"/>
  <c r="C888" i="1"/>
  <c r="B888" i="1"/>
  <c r="A888" i="1"/>
  <c r="J887" i="1"/>
  <c r="K887" i="1" s="1"/>
  <c r="I887" i="1"/>
  <c r="E887" i="1"/>
  <c r="D887" i="1"/>
  <c r="C887" i="1"/>
  <c r="B887" i="1"/>
  <c r="A887" i="1"/>
  <c r="J886" i="1"/>
  <c r="K886" i="1" s="1"/>
  <c r="I886" i="1"/>
  <c r="E886" i="1"/>
  <c r="D886" i="1"/>
  <c r="C886" i="1"/>
  <c r="B886" i="1"/>
  <c r="A886" i="1"/>
  <c r="J885" i="1"/>
  <c r="K885" i="1" s="1"/>
  <c r="I885" i="1"/>
  <c r="E885" i="1"/>
  <c r="D885" i="1"/>
  <c r="C885" i="1"/>
  <c r="B885" i="1"/>
  <c r="A885" i="1"/>
  <c r="J884" i="1"/>
  <c r="K884" i="1" s="1"/>
  <c r="I884" i="1"/>
  <c r="E884" i="1"/>
  <c r="D884" i="1"/>
  <c r="C884" i="1"/>
  <c r="B884" i="1"/>
  <c r="A884" i="1"/>
  <c r="J883" i="1"/>
  <c r="K883" i="1" s="1"/>
  <c r="I883" i="1"/>
  <c r="E883" i="1"/>
  <c r="D883" i="1"/>
  <c r="C883" i="1"/>
  <c r="B883" i="1"/>
  <c r="A883" i="1"/>
  <c r="J882" i="1"/>
  <c r="K882" i="1" s="1"/>
  <c r="I882" i="1"/>
  <c r="E882" i="1"/>
  <c r="D882" i="1"/>
  <c r="C882" i="1"/>
  <c r="B882" i="1"/>
  <c r="A882" i="1"/>
  <c r="J881" i="1"/>
  <c r="K881" i="1" s="1"/>
  <c r="I881" i="1"/>
  <c r="E881" i="1"/>
  <c r="D881" i="1"/>
  <c r="C881" i="1"/>
  <c r="B881" i="1"/>
  <c r="A881" i="1"/>
  <c r="J880" i="1"/>
  <c r="K880" i="1" s="1"/>
  <c r="I880" i="1"/>
  <c r="E880" i="1"/>
  <c r="D880" i="1"/>
  <c r="C880" i="1"/>
  <c r="B880" i="1"/>
  <c r="A880" i="1"/>
  <c r="J879" i="1"/>
  <c r="K879" i="1" s="1"/>
  <c r="I879" i="1"/>
  <c r="E879" i="1"/>
  <c r="D879" i="1"/>
  <c r="C879" i="1"/>
  <c r="B879" i="1"/>
  <c r="A879" i="1"/>
  <c r="J878" i="1"/>
  <c r="K878" i="1" s="1"/>
  <c r="I878" i="1"/>
  <c r="E878" i="1"/>
  <c r="D878" i="1"/>
  <c r="C878" i="1"/>
  <c r="B878" i="1"/>
  <c r="A878" i="1"/>
  <c r="J877" i="1"/>
  <c r="K877" i="1" s="1"/>
  <c r="I877" i="1"/>
  <c r="E877" i="1"/>
  <c r="D877" i="1"/>
  <c r="C877" i="1"/>
  <c r="B877" i="1"/>
  <c r="A877" i="1"/>
  <c r="J876" i="1"/>
  <c r="K876" i="1" s="1"/>
  <c r="I876" i="1"/>
  <c r="E876" i="1"/>
  <c r="D876" i="1"/>
  <c r="C876" i="1"/>
  <c r="B876" i="1"/>
  <c r="A876" i="1"/>
  <c r="J875" i="1"/>
  <c r="K875" i="1" s="1"/>
  <c r="I875" i="1"/>
  <c r="E875" i="1"/>
  <c r="D875" i="1"/>
  <c r="C875" i="1"/>
  <c r="B875" i="1"/>
  <c r="A875" i="1"/>
  <c r="J874" i="1"/>
  <c r="K874" i="1" s="1"/>
  <c r="I874" i="1"/>
  <c r="E874" i="1"/>
  <c r="D874" i="1"/>
  <c r="C874" i="1"/>
  <c r="B874" i="1"/>
  <c r="A874" i="1"/>
  <c r="J873" i="1"/>
  <c r="K873" i="1" s="1"/>
  <c r="I873" i="1"/>
  <c r="E873" i="1"/>
  <c r="D873" i="1"/>
  <c r="C873" i="1"/>
  <c r="B873" i="1"/>
  <c r="A873" i="1"/>
  <c r="J872" i="1"/>
  <c r="K872" i="1" s="1"/>
  <c r="I872" i="1"/>
  <c r="E872" i="1"/>
  <c r="D872" i="1"/>
  <c r="C872" i="1"/>
  <c r="B872" i="1"/>
  <c r="A872" i="1"/>
  <c r="J871" i="1"/>
  <c r="K871" i="1" s="1"/>
  <c r="I871" i="1"/>
  <c r="E871" i="1"/>
  <c r="D871" i="1"/>
  <c r="C871" i="1"/>
  <c r="B871" i="1"/>
  <c r="A871" i="1"/>
  <c r="J870" i="1"/>
  <c r="K870" i="1" s="1"/>
  <c r="I870" i="1"/>
  <c r="E870" i="1"/>
  <c r="D870" i="1"/>
  <c r="C870" i="1"/>
  <c r="B870" i="1"/>
  <c r="A870" i="1"/>
  <c r="J869" i="1"/>
  <c r="K869" i="1" s="1"/>
  <c r="I869" i="1"/>
  <c r="E869" i="1"/>
  <c r="D869" i="1"/>
  <c r="C869" i="1"/>
  <c r="B869" i="1"/>
  <c r="A869" i="1"/>
  <c r="J868" i="1"/>
  <c r="K868" i="1" s="1"/>
  <c r="I868" i="1"/>
  <c r="E868" i="1"/>
  <c r="D868" i="1"/>
  <c r="C868" i="1"/>
  <c r="B868" i="1"/>
  <c r="A868" i="1"/>
  <c r="J867" i="1"/>
  <c r="K867" i="1" s="1"/>
  <c r="I867" i="1"/>
  <c r="E867" i="1"/>
  <c r="D867" i="1"/>
  <c r="C867" i="1"/>
  <c r="B867" i="1"/>
  <c r="A867" i="1"/>
  <c r="J866" i="1"/>
  <c r="K866" i="1" s="1"/>
  <c r="I866" i="1"/>
  <c r="E866" i="1"/>
  <c r="D866" i="1"/>
  <c r="C866" i="1"/>
  <c r="B866" i="1"/>
  <c r="A866" i="1"/>
  <c r="J865" i="1"/>
  <c r="K865" i="1" s="1"/>
  <c r="I865" i="1"/>
  <c r="E865" i="1"/>
  <c r="D865" i="1"/>
  <c r="C865" i="1"/>
  <c r="B865" i="1"/>
  <c r="A865" i="1"/>
  <c r="J864" i="1"/>
  <c r="K864" i="1" s="1"/>
  <c r="I864" i="1"/>
  <c r="E864" i="1"/>
  <c r="D864" i="1"/>
  <c r="C864" i="1"/>
  <c r="B864" i="1"/>
  <c r="A864" i="1"/>
  <c r="J863" i="1"/>
  <c r="K863" i="1" s="1"/>
  <c r="I863" i="1"/>
  <c r="E863" i="1"/>
  <c r="D863" i="1"/>
  <c r="C863" i="1"/>
  <c r="B863" i="1"/>
  <c r="A863" i="1"/>
  <c r="J862" i="1"/>
  <c r="K862" i="1" s="1"/>
  <c r="I862" i="1"/>
  <c r="E862" i="1"/>
  <c r="D862" i="1"/>
  <c r="C862" i="1"/>
  <c r="B862" i="1"/>
  <c r="A862" i="1"/>
  <c r="J861" i="1"/>
  <c r="K861" i="1" s="1"/>
  <c r="I861" i="1"/>
  <c r="E861" i="1"/>
  <c r="D861" i="1"/>
  <c r="C861" i="1"/>
  <c r="B861" i="1"/>
  <c r="A861" i="1"/>
  <c r="J860" i="1"/>
  <c r="K860" i="1" s="1"/>
  <c r="I860" i="1"/>
  <c r="E860" i="1"/>
  <c r="D860" i="1"/>
  <c r="C860" i="1"/>
  <c r="B860" i="1"/>
  <c r="A860" i="1"/>
  <c r="J859" i="1"/>
  <c r="K859" i="1" s="1"/>
  <c r="I859" i="1"/>
  <c r="E859" i="1"/>
  <c r="D859" i="1"/>
  <c r="C859" i="1"/>
  <c r="B859" i="1"/>
  <c r="A859" i="1"/>
  <c r="J858" i="1"/>
  <c r="K858" i="1" s="1"/>
  <c r="I858" i="1"/>
  <c r="E858" i="1"/>
  <c r="D858" i="1"/>
  <c r="C858" i="1"/>
  <c r="B858" i="1"/>
  <c r="A858" i="1"/>
  <c r="J857" i="1"/>
  <c r="K857" i="1" s="1"/>
  <c r="I857" i="1"/>
  <c r="E857" i="1"/>
  <c r="D857" i="1"/>
  <c r="C857" i="1"/>
  <c r="B857" i="1"/>
  <c r="A857" i="1"/>
  <c r="J856" i="1"/>
  <c r="K856" i="1" s="1"/>
  <c r="I856" i="1"/>
  <c r="E856" i="1"/>
  <c r="D856" i="1"/>
  <c r="C856" i="1"/>
  <c r="B856" i="1"/>
  <c r="A856" i="1"/>
  <c r="J855" i="1"/>
  <c r="I855" i="1"/>
  <c r="K855" i="1" s="1"/>
  <c r="E855" i="1"/>
  <c r="D855" i="1"/>
  <c r="C855" i="1"/>
  <c r="B855" i="1"/>
  <c r="A855" i="1"/>
  <c r="J854" i="1"/>
  <c r="K854" i="1" s="1"/>
  <c r="I854" i="1"/>
  <c r="E854" i="1"/>
  <c r="D854" i="1"/>
  <c r="C854" i="1"/>
  <c r="B854" i="1"/>
  <c r="A854" i="1"/>
  <c r="J853" i="1"/>
  <c r="K853" i="1" s="1"/>
  <c r="I853" i="1"/>
  <c r="E853" i="1"/>
  <c r="D853" i="1"/>
  <c r="C853" i="1"/>
  <c r="B853" i="1"/>
  <c r="A853" i="1"/>
  <c r="J852" i="1"/>
  <c r="K852" i="1" s="1"/>
  <c r="I852" i="1"/>
  <c r="E852" i="1"/>
  <c r="D852" i="1"/>
  <c r="C852" i="1"/>
  <c r="B852" i="1"/>
  <c r="A852" i="1"/>
  <c r="J851" i="1"/>
  <c r="K851" i="1" s="1"/>
  <c r="I851" i="1"/>
  <c r="E851" i="1"/>
  <c r="D851" i="1"/>
  <c r="C851" i="1"/>
  <c r="B851" i="1"/>
  <c r="A851" i="1"/>
  <c r="J850" i="1"/>
  <c r="K850" i="1" s="1"/>
  <c r="I850" i="1"/>
  <c r="E850" i="1"/>
  <c r="D850" i="1"/>
  <c r="C850" i="1"/>
  <c r="B850" i="1"/>
  <c r="A850" i="1"/>
  <c r="J849" i="1"/>
  <c r="K849" i="1" s="1"/>
  <c r="I849" i="1"/>
  <c r="E849" i="1"/>
  <c r="D849" i="1"/>
  <c r="C849" i="1"/>
  <c r="B849" i="1"/>
  <c r="A849" i="1"/>
  <c r="J848" i="1"/>
  <c r="K848" i="1" s="1"/>
  <c r="I848" i="1"/>
  <c r="E848" i="1"/>
  <c r="D848" i="1"/>
  <c r="C848" i="1"/>
  <c r="B848" i="1"/>
  <c r="A848" i="1"/>
  <c r="J847" i="1"/>
  <c r="K847" i="1" s="1"/>
  <c r="I847" i="1"/>
  <c r="E847" i="1"/>
  <c r="D847" i="1"/>
  <c r="C847" i="1"/>
  <c r="B847" i="1"/>
  <c r="A847" i="1"/>
  <c r="J846" i="1"/>
  <c r="K846" i="1" s="1"/>
  <c r="I846" i="1"/>
  <c r="E846" i="1"/>
  <c r="D846" i="1"/>
  <c r="C846" i="1"/>
  <c r="B846" i="1"/>
  <c r="A846" i="1"/>
  <c r="J845" i="1"/>
  <c r="K845" i="1" s="1"/>
  <c r="I845" i="1"/>
  <c r="E845" i="1"/>
  <c r="D845" i="1"/>
  <c r="C845" i="1"/>
  <c r="B845" i="1"/>
  <c r="A845" i="1"/>
  <c r="J844" i="1"/>
  <c r="K844" i="1" s="1"/>
  <c r="I844" i="1"/>
  <c r="E844" i="1"/>
  <c r="D844" i="1"/>
  <c r="C844" i="1"/>
  <c r="B844" i="1"/>
  <c r="A844" i="1"/>
  <c r="J843" i="1"/>
  <c r="K843" i="1" s="1"/>
  <c r="I843" i="1"/>
  <c r="E843" i="1"/>
  <c r="D843" i="1"/>
  <c r="C843" i="1"/>
  <c r="B843" i="1"/>
  <c r="A843" i="1"/>
  <c r="J842" i="1"/>
  <c r="K842" i="1" s="1"/>
  <c r="I842" i="1"/>
  <c r="E842" i="1"/>
  <c r="D842" i="1"/>
  <c r="C842" i="1"/>
  <c r="B842" i="1"/>
  <c r="A842" i="1"/>
  <c r="J841" i="1"/>
  <c r="K841" i="1" s="1"/>
  <c r="I841" i="1"/>
  <c r="E841" i="1"/>
  <c r="D841" i="1"/>
  <c r="C841" i="1"/>
  <c r="B841" i="1"/>
  <c r="A841" i="1"/>
  <c r="J840" i="1"/>
  <c r="K840" i="1" s="1"/>
  <c r="I840" i="1"/>
  <c r="E840" i="1"/>
  <c r="D840" i="1"/>
  <c r="C840" i="1"/>
  <c r="B840" i="1"/>
  <c r="A840" i="1"/>
  <c r="J839" i="1"/>
  <c r="K839" i="1" s="1"/>
  <c r="I839" i="1"/>
  <c r="E839" i="1"/>
  <c r="D839" i="1"/>
  <c r="C839" i="1"/>
  <c r="B839" i="1"/>
  <c r="A839" i="1"/>
  <c r="J838" i="1"/>
  <c r="K838" i="1" s="1"/>
  <c r="I838" i="1"/>
  <c r="E838" i="1"/>
  <c r="D838" i="1"/>
  <c r="C838" i="1"/>
  <c r="B838" i="1"/>
  <c r="A838" i="1"/>
  <c r="K837" i="1"/>
  <c r="J837" i="1"/>
  <c r="I837" i="1"/>
  <c r="E837" i="1"/>
  <c r="D837" i="1"/>
  <c r="C837" i="1"/>
  <c r="B837" i="1"/>
  <c r="A837" i="1"/>
  <c r="J836" i="1"/>
  <c r="K836" i="1" s="1"/>
  <c r="I836" i="1"/>
  <c r="E836" i="1"/>
  <c r="D836" i="1"/>
  <c r="C836" i="1"/>
  <c r="B836" i="1"/>
  <c r="A836" i="1"/>
  <c r="J835" i="1"/>
  <c r="K835" i="1" s="1"/>
  <c r="I835" i="1"/>
  <c r="E835" i="1"/>
  <c r="D835" i="1"/>
  <c r="C835" i="1"/>
  <c r="B835" i="1"/>
  <c r="A835" i="1"/>
  <c r="J834" i="1"/>
  <c r="K834" i="1" s="1"/>
  <c r="I834" i="1"/>
  <c r="E834" i="1"/>
  <c r="D834" i="1"/>
  <c r="C834" i="1"/>
  <c r="B834" i="1"/>
  <c r="A834" i="1"/>
  <c r="J833" i="1"/>
  <c r="K833" i="1" s="1"/>
  <c r="I833" i="1"/>
  <c r="E833" i="1"/>
  <c r="D833" i="1"/>
  <c r="C833" i="1"/>
  <c r="B833" i="1"/>
  <c r="A833" i="1"/>
  <c r="J832" i="1"/>
  <c r="K832" i="1" s="1"/>
  <c r="I832" i="1"/>
  <c r="E832" i="1"/>
  <c r="D832" i="1"/>
  <c r="C832" i="1"/>
  <c r="B832" i="1"/>
  <c r="A832" i="1"/>
  <c r="J831" i="1"/>
  <c r="K831" i="1" s="1"/>
  <c r="L914" i="1" s="1"/>
  <c r="I831" i="1"/>
  <c r="E831" i="1"/>
  <c r="D831" i="1"/>
  <c r="C831" i="1"/>
  <c r="B831" i="1"/>
  <c r="A831" i="1"/>
  <c r="J830" i="1"/>
  <c r="K830" i="1" s="1"/>
  <c r="L830" i="1" s="1"/>
  <c r="I830" i="1"/>
  <c r="E830" i="1"/>
  <c r="D830" i="1"/>
  <c r="C830" i="1"/>
  <c r="B830" i="1"/>
  <c r="A830" i="1"/>
  <c r="J829" i="1"/>
  <c r="K829" i="1" s="1"/>
  <c r="I829" i="1"/>
  <c r="E829" i="1"/>
  <c r="D829" i="1"/>
  <c r="C829" i="1"/>
  <c r="B829" i="1"/>
  <c r="A829" i="1"/>
  <c r="J828" i="1"/>
  <c r="K828" i="1" s="1"/>
  <c r="I828" i="1"/>
  <c r="E828" i="1"/>
  <c r="D828" i="1"/>
  <c r="C828" i="1"/>
  <c r="B828" i="1"/>
  <c r="A828" i="1"/>
  <c r="J827" i="1"/>
  <c r="K827" i="1" s="1"/>
  <c r="I827" i="1"/>
  <c r="E827" i="1"/>
  <c r="D827" i="1"/>
  <c r="C827" i="1"/>
  <c r="B827" i="1"/>
  <c r="A827" i="1"/>
  <c r="J826" i="1"/>
  <c r="K826" i="1" s="1"/>
  <c r="I826" i="1"/>
  <c r="E826" i="1"/>
  <c r="D826" i="1"/>
  <c r="C826" i="1"/>
  <c r="B826" i="1"/>
  <c r="A826" i="1"/>
  <c r="J825" i="1"/>
  <c r="K825" i="1" s="1"/>
  <c r="I825" i="1"/>
  <c r="E825" i="1"/>
  <c r="D825" i="1"/>
  <c r="C825" i="1"/>
  <c r="B825" i="1"/>
  <c r="A825" i="1"/>
  <c r="J824" i="1"/>
  <c r="K824" i="1" s="1"/>
  <c r="I824" i="1"/>
  <c r="E824" i="1"/>
  <c r="D824" i="1"/>
  <c r="C824" i="1"/>
  <c r="B824" i="1"/>
  <c r="A824" i="1"/>
  <c r="J823" i="1"/>
  <c r="K823" i="1" s="1"/>
  <c r="I823" i="1"/>
  <c r="E823" i="1"/>
  <c r="D823" i="1"/>
  <c r="C823" i="1"/>
  <c r="B823" i="1"/>
  <c r="A823" i="1"/>
  <c r="J822" i="1"/>
  <c r="K822" i="1" s="1"/>
  <c r="I822" i="1"/>
  <c r="E822" i="1"/>
  <c r="D822" i="1"/>
  <c r="C822" i="1"/>
  <c r="B822" i="1"/>
  <c r="A822" i="1"/>
  <c r="J821" i="1"/>
  <c r="K821" i="1" s="1"/>
  <c r="I821" i="1"/>
  <c r="E821" i="1"/>
  <c r="D821" i="1"/>
  <c r="C821" i="1"/>
  <c r="B821" i="1"/>
  <c r="A821" i="1"/>
  <c r="J820" i="1"/>
  <c r="K820" i="1" s="1"/>
  <c r="I820" i="1"/>
  <c r="E820" i="1"/>
  <c r="D820" i="1"/>
  <c r="C820" i="1"/>
  <c r="B820" i="1"/>
  <c r="A820" i="1"/>
  <c r="J819" i="1"/>
  <c r="K819" i="1" s="1"/>
  <c r="I819" i="1"/>
  <c r="E819" i="1"/>
  <c r="D819" i="1"/>
  <c r="C819" i="1"/>
  <c r="B819" i="1"/>
  <c r="A819" i="1"/>
  <c r="J818" i="1"/>
  <c r="K818" i="1" s="1"/>
  <c r="I818" i="1"/>
  <c r="E818" i="1"/>
  <c r="D818" i="1"/>
  <c r="C818" i="1"/>
  <c r="B818" i="1"/>
  <c r="A818" i="1"/>
  <c r="J817" i="1"/>
  <c r="K817" i="1" s="1"/>
  <c r="I817" i="1"/>
  <c r="E817" i="1"/>
  <c r="D817" i="1"/>
  <c r="C817" i="1"/>
  <c r="B817" i="1"/>
  <c r="A817" i="1"/>
  <c r="J816" i="1"/>
  <c r="K816" i="1" s="1"/>
  <c r="I816" i="1"/>
  <c r="E816" i="1"/>
  <c r="D816" i="1"/>
  <c r="C816" i="1"/>
  <c r="B816" i="1"/>
  <c r="A816" i="1"/>
  <c r="J815" i="1"/>
  <c r="K815" i="1" s="1"/>
  <c r="L829" i="1" s="1"/>
  <c r="I815" i="1"/>
  <c r="E815" i="1"/>
  <c r="D815" i="1"/>
  <c r="C815" i="1"/>
  <c r="B815" i="1"/>
  <c r="A815" i="1"/>
  <c r="J814" i="1"/>
  <c r="K814" i="1" s="1"/>
  <c r="I814" i="1"/>
  <c r="E814" i="1"/>
  <c r="D814" i="1"/>
  <c r="C814" i="1"/>
  <c r="B814" i="1"/>
  <c r="A814" i="1"/>
  <c r="J813" i="1"/>
  <c r="K813" i="1" s="1"/>
  <c r="I813" i="1"/>
  <c r="E813" i="1"/>
  <c r="D813" i="1"/>
  <c r="C813" i="1"/>
  <c r="B813" i="1"/>
  <c r="A813" i="1"/>
  <c r="J812" i="1"/>
  <c r="K812" i="1" s="1"/>
  <c r="I812" i="1"/>
  <c r="E812" i="1"/>
  <c r="D812" i="1"/>
  <c r="C812" i="1"/>
  <c r="B812" i="1"/>
  <c r="A812" i="1"/>
  <c r="J811" i="1"/>
  <c r="K811" i="1" s="1"/>
  <c r="I811" i="1"/>
  <c r="E811" i="1"/>
  <c r="D811" i="1"/>
  <c r="C811" i="1"/>
  <c r="B811" i="1"/>
  <c r="A811" i="1"/>
  <c r="J810" i="1"/>
  <c r="K810" i="1" s="1"/>
  <c r="I810" i="1"/>
  <c r="E810" i="1"/>
  <c r="D810" i="1"/>
  <c r="C810" i="1"/>
  <c r="B810" i="1"/>
  <c r="A810" i="1"/>
  <c r="J809" i="1"/>
  <c r="K809" i="1" s="1"/>
  <c r="I809" i="1"/>
  <c r="E809" i="1"/>
  <c r="D809" i="1"/>
  <c r="C809" i="1"/>
  <c r="B809" i="1"/>
  <c r="A809" i="1"/>
  <c r="J808" i="1"/>
  <c r="I808" i="1"/>
  <c r="K808" i="1" s="1"/>
  <c r="E808" i="1"/>
  <c r="D808" i="1"/>
  <c r="C808" i="1"/>
  <c r="B808" i="1"/>
  <c r="A808" i="1"/>
  <c r="K807" i="1"/>
  <c r="J807" i="1"/>
  <c r="I807" i="1"/>
  <c r="E807" i="1"/>
  <c r="D807" i="1"/>
  <c r="C807" i="1"/>
  <c r="B807" i="1"/>
  <c r="A807" i="1"/>
  <c r="J806" i="1"/>
  <c r="K806" i="1" s="1"/>
  <c r="I806" i="1"/>
  <c r="E806" i="1"/>
  <c r="D806" i="1"/>
  <c r="C806" i="1"/>
  <c r="B806" i="1"/>
  <c r="A806" i="1"/>
  <c r="J805" i="1"/>
  <c r="K805" i="1" s="1"/>
  <c r="I805" i="1"/>
  <c r="E805" i="1"/>
  <c r="D805" i="1"/>
  <c r="C805" i="1"/>
  <c r="B805" i="1"/>
  <c r="A805" i="1"/>
  <c r="J804" i="1"/>
  <c r="K804" i="1" s="1"/>
  <c r="I804" i="1"/>
  <c r="E804" i="1"/>
  <c r="D804" i="1"/>
  <c r="C804" i="1"/>
  <c r="B804" i="1"/>
  <c r="A804" i="1"/>
  <c r="J803" i="1"/>
  <c r="K803" i="1" s="1"/>
  <c r="I803" i="1"/>
  <c r="E803" i="1"/>
  <c r="D803" i="1"/>
  <c r="C803" i="1"/>
  <c r="B803" i="1"/>
  <c r="A803" i="1"/>
  <c r="J802" i="1"/>
  <c r="K802" i="1" s="1"/>
  <c r="I802" i="1"/>
  <c r="E802" i="1"/>
  <c r="D802" i="1"/>
  <c r="C802" i="1"/>
  <c r="B802" i="1"/>
  <c r="A802" i="1"/>
  <c r="J801" i="1"/>
  <c r="K801" i="1" s="1"/>
  <c r="I801" i="1"/>
  <c r="E801" i="1"/>
  <c r="D801" i="1"/>
  <c r="C801" i="1"/>
  <c r="B801" i="1"/>
  <c r="A801" i="1"/>
  <c r="J800" i="1"/>
  <c r="K800" i="1" s="1"/>
  <c r="I800" i="1"/>
  <c r="E800" i="1"/>
  <c r="D800" i="1"/>
  <c r="C800" i="1"/>
  <c r="B800" i="1"/>
  <c r="A800" i="1"/>
  <c r="J799" i="1"/>
  <c r="K799" i="1" s="1"/>
  <c r="I799" i="1"/>
  <c r="E799" i="1"/>
  <c r="D799" i="1"/>
  <c r="C799" i="1"/>
  <c r="B799" i="1"/>
  <c r="A799" i="1"/>
  <c r="K798" i="1"/>
  <c r="J798" i="1"/>
  <c r="I798" i="1"/>
  <c r="E798" i="1"/>
  <c r="D798" i="1"/>
  <c r="C798" i="1"/>
  <c r="B798" i="1"/>
  <c r="A798" i="1"/>
  <c r="K797" i="1"/>
  <c r="J797" i="1"/>
  <c r="I797" i="1"/>
  <c r="E797" i="1"/>
  <c r="D797" i="1"/>
  <c r="C797" i="1"/>
  <c r="B797" i="1"/>
  <c r="A797" i="1"/>
  <c r="K796" i="1"/>
  <c r="J796" i="1"/>
  <c r="I796" i="1"/>
  <c r="E796" i="1"/>
  <c r="D796" i="1"/>
  <c r="C796" i="1"/>
  <c r="B796" i="1"/>
  <c r="A796" i="1"/>
  <c r="J795" i="1"/>
  <c r="K795" i="1" s="1"/>
  <c r="I795" i="1"/>
  <c r="E795" i="1"/>
  <c r="D795" i="1"/>
  <c r="C795" i="1"/>
  <c r="B795" i="1"/>
  <c r="A795" i="1"/>
  <c r="J794" i="1"/>
  <c r="K794" i="1" s="1"/>
  <c r="I794" i="1"/>
  <c r="E794" i="1"/>
  <c r="D794" i="1"/>
  <c r="C794" i="1"/>
  <c r="B794" i="1"/>
  <c r="A794" i="1"/>
  <c r="J793" i="1"/>
  <c r="K793" i="1" s="1"/>
  <c r="I793" i="1"/>
  <c r="E793" i="1"/>
  <c r="D793" i="1"/>
  <c r="C793" i="1"/>
  <c r="B793" i="1"/>
  <c r="A793" i="1"/>
  <c r="J792" i="1"/>
  <c r="K792" i="1" s="1"/>
  <c r="I792" i="1"/>
  <c r="E792" i="1"/>
  <c r="D792" i="1"/>
  <c r="C792" i="1"/>
  <c r="B792" i="1"/>
  <c r="A792" i="1"/>
  <c r="J791" i="1"/>
  <c r="K791" i="1" s="1"/>
  <c r="I791" i="1"/>
  <c r="E791" i="1"/>
  <c r="D791" i="1"/>
  <c r="C791" i="1"/>
  <c r="B791" i="1"/>
  <c r="A791" i="1"/>
  <c r="J790" i="1"/>
  <c r="K790" i="1" s="1"/>
  <c r="I790" i="1"/>
  <c r="E790" i="1"/>
  <c r="D790" i="1"/>
  <c r="C790" i="1"/>
  <c r="B790" i="1"/>
  <c r="A790" i="1"/>
  <c r="J789" i="1"/>
  <c r="K789" i="1" s="1"/>
  <c r="I789" i="1"/>
  <c r="E789" i="1"/>
  <c r="D789" i="1"/>
  <c r="C789" i="1"/>
  <c r="B789" i="1"/>
  <c r="A789" i="1"/>
  <c r="J788" i="1"/>
  <c r="K788" i="1" s="1"/>
  <c r="I788" i="1"/>
  <c r="E788" i="1"/>
  <c r="D788" i="1"/>
  <c r="C788" i="1"/>
  <c r="B788" i="1"/>
  <c r="A788" i="1"/>
  <c r="J787" i="1"/>
  <c r="K787" i="1" s="1"/>
  <c r="I787" i="1"/>
  <c r="E787" i="1"/>
  <c r="D787" i="1"/>
  <c r="C787" i="1"/>
  <c r="B787" i="1"/>
  <c r="A787" i="1"/>
  <c r="J786" i="1"/>
  <c r="K786" i="1" s="1"/>
  <c r="I786" i="1"/>
  <c r="E786" i="1"/>
  <c r="D786" i="1"/>
  <c r="C786" i="1"/>
  <c r="B786" i="1"/>
  <c r="A786" i="1"/>
  <c r="J785" i="1"/>
  <c r="K785" i="1" s="1"/>
  <c r="I785" i="1"/>
  <c r="E785" i="1"/>
  <c r="D785" i="1"/>
  <c r="C785" i="1"/>
  <c r="B785" i="1"/>
  <c r="A785" i="1"/>
  <c r="J784" i="1"/>
  <c r="K784" i="1" s="1"/>
  <c r="I784" i="1"/>
  <c r="E784" i="1"/>
  <c r="D784" i="1"/>
  <c r="C784" i="1"/>
  <c r="B784" i="1"/>
  <c r="A784" i="1"/>
  <c r="J783" i="1"/>
  <c r="K783" i="1" s="1"/>
  <c r="I783" i="1"/>
  <c r="E783" i="1"/>
  <c r="D783" i="1"/>
  <c r="C783" i="1"/>
  <c r="B783" i="1"/>
  <c r="A783" i="1"/>
  <c r="J782" i="1"/>
  <c r="K782" i="1" s="1"/>
  <c r="I782" i="1"/>
  <c r="E782" i="1"/>
  <c r="D782" i="1"/>
  <c r="C782" i="1"/>
  <c r="B782" i="1"/>
  <c r="A782" i="1"/>
  <c r="J781" i="1"/>
  <c r="K781" i="1" s="1"/>
  <c r="I781" i="1"/>
  <c r="E781" i="1"/>
  <c r="D781" i="1"/>
  <c r="C781" i="1"/>
  <c r="B781" i="1"/>
  <c r="A781" i="1"/>
  <c r="J780" i="1"/>
  <c r="K780" i="1" s="1"/>
  <c r="I780" i="1"/>
  <c r="E780" i="1"/>
  <c r="D780" i="1"/>
  <c r="C780" i="1"/>
  <c r="B780" i="1"/>
  <c r="A780" i="1"/>
  <c r="J779" i="1"/>
  <c r="K779" i="1" s="1"/>
  <c r="I779" i="1"/>
  <c r="E779" i="1"/>
  <c r="D779" i="1"/>
  <c r="C779" i="1"/>
  <c r="B779" i="1"/>
  <c r="A779" i="1"/>
  <c r="J778" i="1"/>
  <c r="K778" i="1" s="1"/>
  <c r="I778" i="1"/>
  <c r="E778" i="1"/>
  <c r="D778" i="1"/>
  <c r="C778" i="1"/>
  <c r="B778" i="1"/>
  <c r="A778" i="1"/>
  <c r="J777" i="1"/>
  <c r="K777" i="1" s="1"/>
  <c r="I777" i="1"/>
  <c r="E777" i="1"/>
  <c r="D777" i="1"/>
  <c r="C777" i="1"/>
  <c r="B777" i="1"/>
  <c r="A777" i="1"/>
  <c r="J776" i="1"/>
  <c r="K776" i="1" s="1"/>
  <c r="I776" i="1"/>
  <c r="E776" i="1"/>
  <c r="D776" i="1"/>
  <c r="C776" i="1"/>
  <c r="B776" i="1"/>
  <c r="A776" i="1"/>
  <c r="K775" i="1"/>
  <c r="J775" i="1"/>
  <c r="I775" i="1"/>
  <c r="E775" i="1"/>
  <c r="D775" i="1"/>
  <c r="C775" i="1"/>
  <c r="B775" i="1"/>
  <c r="A775" i="1"/>
  <c r="J774" i="1"/>
  <c r="K774" i="1" s="1"/>
  <c r="I774" i="1"/>
  <c r="E774" i="1"/>
  <c r="D774" i="1"/>
  <c r="C774" i="1"/>
  <c r="B774" i="1"/>
  <c r="A774" i="1"/>
  <c r="J773" i="1"/>
  <c r="K773" i="1" s="1"/>
  <c r="I773" i="1"/>
  <c r="E773" i="1"/>
  <c r="D773" i="1"/>
  <c r="C773" i="1"/>
  <c r="B773" i="1"/>
  <c r="A773" i="1"/>
  <c r="J772" i="1"/>
  <c r="K772" i="1" s="1"/>
  <c r="I772" i="1"/>
  <c r="E772" i="1"/>
  <c r="D772" i="1"/>
  <c r="C772" i="1"/>
  <c r="B772" i="1"/>
  <c r="A772" i="1"/>
  <c r="J771" i="1"/>
  <c r="K771" i="1" s="1"/>
  <c r="I771" i="1"/>
  <c r="E771" i="1"/>
  <c r="D771" i="1"/>
  <c r="C771" i="1"/>
  <c r="B771" i="1"/>
  <c r="A771" i="1"/>
  <c r="J770" i="1"/>
  <c r="K770" i="1" s="1"/>
  <c r="I770" i="1"/>
  <c r="E770" i="1"/>
  <c r="D770" i="1"/>
  <c r="C770" i="1"/>
  <c r="B770" i="1"/>
  <c r="A770" i="1"/>
  <c r="J769" i="1"/>
  <c r="K769" i="1" s="1"/>
  <c r="I769" i="1"/>
  <c r="E769" i="1"/>
  <c r="D769" i="1"/>
  <c r="C769" i="1"/>
  <c r="B769" i="1"/>
  <c r="A769" i="1"/>
  <c r="J768" i="1"/>
  <c r="K768" i="1" s="1"/>
  <c r="I768" i="1"/>
  <c r="E768" i="1"/>
  <c r="D768" i="1"/>
  <c r="C768" i="1"/>
  <c r="B768" i="1"/>
  <c r="A768" i="1"/>
  <c r="J767" i="1"/>
  <c r="K767" i="1" s="1"/>
  <c r="I767" i="1"/>
  <c r="E767" i="1"/>
  <c r="D767" i="1"/>
  <c r="C767" i="1"/>
  <c r="B767" i="1"/>
  <c r="A767" i="1"/>
  <c r="J766" i="1"/>
  <c r="K766" i="1" s="1"/>
  <c r="I766" i="1"/>
  <c r="E766" i="1"/>
  <c r="D766" i="1"/>
  <c r="C766" i="1"/>
  <c r="B766" i="1"/>
  <c r="A766" i="1"/>
  <c r="J765" i="1"/>
  <c r="K765" i="1" s="1"/>
  <c r="I765" i="1"/>
  <c r="E765" i="1"/>
  <c r="D765" i="1"/>
  <c r="C765" i="1"/>
  <c r="B765" i="1"/>
  <c r="A765" i="1"/>
  <c r="J764" i="1"/>
  <c r="K764" i="1" s="1"/>
  <c r="I764" i="1"/>
  <c r="E764" i="1"/>
  <c r="D764" i="1"/>
  <c r="C764" i="1"/>
  <c r="B764" i="1"/>
  <c r="A764" i="1"/>
  <c r="J763" i="1"/>
  <c r="K763" i="1" s="1"/>
  <c r="L814" i="1" s="1"/>
  <c r="I763" i="1"/>
  <c r="E763" i="1"/>
  <c r="D763" i="1"/>
  <c r="C763" i="1"/>
  <c r="B763" i="1"/>
  <c r="A763" i="1"/>
  <c r="K762" i="1"/>
  <c r="J762" i="1"/>
  <c r="I762" i="1"/>
  <c r="E762" i="1"/>
  <c r="D762" i="1"/>
  <c r="C762" i="1"/>
  <c r="B762" i="1"/>
  <c r="A762" i="1"/>
  <c r="J761" i="1"/>
  <c r="K761" i="1" s="1"/>
  <c r="I761" i="1"/>
  <c r="E761" i="1"/>
  <c r="D761" i="1"/>
  <c r="C761" i="1"/>
  <c r="B761" i="1"/>
  <c r="A761" i="1"/>
  <c r="J760" i="1"/>
  <c r="K760" i="1" s="1"/>
  <c r="I760" i="1"/>
  <c r="E760" i="1"/>
  <c r="D760" i="1"/>
  <c r="C760" i="1"/>
  <c r="B760" i="1"/>
  <c r="A760" i="1"/>
  <c r="J759" i="1"/>
  <c r="K759" i="1" s="1"/>
  <c r="I759" i="1"/>
  <c r="E759" i="1"/>
  <c r="D759" i="1"/>
  <c r="C759" i="1"/>
  <c r="B759" i="1"/>
  <c r="A759" i="1"/>
  <c r="J758" i="1"/>
  <c r="K758" i="1" s="1"/>
  <c r="I758" i="1"/>
  <c r="E758" i="1"/>
  <c r="D758" i="1"/>
  <c r="C758" i="1"/>
  <c r="B758" i="1"/>
  <c r="A758" i="1"/>
  <c r="J757" i="1"/>
  <c r="K757" i="1" s="1"/>
  <c r="I757" i="1"/>
  <c r="E757" i="1"/>
  <c r="D757" i="1"/>
  <c r="C757" i="1"/>
  <c r="B757" i="1"/>
  <c r="A757" i="1"/>
  <c r="J756" i="1"/>
  <c r="K756" i="1" s="1"/>
  <c r="I756" i="1"/>
  <c r="E756" i="1"/>
  <c r="D756" i="1"/>
  <c r="C756" i="1"/>
  <c r="B756" i="1"/>
  <c r="A756" i="1"/>
  <c r="J755" i="1"/>
  <c r="K755" i="1" s="1"/>
  <c r="I755" i="1"/>
  <c r="E755" i="1"/>
  <c r="D755" i="1"/>
  <c r="C755" i="1"/>
  <c r="B755" i="1"/>
  <c r="A755" i="1"/>
  <c r="J754" i="1"/>
  <c r="K754" i="1" s="1"/>
  <c r="I754" i="1"/>
  <c r="E754" i="1"/>
  <c r="D754" i="1"/>
  <c r="C754" i="1"/>
  <c r="B754" i="1"/>
  <c r="A754" i="1"/>
  <c r="J753" i="1"/>
  <c r="K753" i="1" s="1"/>
  <c r="I753" i="1"/>
  <c r="E753" i="1"/>
  <c r="D753" i="1"/>
  <c r="C753" i="1"/>
  <c r="B753" i="1"/>
  <c r="A753" i="1"/>
  <c r="J752" i="1"/>
  <c r="K752" i="1" s="1"/>
  <c r="I752" i="1"/>
  <c r="E752" i="1"/>
  <c r="D752" i="1"/>
  <c r="C752" i="1"/>
  <c r="B752" i="1"/>
  <c r="A752" i="1"/>
  <c r="J751" i="1"/>
  <c r="K751" i="1" s="1"/>
  <c r="L762" i="1" s="1"/>
  <c r="I751" i="1"/>
  <c r="E751" i="1"/>
  <c r="D751" i="1"/>
  <c r="C751" i="1"/>
  <c r="B751" i="1"/>
  <c r="A751" i="1"/>
  <c r="J750" i="1"/>
  <c r="K750" i="1" s="1"/>
  <c r="I750" i="1"/>
  <c r="E750" i="1"/>
  <c r="D750" i="1"/>
  <c r="C750" i="1"/>
  <c r="B750" i="1"/>
  <c r="A750" i="1"/>
  <c r="J749" i="1"/>
  <c r="K749" i="1" s="1"/>
  <c r="I749" i="1"/>
  <c r="E749" i="1"/>
  <c r="D749" i="1"/>
  <c r="C749" i="1"/>
  <c r="B749" i="1"/>
  <c r="A749" i="1"/>
  <c r="J748" i="1"/>
  <c r="K748" i="1" s="1"/>
  <c r="I748" i="1"/>
  <c r="E748" i="1"/>
  <c r="D748" i="1"/>
  <c r="C748" i="1"/>
  <c r="B748" i="1"/>
  <c r="A748" i="1"/>
  <c r="J747" i="1"/>
  <c r="K747" i="1" s="1"/>
  <c r="I747" i="1"/>
  <c r="E747" i="1"/>
  <c r="D747" i="1"/>
  <c r="C747" i="1"/>
  <c r="B747" i="1"/>
  <c r="A747" i="1"/>
  <c r="J746" i="1"/>
  <c r="K746" i="1" s="1"/>
  <c r="L750" i="1" s="1"/>
  <c r="I746" i="1"/>
  <c r="E746" i="1"/>
  <c r="D746" i="1"/>
  <c r="C746" i="1"/>
  <c r="B746" i="1"/>
  <c r="A746" i="1"/>
  <c r="J745" i="1"/>
  <c r="K745" i="1" s="1"/>
  <c r="I745" i="1"/>
  <c r="E745" i="1"/>
  <c r="D745" i="1"/>
  <c r="C745" i="1"/>
  <c r="B745" i="1"/>
  <c r="A745" i="1"/>
  <c r="J744" i="1"/>
  <c r="K744" i="1" s="1"/>
  <c r="L745" i="1" s="1"/>
  <c r="I744" i="1"/>
  <c r="E744" i="1"/>
  <c r="D744" i="1"/>
  <c r="C744" i="1"/>
  <c r="B744" i="1"/>
  <c r="A744" i="1"/>
  <c r="J743" i="1"/>
  <c r="K743" i="1" s="1"/>
  <c r="I743" i="1"/>
  <c r="E743" i="1"/>
  <c r="D743" i="1"/>
  <c r="C743" i="1"/>
  <c r="B743" i="1"/>
  <c r="A743" i="1"/>
  <c r="J742" i="1"/>
  <c r="K742" i="1" s="1"/>
  <c r="I742" i="1"/>
  <c r="E742" i="1"/>
  <c r="D742" i="1"/>
  <c r="C742" i="1"/>
  <c r="B742" i="1"/>
  <c r="A742" i="1"/>
  <c r="J741" i="1"/>
  <c r="K741" i="1" s="1"/>
  <c r="I741" i="1"/>
  <c r="E741" i="1"/>
  <c r="D741" i="1"/>
  <c r="C741" i="1"/>
  <c r="B741" i="1"/>
  <c r="A741" i="1"/>
  <c r="K740" i="1"/>
  <c r="J740" i="1"/>
  <c r="I740" i="1"/>
  <c r="E740" i="1"/>
  <c r="D740" i="1"/>
  <c r="C740" i="1"/>
  <c r="B740" i="1"/>
  <c r="A740" i="1"/>
  <c r="J739" i="1"/>
  <c r="K739" i="1" s="1"/>
  <c r="I739" i="1"/>
  <c r="E739" i="1"/>
  <c r="D739" i="1"/>
  <c r="C739" i="1"/>
  <c r="B739" i="1"/>
  <c r="A739" i="1"/>
  <c r="J738" i="1"/>
  <c r="K738" i="1" s="1"/>
  <c r="I738" i="1"/>
  <c r="E738" i="1"/>
  <c r="D738" i="1"/>
  <c r="C738" i="1"/>
  <c r="B738" i="1"/>
  <c r="A738" i="1"/>
  <c r="J737" i="1"/>
  <c r="K737" i="1" s="1"/>
  <c r="I737" i="1"/>
  <c r="E737" i="1"/>
  <c r="D737" i="1"/>
  <c r="C737" i="1"/>
  <c r="B737" i="1"/>
  <c r="A737" i="1"/>
  <c r="J736" i="1"/>
  <c r="K736" i="1" s="1"/>
  <c r="I736" i="1"/>
  <c r="E736" i="1"/>
  <c r="D736" i="1"/>
  <c r="C736" i="1"/>
  <c r="B736" i="1"/>
  <c r="A736" i="1"/>
  <c r="J735" i="1"/>
  <c r="K735" i="1" s="1"/>
  <c r="I735" i="1"/>
  <c r="E735" i="1"/>
  <c r="D735" i="1"/>
  <c r="C735" i="1"/>
  <c r="B735" i="1"/>
  <c r="A735" i="1"/>
  <c r="J734" i="1"/>
  <c r="K734" i="1" s="1"/>
  <c r="I734" i="1"/>
  <c r="E734" i="1"/>
  <c r="D734" i="1"/>
  <c r="C734" i="1"/>
  <c r="B734" i="1"/>
  <c r="A734" i="1"/>
  <c r="J733" i="1"/>
  <c r="K733" i="1" s="1"/>
  <c r="I733" i="1"/>
  <c r="E733" i="1"/>
  <c r="D733" i="1"/>
  <c r="C733" i="1"/>
  <c r="B733" i="1"/>
  <c r="A733" i="1"/>
  <c r="J732" i="1"/>
  <c r="K732" i="1" s="1"/>
  <c r="I732" i="1"/>
  <c r="E732" i="1"/>
  <c r="D732" i="1"/>
  <c r="C732" i="1"/>
  <c r="B732" i="1"/>
  <c r="A732" i="1"/>
  <c r="J731" i="1"/>
  <c r="K731" i="1" s="1"/>
  <c r="I731" i="1"/>
  <c r="E731" i="1"/>
  <c r="D731" i="1"/>
  <c r="C731" i="1"/>
  <c r="B731" i="1"/>
  <c r="A731" i="1"/>
  <c r="J730" i="1"/>
  <c r="K730" i="1" s="1"/>
  <c r="I730" i="1"/>
  <c r="E730" i="1"/>
  <c r="D730" i="1"/>
  <c r="C730" i="1"/>
  <c r="B730" i="1"/>
  <c r="A730" i="1"/>
  <c r="J729" i="1"/>
  <c r="K729" i="1" s="1"/>
  <c r="I729" i="1"/>
  <c r="E729" i="1"/>
  <c r="D729" i="1"/>
  <c r="C729" i="1"/>
  <c r="B729" i="1"/>
  <c r="A729" i="1"/>
  <c r="J728" i="1"/>
  <c r="K728" i="1" s="1"/>
  <c r="I728" i="1"/>
  <c r="E728" i="1"/>
  <c r="D728" i="1"/>
  <c r="C728" i="1"/>
  <c r="B728" i="1"/>
  <c r="A728" i="1"/>
  <c r="J727" i="1"/>
  <c r="K727" i="1" s="1"/>
  <c r="I727" i="1"/>
  <c r="E727" i="1"/>
  <c r="D727" i="1"/>
  <c r="C727" i="1"/>
  <c r="B727" i="1"/>
  <c r="A727" i="1"/>
  <c r="J726" i="1"/>
  <c r="K726" i="1" s="1"/>
  <c r="I726" i="1"/>
  <c r="E726" i="1"/>
  <c r="D726" i="1"/>
  <c r="C726" i="1"/>
  <c r="B726" i="1"/>
  <c r="A726" i="1"/>
  <c r="J725" i="1"/>
  <c r="K725" i="1" s="1"/>
  <c r="I725" i="1"/>
  <c r="E725" i="1"/>
  <c r="D725" i="1"/>
  <c r="C725" i="1"/>
  <c r="B725" i="1"/>
  <c r="A725" i="1"/>
  <c r="J724" i="1"/>
  <c r="K724" i="1" s="1"/>
  <c r="I724" i="1"/>
  <c r="E724" i="1"/>
  <c r="D724" i="1"/>
  <c r="C724" i="1"/>
  <c r="B724" i="1"/>
  <c r="A724" i="1"/>
  <c r="J723" i="1"/>
  <c r="K723" i="1" s="1"/>
  <c r="I723" i="1"/>
  <c r="E723" i="1"/>
  <c r="D723" i="1"/>
  <c r="C723" i="1"/>
  <c r="B723" i="1"/>
  <c r="A723" i="1"/>
  <c r="J722" i="1"/>
  <c r="K722" i="1" s="1"/>
  <c r="I722" i="1"/>
  <c r="E722" i="1"/>
  <c r="D722" i="1"/>
  <c r="C722" i="1"/>
  <c r="B722" i="1"/>
  <c r="A722" i="1"/>
  <c r="J721" i="1"/>
  <c r="K721" i="1" s="1"/>
  <c r="I721" i="1"/>
  <c r="E721" i="1"/>
  <c r="D721" i="1"/>
  <c r="C721" i="1"/>
  <c r="B721" i="1"/>
  <c r="A721" i="1"/>
  <c r="J720" i="1"/>
  <c r="K720" i="1" s="1"/>
  <c r="I720" i="1"/>
  <c r="E720" i="1"/>
  <c r="D720" i="1"/>
  <c r="C720" i="1"/>
  <c r="B720" i="1"/>
  <c r="A720" i="1"/>
  <c r="J719" i="1"/>
  <c r="K719" i="1" s="1"/>
  <c r="I719" i="1"/>
  <c r="E719" i="1"/>
  <c r="D719" i="1"/>
  <c r="C719" i="1"/>
  <c r="B719" i="1"/>
  <c r="A719" i="1"/>
  <c r="J718" i="1"/>
  <c r="K718" i="1" s="1"/>
  <c r="I718" i="1"/>
  <c r="E718" i="1"/>
  <c r="D718" i="1"/>
  <c r="C718" i="1"/>
  <c r="B718" i="1"/>
  <c r="A718" i="1"/>
  <c r="J717" i="1"/>
  <c r="K717" i="1" s="1"/>
  <c r="I717" i="1"/>
  <c r="E717" i="1"/>
  <c r="D717" i="1"/>
  <c r="C717" i="1"/>
  <c r="B717" i="1"/>
  <c r="A717" i="1"/>
  <c r="J716" i="1"/>
  <c r="K716" i="1" s="1"/>
  <c r="I716" i="1"/>
  <c r="E716" i="1"/>
  <c r="D716" i="1"/>
  <c r="C716" i="1"/>
  <c r="B716" i="1"/>
  <c r="A716" i="1"/>
  <c r="J715" i="1"/>
  <c r="K715" i="1" s="1"/>
  <c r="I715" i="1"/>
  <c r="E715" i="1"/>
  <c r="D715" i="1"/>
  <c r="C715" i="1"/>
  <c r="B715" i="1"/>
  <c r="A715" i="1"/>
  <c r="J714" i="1"/>
  <c r="K714" i="1" s="1"/>
  <c r="I714" i="1"/>
  <c r="E714" i="1"/>
  <c r="D714" i="1"/>
  <c r="C714" i="1"/>
  <c r="B714" i="1"/>
  <c r="A714" i="1"/>
  <c r="J713" i="1"/>
  <c r="K713" i="1" s="1"/>
  <c r="I713" i="1"/>
  <c r="E713" i="1"/>
  <c r="D713" i="1"/>
  <c r="C713" i="1"/>
  <c r="B713" i="1"/>
  <c r="A713" i="1"/>
  <c r="J712" i="1"/>
  <c r="K712" i="1" s="1"/>
  <c r="I712" i="1"/>
  <c r="E712" i="1"/>
  <c r="D712" i="1"/>
  <c r="C712" i="1"/>
  <c r="B712" i="1"/>
  <c r="A712" i="1"/>
  <c r="J711" i="1"/>
  <c r="K711" i="1" s="1"/>
  <c r="I711" i="1"/>
  <c r="E711" i="1"/>
  <c r="D711" i="1"/>
  <c r="C711" i="1"/>
  <c r="B711" i="1"/>
  <c r="A711" i="1"/>
  <c r="J710" i="1"/>
  <c r="K710" i="1" s="1"/>
  <c r="I710" i="1"/>
  <c r="E710" i="1"/>
  <c r="D710" i="1"/>
  <c r="C710" i="1"/>
  <c r="B710" i="1"/>
  <c r="A710" i="1"/>
  <c r="J709" i="1"/>
  <c r="K709" i="1" s="1"/>
  <c r="I709" i="1"/>
  <c r="E709" i="1"/>
  <c r="D709" i="1"/>
  <c r="C709" i="1"/>
  <c r="B709" i="1"/>
  <c r="A709" i="1"/>
  <c r="J708" i="1"/>
  <c r="K708" i="1" s="1"/>
  <c r="I708" i="1"/>
  <c r="E708" i="1"/>
  <c r="D708" i="1"/>
  <c r="C708" i="1"/>
  <c r="B708" i="1"/>
  <c r="A708" i="1"/>
  <c r="J707" i="1"/>
  <c r="K707" i="1" s="1"/>
  <c r="I707" i="1"/>
  <c r="E707" i="1"/>
  <c r="D707" i="1"/>
  <c r="C707" i="1"/>
  <c r="B707" i="1"/>
  <c r="A707" i="1"/>
  <c r="J706" i="1"/>
  <c r="K706" i="1" s="1"/>
  <c r="I706" i="1"/>
  <c r="E706" i="1"/>
  <c r="D706" i="1"/>
  <c r="C706" i="1"/>
  <c r="B706" i="1"/>
  <c r="A706" i="1"/>
  <c r="J705" i="1"/>
  <c r="K705" i="1" s="1"/>
  <c r="I705" i="1"/>
  <c r="E705" i="1"/>
  <c r="D705" i="1"/>
  <c r="C705" i="1"/>
  <c r="B705" i="1"/>
  <c r="A705" i="1"/>
  <c r="J704" i="1"/>
  <c r="K704" i="1" s="1"/>
  <c r="I704" i="1"/>
  <c r="E704" i="1"/>
  <c r="D704" i="1"/>
  <c r="C704" i="1"/>
  <c r="B704" i="1"/>
  <c r="A704" i="1"/>
  <c r="J703" i="1"/>
  <c r="K703" i="1" s="1"/>
  <c r="I703" i="1"/>
  <c r="E703" i="1"/>
  <c r="D703" i="1"/>
  <c r="C703" i="1"/>
  <c r="B703" i="1"/>
  <c r="A703" i="1"/>
  <c r="J702" i="1"/>
  <c r="K702" i="1" s="1"/>
  <c r="I702" i="1"/>
  <c r="E702" i="1"/>
  <c r="D702" i="1"/>
  <c r="C702" i="1"/>
  <c r="B702" i="1"/>
  <c r="A702" i="1"/>
  <c r="J701" i="1"/>
  <c r="K701" i="1" s="1"/>
  <c r="I701" i="1"/>
  <c r="E701" i="1"/>
  <c r="D701" i="1"/>
  <c r="C701" i="1"/>
  <c r="B701" i="1"/>
  <c r="A701" i="1"/>
  <c r="J700" i="1"/>
  <c r="K700" i="1" s="1"/>
  <c r="I700" i="1"/>
  <c r="E700" i="1"/>
  <c r="D700" i="1"/>
  <c r="C700" i="1"/>
  <c r="B700" i="1"/>
  <c r="A700" i="1"/>
  <c r="J699" i="1"/>
  <c r="K699" i="1" s="1"/>
  <c r="I699" i="1"/>
  <c r="E699" i="1"/>
  <c r="D699" i="1"/>
  <c r="C699" i="1"/>
  <c r="B699" i="1"/>
  <c r="A699" i="1"/>
  <c r="J698" i="1"/>
  <c r="K698" i="1" s="1"/>
  <c r="I698" i="1"/>
  <c r="E698" i="1"/>
  <c r="D698" i="1"/>
  <c r="C698" i="1"/>
  <c r="B698" i="1"/>
  <c r="A698" i="1"/>
  <c r="J697" i="1"/>
  <c r="K697" i="1" s="1"/>
  <c r="I697" i="1"/>
  <c r="E697" i="1"/>
  <c r="D697" i="1"/>
  <c r="C697" i="1"/>
  <c r="B697" i="1"/>
  <c r="A697" i="1"/>
  <c r="J696" i="1"/>
  <c r="K696" i="1" s="1"/>
  <c r="I696" i="1"/>
  <c r="E696" i="1"/>
  <c r="D696" i="1"/>
  <c r="C696" i="1"/>
  <c r="B696" i="1"/>
  <c r="A696" i="1"/>
  <c r="J695" i="1"/>
  <c r="K695" i="1" s="1"/>
  <c r="I695" i="1"/>
  <c r="E695" i="1"/>
  <c r="D695" i="1"/>
  <c r="C695" i="1"/>
  <c r="B695" i="1"/>
  <c r="A695" i="1"/>
  <c r="J694" i="1"/>
  <c r="K694" i="1" s="1"/>
  <c r="I694" i="1"/>
  <c r="E694" i="1"/>
  <c r="D694" i="1"/>
  <c r="C694" i="1"/>
  <c r="B694" i="1"/>
  <c r="A694" i="1"/>
  <c r="J693" i="1"/>
  <c r="K693" i="1" s="1"/>
  <c r="I693" i="1"/>
  <c r="E693" i="1"/>
  <c r="D693" i="1"/>
  <c r="C693" i="1"/>
  <c r="B693" i="1"/>
  <c r="A693" i="1"/>
  <c r="J692" i="1"/>
  <c r="K692" i="1" s="1"/>
  <c r="I692" i="1"/>
  <c r="E692" i="1"/>
  <c r="D692" i="1"/>
  <c r="C692" i="1"/>
  <c r="B692" i="1"/>
  <c r="A692" i="1"/>
  <c r="J691" i="1"/>
  <c r="K691" i="1" s="1"/>
  <c r="I691" i="1"/>
  <c r="E691" i="1"/>
  <c r="D691" i="1"/>
  <c r="C691" i="1"/>
  <c r="B691" i="1"/>
  <c r="A691" i="1"/>
  <c r="J690" i="1"/>
  <c r="K690" i="1" s="1"/>
  <c r="I690" i="1"/>
  <c r="E690" i="1"/>
  <c r="D690" i="1"/>
  <c r="C690" i="1"/>
  <c r="B690" i="1"/>
  <c r="A690" i="1"/>
  <c r="J689" i="1"/>
  <c r="I689" i="1"/>
  <c r="K689" i="1" s="1"/>
  <c r="E689" i="1"/>
  <c r="D689" i="1"/>
  <c r="C689" i="1"/>
  <c r="B689" i="1"/>
  <c r="A689" i="1"/>
  <c r="J688" i="1"/>
  <c r="K688" i="1" s="1"/>
  <c r="I688" i="1"/>
  <c r="E688" i="1"/>
  <c r="D688" i="1"/>
  <c r="C688" i="1"/>
  <c r="B688" i="1"/>
  <c r="A688" i="1"/>
  <c r="J687" i="1"/>
  <c r="K687" i="1" s="1"/>
  <c r="I687" i="1"/>
  <c r="E687" i="1"/>
  <c r="D687" i="1"/>
  <c r="C687" i="1"/>
  <c r="B687" i="1"/>
  <c r="A687" i="1"/>
  <c r="J686" i="1"/>
  <c r="K686" i="1" s="1"/>
  <c r="I686" i="1"/>
  <c r="E686" i="1"/>
  <c r="D686" i="1"/>
  <c r="C686" i="1"/>
  <c r="B686" i="1"/>
  <c r="A686" i="1"/>
  <c r="J685" i="1"/>
  <c r="K685" i="1" s="1"/>
  <c r="I685" i="1"/>
  <c r="E685" i="1"/>
  <c r="D685" i="1"/>
  <c r="C685" i="1"/>
  <c r="B685" i="1"/>
  <c r="A685" i="1"/>
  <c r="J684" i="1"/>
  <c r="K684" i="1" s="1"/>
  <c r="I684" i="1"/>
  <c r="E684" i="1"/>
  <c r="D684" i="1"/>
  <c r="C684" i="1"/>
  <c r="B684" i="1"/>
  <c r="A684" i="1"/>
  <c r="K683" i="1"/>
  <c r="J683" i="1"/>
  <c r="I683" i="1"/>
  <c r="E683" i="1"/>
  <c r="D683" i="1"/>
  <c r="C683" i="1"/>
  <c r="B683" i="1"/>
  <c r="A683" i="1"/>
  <c r="J682" i="1"/>
  <c r="K682" i="1" s="1"/>
  <c r="I682" i="1"/>
  <c r="E682" i="1"/>
  <c r="D682" i="1"/>
  <c r="C682" i="1"/>
  <c r="B682" i="1"/>
  <c r="A682" i="1"/>
  <c r="J681" i="1"/>
  <c r="K681" i="1" s="1"/>
  <c r="I681" i="1"/>
  <c r="E681" i="1"/>
  <c r="D681" i="1"/>
  <c r="C681" i="1"/>
  <c r="B681" i="1"/>
  <c r="A681" i="1"/>
  <c r="J680" i="1"/>
  <c r="K680" i="1" s="1"/>
  <c r="I680" i="1"/>
  <c r="E680" i="1"/>
  <c r="D680" i="1"/>
  <c r="C680" i="1"/>
  <c r="B680" i="1"/>
  <c r="A680" i="1"/>
  <c r="J679" i="1"/>
  <c r="K679" i="1" s="1"/>
  <c r="I679" i="1"/>
  <c r="E679" i="1"/>
  <c r="D679" i="1"/>
  <c r="C679" i="1"/>
  <c r="B679" i="1"/>
  <c r="A679" i="1"/>
  <c r="J678" i="1"/>
  <c r="K678" i="1" s="1"/>
  <c r="I678" i="1"/>
  <c r="E678" i="1"/>
  <c r="D678" i="1"/>
  <c r="C678" i="1"/>
  <c r="B678" i="1"/>
  <c r="A678" i="1"/>
  <c r="J677" i="1"/>
  <c r="K677" i="1" s="1"/>
  <c r="I677" i="1"/>
  <c r="E677" i="1"/>
  <c r="D677" i="1"/>
  <c r="C677" i="1"/>
  <c r="B677" i="1"/>
  <c r="A677" i="1"/>
  <c r="J676" i="1"/>
  <c r="K676" i="1" s="1"/>
  <c r="I676" i="1"/>
  <c r="E676" i="1"/>
  <c r="D676" i="1"/>
  <c r="C676" i="1"/>
  <c r="B676" i="1"/>
  <c r="A676" i="1"/>
  <c r="J675" i="1"/>
  <c r="K675" i="1" s="1"/>
  <c r="I675" i="1"/>
  <c r="E675" i="1"/>
  <c r="D675" i="1"/>
  <c r="C675" i="1"/>
  <c r="B675" i="1"/>
  <c r="A675" i="1"/>
  <c r="J674" i="1"/>
  <c r="K674" i="1" s="1"/>
  <c r="I674" i="1"/>
  <c r="E674" i="1"/>
  <c r="D674" i="1"/>
  <c r="C674" i="1"/>
  <c r="B674" i="1"/>
  <c r="A674" i="1"/>
  <c r="J673" i="1"/>
  <c r="K673" i="1" s="1"/>
  <c r="I673" i="1"/>
  <c r="E673" i="1"/>
  <c r="D673" i="1"/>
  <c r="C673" i="1"/>
  <c r="B673" i="1"/>
  <c r="A673" i="1"/>
  <c r="J672" i="1"/>
  <c r="K672" i="1" s="1"/>
  <c r="I672" i="1"/>
  <c r="E672" i="1"/>
  <c r="D672" i="1"/>
  <c r="C672" i="1"/>
  <c r="B672" i="1"/>
  <c r="A672" i="1"/>
  <c r="J671" i="1"/>
  <c r="K671" i="1" s="1"/>
  <c r="I671" i="1"/>
  <c r="E671" i="1"/>
  <c r="D671" i="1"/>
  <c r="C671" i="1"/>
  <c r="B671" i="1"/>
  <c r="A671" i="1"/>
  <c r="J670" i="1"/>
  <c r="K670" i="1" s="1"/>
  <c r="I670" i="1"/>
  <c r="E670" i="1"/>
  <c r="D670" i="1"/>
  <c r="C670" i="1"/>
  <c r="B670" i="1"/>
  <c r="A670" i="1"/>
  <c r="J669" i="1"/>
  <c r="K669" i="1" s="1"/>
  <c r="I669" i="1"/>
  <c r="E669" i="1"/>
  <c r="D669" i="1"/>
  <c r="C669" i="1"/>
  <c r="B669" i="1"/>
  <c r="A669" i="1"/>
  <c r="J668" i="1"/>
  <c r="K668" i="1" s="1"/>
  <c r="I668" i="1"/>
  <c r="E668" i="1"/>
  <c r="D668" i="1"/>
  <c r="C668" i="1"/>
  <c r="B668" i="1"/>
  <c r="A668" i="1"/>
  <c r="J667" i="1"/>
  <c r="K667" i="1" s="1"/>
  <c r="I667" i="1"/>
  <c r="E667" i="1"/>
  <c r="D667" i="1"/>
  <c r="C667" i="1"/>
  <c r="B667" i="1"/>
  <c r="A667" i="1"/>
  <c r="J666" i="1"/>
  <c r="K666" i="1" s="1"/>
  <c r="I666" i="1"/>
  <c r="E666" i="1"/>
  <c r="D666" i="1"/>
  <c r="C666" i="1"/>
  <c r="B666" i="1"/>
  <c r="A666" i="1"/>
  <c r="J665" i="1"/>
  <c r="K665" i="1" s="1"/>
  <c r="I665" i="1"/>
  <c r="E665" i="1"/>
  <c r="D665" i="1"/>
  <c r="C665" i="1"/>
  <c r="B665" i="1"/>
  <c r="A665" i="1"/>
  <c r="J664" i="1"/>
  <c r="K664" i="1" s="1"/>
  <c r="I664" i="1"/>
  <c r="E664" i="1"/>
  <c r="D664" i="1"/>
  <c r="C664" i="1"/>
  <c r="B664" i="1"/>
  <c r="A664" i="1"/>
  <c r="J663" i="1"/>
  <c r="K663" i="1" s="1"/>
  <c r="I663" i="1"/>
  <c r="E663" i="1"/>
  <c r="D663" i="1"/>
  <c r="C663" i="1"/>
  <c r="B663" i="1"/>
  <c r="A663" i="1"/>
  <c r="J662" i="1"/>
  <c r="K662" i="1" s="1"/>
  <c r="I662" i="1"/>
  <c r="E662" i="1"/>
  <c r="D662" i="1"/>
  <c r="C662" i="1"/>
  <c r="B662" i="1"/>
  <c r="A662" i="1"/>
  <c r="K661" i="1"/>
  <c r="J661" i="1"/>
  <c r="I661" i="1"/>
  <c r="E661" i="1"/>
  <c r="D661" i="1"/>
  <c r="C661" i="1"/>
  <c r="B661" i="1"/>
  <c r="A661" i="1"/>
  <c r="J660" i="1"/>
  <c r="K660" i="1" s="1"/>
  <c r="I660" i="1"/>
  <c r="E660" i="1"/>
  <c r="D660" i="1"/>
  <c r="C660" i="1"/>
  <c r="B660" i="1"/>
  <c r="A660" i="1"/>
  <c r="J659" i="1"/>
  <c r="K659" i="1" s="1"/>
  <c r="I659" i="1"/>
  <c r="E659" i="1"/>
  <c r="D659" i="1"/>
  <c r="C659" i="1"/>
  <c r="B659" i="1"/>
  <c r="A659" i="1"/>
  <c r="J658" i="1"/>
  <c r="K658" i="1" s="1"/>
  <c r="I658" i="1"/>
  <c r="E658" i="1"/>
  <c r="D658" i="1"/>
  <c r="C658" i="1"/>
  <c r="B658" i="1"/>
  <c r="A658" i="1"/>
  <c r="J657" i="1"/>
  <c r="K657" i="1" s="1"/>
  <c r="I657" i="1"/>
  <c r="E657" i="1"/>
  <c r="D657" i="1"/>
  <c r="C657" i="1"/>
  <c r="B657" i="1"/>
  <c r="A657" i="1"/>
  <c r="K656" i="1"/>
  <c r="J656" i="1"/>
  <c r="I656" i="1"/>
  <c r="E656" i="1"/>
  <c r="D656" i="1"/>
  <c r="C656" i="1"/>
  <c r="B656" i="1"/>
  <c r="A656" i="1"/>
  <c r="J655" i="1"/>
  <c r="K655" i="1" s="1"/>
  <c r="I655" i="1"/>
  <c r="E655" i="1"/>
  <c r="D655" i="1"/>
  <c r="C655" i="1"/>
  <c r="B655" i="1"/>
  <c r="A655" i="1"/>
  <c r="J654" i="1"/>
  <c r="K654" i="1" s="1"/>
  <c r="I654" i="1"/>
  <c r="E654" i="1"/>
  <c r="D654" i="1"/>
  <c r="C654" i="1"/>
  <c r="B654" i="1"/>
  <c r="A654" i="1"/>
  <c r="J653" i="1"/>
  <c r="K653" i="1" s="1"/>
  <c r="I653" i="1"/>
  <c r="E653" i="1"/>
  <c r="D653" i="1"/>
  <c r="C653" i="1"/>
  <c r="B653" i="1"/>
  <c r="A653" i="1"/>
  <c r="J652" i="1"/>
  <c r="K652" i="1" s="1"/>
  <c r="I652" i="1"/>
  <c r="E652" i="1"/>
  <c r="D652" i="1"/>
  <c r="C652" i="1"/>
  <c r="B652" i="1"/>
  <c r="A652" i="1"/>
  <c r="J651" i="1"/>
  <c r="K651" i="1" s="1"/>
  <c r="I651" i="1"/>
  <c r="E651" i="1"/>
  <c r="D651" i="1"/>
  <c r="C651" i="1"/>
  <c r="B651" i="1"/>
  <c r="A651" i="1"/>
  <c r="J650" i="1"/>
  <c r="K650" i="1" s="1"/>
  <c r="I650" i="1"/>
  <c r="E650" i="1"/>
  <c r="D650" i="1"/>
  <c r="C650" i="1"/>
  <c r="B650" i="1"/>
  <c r="A650" i="1"/>
  <c r="J649" i="1"/>
  <c r="K649" i="1" s="1"/>
  <c r="I649" i="1"/>
  <c r="E649" i="1"/>
  <c r="D649" i="1"/>
  <c r="C649" i="1"/>
  <c r="B649" i="1"/>
  <c r="A649" i="1"/>
  <c r="J648" i="1"/>
  <c r="K648" i="1" s="1"/>
  <c r="I648" i="1"/>
  <c r="E648" i="1"/>
  <c r="D648" i="1"/>
  <c r="C648" i="1"/>
  <c r="B648" i="1"/>
  <c r="A648" i="1"/>
  <c r="J647" i="1"/>
  <c r="K647" i="1" s="1"/>
  <c r="I647" i="1"/>
  <c r="E647" i="1"/>
  <c r="D647" i="1"/>
  <c r="C647" i="1"/>
  <c r="B647" i="1"/>
  <c r="A647" i="1"/>
  <c r="K646" i="1"/>
  <c r="J646" i="1"/>
  <c r="I646" i="1"/>
  <c r="E646" i="1"/>
  <c r="D646" i="1"/>
  <c r="C646" i="1"/>
  <c r="B646" i="1"/>
  <c r="A646" i="1"/>
  <c r="J645" i="1"/>
  <c r="K645" i="1" s="1"/>
  <c r="I645" i="1"/>
  <c r="E645" i="1"/>
  <c r="D645" i="1"/>
  <c r="C645" i="1"/>
  <c r="B645" i="1"/>
  <c r="A645" i="1"/>
  <c r="J644" i="1"/>
  <c r="K644" i="1" s="1"/>
  <c r="I644" i="1"/>
  <c r="E644" i="1"/>
  <c r="D644" i="1"/>
  <c r="C644" i="1"/>
  <c r="B644" i="1"/>
  <c r="A644" i="1"/>
  <c r="K643" i="1"/>
  <c r="J643" i="1"/>
  <c r="I643" i="1"/>
  <c r="E643" i="1"/>
  <c r="D643" i="1"/>
  <c r="C643" i="1"/>
  <c r="B643" i="1"/>
  <c r="A643" i="1"/>
  <c r="J642" i="1"/>
  <c r="I642" i="1"/>
  <c r="K642" i="1" s="1"/>
  <c r="E642" i="1"/>
  <c r="D642" i="1"/>
  <c r="C642" i="1"/>
  <c r="B642" i="1"/>
  <c r="A642" i="1"/>
  <c r="J641" i="1"/>
  <c r="K641" i="1" s="1"/>
  <c r="I641" i="1"/>
  <c r="E641" i="1"/>
  <c r="D641" i="1"/>
  <c r="C641" i="1"/>
  <c r="B641" i="1"/>
  <c r="A641" i="1"/>
  <c r="J640" i="1"/>
  <c r="K640" i="1" s="1"/>
  <c r="I640" i="1"/>
  <c r="E640" i="1"/>
  <c r="D640" i="1"/>
  <c r="C640" i="1"/>
  <c r="B640" i="1"/>
  <c r="A640" i="1"/>
  <c r="J639" i="1"/>
  <c r="K639" i="1" s="1"/>
  <c r="I639" i="1"/>
  <c r="E639" i="1"/>
  <c r="D639" i="1"/>
  <c r="C639" i="1"/>
  <c r="B639" i="1"/>
  <c r="A639" i="1"/>
  <c r="J638" i="1"/>
  <c r="K638" i="1" s="1"/>
  <c r="L742" i="1" s="1"/>
  <c r="I638" i="1"/>
  <c r="E638" i="1"/>
  <c r="D638" i="1"/>
  <c r="C638" i="1"/>
  <c r="B638" i="1"/>
  <c r="A638" i="1"/>
  <c r="J637" i="1"/>
  <c r="K637" i="1" s="1"/>
  <c r="I637" i="1"/>
  <c r="E637" i="1"/>
  <c r="D637" i="1"/>
  <c r="C637" i="1"/>
  <c r="B637" i="1"/>
  <c r="A637" i="1"/>
  <c r="J636" i="1"/>
  <c r="K636" i="1" s="1"/>
  <c r="I636" i="1"/>
  <c r="E636" i="1"/>
  <c r="D636" i="1"/>
  <c r="C636" i="1"/>
  <c r="B636" i="1"/>
  <c r="A636" i="1"/>
  <c r="J635" i="1"/>
  <c r="K635" i="1" s="1"/>
  <c r="I635" i="1"/>
  <c r="E635" i="1"/>
  <c r="D635" i="1"/>
  <c r="C635" i="1"/>
  <c r="B635" i="1"/>
  <c r="A635" i="1"/>
  <c r="J634" i="1"/>
  <c r="K634" i="1" s="1"/>
  <c r="I634" i="1"/>
  <c r="E634" i="1"/>
  <c r="D634" i="1"/>
  <c r="C634" i="1"/>
  <c r="B634" i="1"/>
  <c r="A634" i="1"/>
  <c r="J633" i="1"/>
  <c r="K633" i="1" s="1"/>
  <c r="I633" i="1"/>
  <c r="E633" i="1"/>
  <c r="D633" i="1"/>
  <c r="C633" i="1"/>
  <c r="B633" i="1"/>
  <c r="A633" i="1"/>
  <c r="J632" i="1"/>
  <c r="K632" i="1" s="1"/>
  <c r="I632" i="1"/>
  <c r="E632" i="1"/>
  <c r="D632" i="1"/>
  <c r="C632" i="1"/>
  <c r="B632" i="1"/>
  <c r="A632" i="1"/>
  <c r="J631" i="1"/>
  <c r="K631" i="1" s="1"/>
  <c r="I631" i="1"/>
  <c r="E631" i="1"/>
  <c r="D631" i="1"/>
  <c r="C631" i="1"/>
  <c r="B631" i="1"/>
  <c r="A631" i="1"/>
  <c r="J630" i="1"/>
  <c r="K630" i="1" s="1"/>
  <c r="I630" i="1"/>
  <c r="E630" i="1"/>
  <c r="D630" i="1"/>
  <c r="C630" i="1"/>
  <c r="B630" i="1"/>
  <c r="A630" i="1"/>
  <c r="J629" i="1"/>
  <c r="K629" i="1" s="1"/>
  <c r="I629" i="1"/>
  <c r="E629" i="1"/>
  <c r="D629" i="1"/>
  <c r="C629" i="1"/>
  <c r="B629" i="1"/>
  <c r="A629" i="1"/>
  <c r="J628" i="1"/>
  <c r="K628" i="1" s="1"/>
  <c r="I628" i="1"/>
  <c r="E628" i="1"/>
  <c r="D628" i="1"/>
  <c r="C628" i="1"/>
  <c r="B628" i="1"/>
  <c r="A628" i="1"/>
  <c r="J627" i="1"/>
  <c r="K627" i="1" s="1"/>
  <c r="I627" i="1"/>
  <c r="E627" i="1"/>
  <c r="D627" i="1"/>
  <c r="C627" i="1"/>
  <c r="B627" i="1"/>
  <c r="A627" i="1"/>
  <c r="J626" i="1"/>
  <c r="K626" i="1" s="1"/>
  <c r="I626" i="1"/>
  <c r="E626" i="1"/>
  <c r="D626" i="1"/>
  <c r="C626" i="1"/>
  <c r="B626" i="1"/>
  <c r="A626" i="1"/>
  <c r="J625" i="1"/>
  <c r="K625" i="1" s="1"/>
  <c r="I625" i="1"/>
  <c r="E625" i="1"/>
  <c r="D625" i="1"/>
  <c r="C625" i="1"/>
  <c r="B625" i="1"/>
  <c r="A625" i="1"/>
  <c r="J624" i="1"/>
  <c r="K624" i="1" s="1"/>
  <c r="I624" i="1"/>
  <c r="E624" i="1"/>
  <c r="D624" i="1"/>
  <c r="C624" i="1"/>
  <c r="B624" i="1"/>
  <c r="A624" i="1"/>
  <c r="J623" i="1"/>
  <c r="K623" i="1" s="1"/>
  <c r="I623" i="1"/>
  <c r="E623" i="1"/>
  <c r="D623" i="1"/>
  <c r="C623" i="1"/>
  <c r="B623" i="1"/>
  <c r="A623" i="1"/>
  <c r="J622" i="1"/>
  <c r="K622" i="1" s="1"/>
  <c r="I622" i="1"/>
  <c r="E622" i="1"/>
  <c r="D622" i="1"/>
  <c r="C622" i="1"/>
  <c r="B622" i="1"/>
  <c r="A622" i="1"/>
  <c r="J621" i="1"/>
  <c r="K621" i="1" s="1"/>
  <c r="I621" i="1"/>
  <c r="E621" i="1"/>
  <c r="D621" i="1"/>
  <c r="C621" i="1"/>
  <c r="B621" i="1"/>
  <c r="A621" i="1"/>
  <c r="J620" i="1"/>
  <c r="K620" i="1" s="1"/>
  <c r="I620" i="1"/>
  <c r="E620" i="1"/>
  <c r="D620" i="1"/>
  <c r="C620" i="1"/>
  <c r="B620" i="1"/>
  <c r="A620" i="1"/>
  <c r="J619" i="1"/>
  <c r="K619" i="1" s="1"/>
  <c r="L635" i="1" s="1"/>
  <c r="I619" i="1"/>
  <c r="E619" i="1"/>
  <c r="D619" i="1"/>
  <c r="C619" i="1"/>
  <c r="B619" i="1"/>
  <c r="A619" i="1"/>
  <c r="J618" i="1"/>
  <c r="K618" i="1" s="1"/>
  <c r="I618" i="1"/>
  <c r="E618" i="1"/>
  <c r="D618" i="1"/>
  <c r="C618" i="1"/>
  <c r="B618" i="1"/>
  <c r="A618" i="1"/>
  <c r="J617" i="1"/>
  <c r="K617" i="1" s="1"/>
  <c r="L617" i="1" s="1"/>
  <c r="I617" i="1"/>
  <c r="E617" i="1"/>
  <c r="D617" i="1"/>
  <c r="C617" i="1"/>
  <c r="B617" i="1"/>
  <c r="A617" i="1"/>
  <c r="J616" i="1"/>
  <c r="K616" i="1" s="1"/>
  <c r="L616" i="1" s="1"/>
  <c r="I616" i="1"/>
  <c r="E616" i="1"/>
  <c r="D616" i="1"/>
  <c r="C616" i="1"/>
  <c r="B616" i="1"/>
  <c r="A616" i="1"/>
  <c r="J615" i="1"/>
  <c r="K615" i="1" s="1"/>
  <c r="I615" i="1"/>
  <c r="E615" i="1"/>
  <c r="D615" i="1"/>
  <c r="C615" i="1"/>
  <c r="B615" i="1"/>
  <c r="A615" i="1"/>
  <c r="J614" i="1"/>
  <c r="K614" i="1" s="1"/>
  <c r="L615" i="1" s="1"/>
  <c r="I614" i="1"/>
  <c r="E614" i="1"/>
  <c r="D614" i="1"/>
  <c r="C614" i="1"/>
  <c r="B614" i="1"/>
  <c r="A614" i="1"/>
  <c r="J613" i="1"/>
  <c r="K613" i="1" s="1"/>
  <c r="I613" i="1"/>
  <c r="E613" i="1"/>
  <c r="D613" i="1"/>
  <c r="C613" i="1"/>
  <c r="B613" i="1"/>
  <c r="A613" i="1"/>
  <c r="J612" i="1"/>
  <c r="K612" i="1" s="1"/>
  <c r="I612" i="1"/>
  <c r="E612" i="1"/>
  <c r="D612" i="1"/>
  <c r="C612" i="1"/>
  <c r="B612" i="1"/>
  <c r="A612" i="1"/>
  <c r="J611" i="1"/>
  <c r="K611" i="1" s="1"/>
  <c r="I611" i="1"/>
  <c r="E611" i="1"/>
  <c r="D611" i="1"/>
  <c r="C611" i="1"/>
  <c r="B611" i="1"/>
  <c r="A611" i="1"/>
  <c r="J610" i="1"/>
  <c r="K610" i="1" s="1"/>
  <c r="I610" i="1"/>
  <c r="E610" i="1"/>
  <c r="D610" i="1"/>
  <c r="C610" i="1"/>
  <c r="B610" i="1"/>
  <c r="A610" i="1"/>
  <c r="J609" i="1"/>
  <c r="K609" i="1" s="1"/>
  <c r="I609" i="1"/>
  <c r="E609" i="1"/>
  <c r="D609" i="1"/>
  <c r="C609" i="1"/>
  <c r="B609" i="1"/>
  <c r="A609" i="1"/>
  <c r="J608" i="1"/>
  <c r="K608" i="1" s="1"/>
  <c r="I608" i="1"/>
  <c r="E608" i="1"/>
  <c r="D608" i="1"/>
  <c r="C608" i="1"/>
  <c r="B608" i="1"/>
  <c r="A608" i="1"/>
  <c r="J607" i="1"/>
  <c r="K607" i="1" s="1"/>
  <c r="I607" i="1"/>
  <c r="E607" i="1"/>
  <c r="D607" i="1"/>
  <c r="C607" i="1"/>
  <c r="B607" i="1"/>
  <c r="A607" i="1"/>
  <c r="J606" i="1"/>
  <c r="K606" i="1" s="1"/>
  <c r="I606" i="1"/>
  <c r="E606" i="1"/>
  <c r="D606" i="1"/>
  <c r="C606" i="1"/>
  <c r="B606" i="1"/>
  <c r="A606" i="1"/>
  <c r="J605" i="1"/>
  <c r="K605" i="1" s="1"/>
  <c r="I605" i="1"/>
  <c r="E605" i="1"/>
  <c r="D605" i="1"/>
  <c r="C605" i="1"/>
  <c r="B605" i="1"/>
  <c r="A605" i="1"/>
  <c r="J604" i="1"/>
  <c r="K604" i="1" s="1"/>
  <c r="I604" i="1"/>
  <c r="E604" i="1"/>
  <c r="D604" i="1"/>
  <c r="C604" i="1"/>
  <c r="B604" i="1"/>
  <c r="A604" i="1"/>
  <c r="J603" i="1"/>
  <c r="K603" i="1" s="1"/>
  <c r="I603" i="1"/>
  <c r="E603" i="1"/>
  <c r="D603" i="1"/>
  <c r="C603" i="1"/>
  <c r="B603" i="1"/>
  <c r="A603" i="1"/>
  <c r="K602" i="1"/>
  <c r="J602" i="1"/>
  <c r="I602" i="1"/>
  <c r="E602" i="1"/>
  <c r="D602" i="1"/>
  <c r="C602" i="1"/>
  <c r="B602" i="1"/>
  <c r="A602" i="1"/>
  <c r="K601" i="1"/>
  <c r="J601" i="1"/>
  <c r="I601" i="1"/>
  <c r="E601" i="1"/>
  <c r="D601" i="1"/>
  <c r="C601" i="1"/>
  <c r="B601" i="1"/>
  <c r="A601" i="1"/>
  <c r="J600" i="1"/>
  <c r="K600" i="1" s="1"/>
  <c r="I600" i="1"/>
  <c r="E600" i="1"/>
  <c r="D600" i="1"/>
  <c r="C600" i="1"/>
  <c r="B600" i="1"/>
  <c r="A600" i="1"/>
  <c r="J599" i="1"/>
  <c r="K599" i="1" s="1"/>
  <c r="I599" i="1"/>
  <c r="E599" i="1"/>
  <c r="D599" i="1"/>
  <c r="C599" i="1"/>
  <c r="B599" i="1"/>
  <c r="A599" i="1"/>
  <c r="J598" i="1"/>
  <c r="K598" i="1" s="1"/>
  <c r="I598" i="1"/>
  <c r="E598" i="1"/>
  <c r="D598" i="1"/>
  <c r="C598" i="1"/>
  <c r="B598" i="1"/>
  <c r="A598" i="1"/>
  <c r="K597" i="1"/>
  <c r="J597" i="1"/>
  <c r="I597" i="1"/>
  <c r="E597" i="1"/>
  <c r="D597" i="1"/>
  <c r="C597" i="1"/>
  <c r="B597" i="1"/>
  <c r="A597" i="1"/>
  <c r="J596" i="1"/>
  <c r="K596" i="1" s="1"/>
  <c r="I596" i="1"/>
  <c r="E596" i="1"/>
  <c r="D596" i="1"/>
  <c r="C596" i="1"/>
  <c r="B596" i="1"/>
  <c r="A596" i="1"/>
  <c r="J595" i="1"/>
  <c r="K595" i="1" s="1"/>
  <c r="I595" i="1"/>
  <c r="E595" i="1"/>
  <c r="D595" i="1"/>
  <c r="C595" i="1"/>
  <c r="B595" i="1"/>
  <c r="A595" i="1"/>
  <c r="J594" i="1"/>
  <c r="K594" i="1" s="1"/>
  <c r="I594" i="1"/>
  <c r="E594" i="1"/>
  <c r="D594" i="1"/>
  <c r="C594" i="1"/>
  <c r="B594" i="1"/>
  <c r="A594" i="1"/>
  <c r="J593" i="1"/>
  <c r="K593" i="1" s="1"/>
  <c r="I593" i="1"/>
  <c r="E593" i="1"/>
  <c r="D593" i="1"/>
  <c r="C593" i="1"/>
  <c r="B593" i="1"/>
  <c r="A593" i="1"/>
  <c r="J592" i="1"/>
  <c r="K592" i="1" s="1"/>
  <c r="I592" i="1"/>
  <c r="E592" i="1"/>
  <c r="D592" i="1"/>
  <c r="C592" i="1"/>
  <c r="B592" i="1"/>
  <c r="A592" i="1"/>
  <c r="J591" i="1"/>
  <c r="K591" i="1" s="1"/>
  <c r="I591" i="1"/>
  <c r="E591" i="1"/>
  <c r="D591" i="1"/>
  <c r="C591" i="1"/>
  <c r="B591" i="1"/>
  <c r="A591" i="1"/>
  <c r="J590" i="1"/>
  <c r="K590" i="1" s="1"/>
  <c r="I590" i="1"/>
  <c r="E590" i="1"/>
  <c r="D590" i="1"/>
  <c r="C590" i="1"/>
  <c r="B590" i="1"/>
  <c r="A590" i="1"/>
  <c r="J589" i="1"/>
  <c r="K589" i="1" s="1"/>
  <c r="I589" i="1"/>
  <c r="E589" i="1"/>
  <c r="D589" i="1"/>
  <c r="C589" i="1"/>
  <c r="B589" i="1"/>
  <c r="A589" i="1"/>
  <c r="J588" i="1"/>
  <c r="K588" i="1" s="1"/>
  <c r="I588" i="1"/>
  <c r="E588" i="1"/>
  <c r="D588" i="1"/>
  <c r="C588" i="1"/>
  <c r="B588" i="1"/>
  <c r="A588" i="1"/>
  <c r="J587" i="1"/>
  <c r="K587" i="1" s="1"/>
  <c r="I587" i="1"/>
  <c r="E587" i="1"/>
  <c r="D587" i="1"/>
  <c r="C587" i="1"/>
  <c r="B587" i="1"/>
  <c r="A587" i="1"/>
  <c r="J586" i="1"/>
  <c r="K586" i="1" s="1"/>
  <c r="I586" i="1"/>
  <c r="E586" i="1"/>
  <c r="D586" i="1"/>
  <c r="C586" i="1"/>
  <c r="B586" i="1"/>
  <c r="A586" i="1"/>
  <c r="J585" i="1"/>
  <c r="K585" i="1" s="1"/>
  <c r="I585" i="1"/>
  <c r="E585" i="1"/>
  <c r="D585" i="1"/>
  <c r="C585" i="1"/>
  <c r="B585" i="1"/>
  <c r="A585" i="1"/>
  <c r="J584" i="1"/>
  <c r="K584" i="1" s="1"/>
  <c r="I584" i="1"/>
  <c r="E584" i="1"/>
  <c r="D584" i="1"/>
  <c r="C584" i="1"/>
  <c r="B584" i="1"/>
  <c r="A584" i="1"/>
  <c r="J583" i="1"/>
  <c r="K583" i="1" s="1"/>
  <c r="I583" i="1"/>
  <c r="E583" i="1"/>
  <c r="D583" i="1"/>
  <c r="C583" i="1"/>
  <c r="B583" i="1"/>
  <c r="A583" i="1"/>
  <c r="J582" i="1"/>
  <c r="K582" i="1" s="1"/>
  <c r="I582" i="1"/>
  <c r="E582" i="1"/>
  <c r="D582" i="1"/>
  <c r="C582" i="1"/>
  <c r="B582" i="1"/>
  <c r="A582" i="1"/>
  <c r="J581" i="1"/>
  <c r="K581" i="1" s="1"/>
  <c r="I581" i="1"/>
  <c r="E581" i="1"/>
  <c r="D581" i="1"/>
  <c r="C581" i="1"/>
  <c r="B581" i="1"/>
  <c r="A581" i="1"/>
  <c r="J580" i="1"/>
  <c r="K580" i="1" s="1"/>
  <c r="I580" i="1"/>
  <c r="E580" i="1"/>
  <c r="D580" i="1"/>
  <c r="C580" i="1"/>
  <c r="B580" i="1"/>
  <c r="A580" i="1"/>
  <c r="J579" i="1"/>
  <c r="K579" i="1" s="1"/>
  <c r="I579" i="1"/>
  <c r="E579" i="1"/>
  <c r="D579" i="1"/>
  <c r="C579" i="1"/>
  <c r="B579" i="1"/>
  <c r="A579" i="1"/>
  <c r="J578" i="1"/>
  <c r="K578" i="1" s="1"/>
  <c r="I578" i="1"/>
  <c r="E578" i="1"/>
  <c r="D578" i="1"/>
  <c r="C578" i="1"/>
  <c r="B578" i="1"/>
  <c r="A578" i="1"/>
  <c r="J577" i="1"/>
  <c r="K577" i="1" s="1"/>
  <c r="I577" i="1"/>
  <c r="E577" i="1"/>
  <c r="D577" i="1"/>
  <c r="C577" i="1"/>
  <c r="B577" i="1"/>
  <c r="A577" i="1"/>
  <c r="K576" i="1"/>
  <c r="J576" i="1"/>
  <c r="I576" i="1"/>
  <c r="E576" i="1"/>
  <c r="D576" i="1"/>
  <c r="C576" i="1"/>
  <c r="B576" i="1"/>
  <c r="A576" i="1"/>
  <c r="J575" i="1"/>
  <c r="K575" i="1" s="1"/>
  <c r="I575" i="1"/>
  <c r="E575" i="1"/>
  <c r="D575" i="1"/>
  <c r="C575" i="1"/>
  <c r="B575" i="1"/>
  <c r="A575" i="1"/>
  <c r="J574" i="1"/>
  <c r="K574" i="1" s="1"/>
  <c r="I574" i="1"/>
  <c r="E574" i="1"/>
  <c r="D574" i="1"/>
  <c r="C574" i="1"/>
  <c r="B574" i="1"/>
  <c r="A574" i="1"/>
  <c r="J573" i="1"/>
  <c r="K573" i="1" s="1"/>
  <c r="I573" i="1"/>
  <c r="E573" i="1"/>
  <c r="D573" i="1"/>
  <c r="C573" i="1"/>
  <c r="B573" i="1"/>
  <c r="A573" i="1"/>
  <c r="J572" i="1"/>
  <c r="K572" i="1" s="1"/>
  <c r="I572" i="1"/>
  <c r="E572" i="1"/>
  <c r="D572" i="1"/>
  <c r="C572" i="1"/>
  <c r="B572" i="1"/>
  <c r="A572" i="1"/>
  <c r="J571" i="1"/>
  <c r="I571" i="1"/>
  <c r="K571" i="1" s="1"/>
  <c r="E571" i="1"/>
  <c r="D571" i="1"/>
  <c r="C571" i="1"/>
  <c r="B571" i="1"/>
  <c r="A571" i="1"/>
  <c r="J570" i="1"/>
  <c r="K570" i="1" s="1"/>
  <c r="I570" i="1"/>
  <c r="E570" i="1"/>
  <c r="D570" i="1"/>
  <c r="C570" i="1"/>
  <c r="B570" i="1"/>
  <c r="A570" i="1"/>
  <c r="J569" i="1"/>
  <c r="K569" i="1" s="1"/>
  <c r="I569" i="1"/>
  <c r="E569" i="1"/>
  <c r="D569" i="1"/>
  <c r="C569" i="1"/>
  <c r="B569" i="1"/>
  <c r="A569" i="1"/>
  <c r="J568" i="1"/>
  <c r="K568" i="1" s="1"/>
  <c r="I568" i="1"/>
  <c r="E568" i="1"/>
  <c r="D568" i="1"/>
  <c r="C568" i="1"/>
  <c r="B568" i="1"/>
  <c r="A568" i="1"/>
  <c r="J567" i="1"/>
  <c r="K567" i="1" s="1"/>
  <c r="I567" i="1"/>
  <c r="E567" i="1"/>
  <c r="D567" i="1"/>
  <c r="C567" i="1"/>
  <c r="B567" i="1"/>
  <c r="A567" i="1"/>
  <c r="J566" i="1"/>
  <c r="K566" i="1" s="1"/>
  <c r="I566" i="1"/>
  <c r="E566" i="1"/>
  <c r="D566" i="1"/>
  <c r="C566" i="1"/>
  <c r="B566" i="1"/>
  <c r="A566" i="1"/>
  <c r="J565" i="1"/>
  <c r="K565" i="1" s="1"/>
  <c r="I565" i="1"/>
  <c r="E565" i="1"/>
  <c r="D565" i="1"/>
  <c r="C565" i="1"/>
  <c r="B565" i="1"/>
  <c r="A565" i="1"/>
  <c r="J564" i="1"/>
  <c r="I564" i="1"/>
  <c r="K564" i="1" s="1"/>
  <c r="E564" i="1"/>
  <c r="D564" i="1"/>
  <c r="C564" i="1"/>
  <c r="B564" i="1"/>
  <c r="A564" i="1"/>
  <c r="J563" i="1"/>
  <c r="K563" i="1" s="1"/>
  <c r="I563" i="1"/>
  <c r="E563" i="1"/>
  <c r="D563" i="1"/>
  <c r="C563" i="1"/>
  <c r="B563" i="1"/>
  <c r="A563" i="1"/>
  <c r="J562" i="1"/>
  <c r="K562" i="1" s="1"/>
  <c r="I562" i="1"/>
  <c r="E562" i="1"/>
  <c r="D562" i="1"/>
  <c r="C562" i="1"/>
  <c r="B562" i="1"/>
  <c r="A562" i="1"/>
  <c r="J561" i="1"/>
  <c r="K561" i="1" s="1"/>
  <c r="I561" i="1"/>
  <c r="E561" i="1"/>
  <c r="D561" i="1"/>
  <c r="C561" i="1"/>
  <c r="B561" i="1"/>
  <c r="A561" i="1"/>
  <c r="J560" i="1"/>
  <c r="K560" i="1" s="1"/>
  <c r="I560" i="1"/>
  <c r="E560" i="1"/>
  <c r="D560" i="1"/>
  <c r="C560" i="1"/>
  <c r="B560" i="1"/>
  <c r="A560" i="1"/>
  <c r="J559" i="1"/>
  <c r="K559" i="1" s="1"/>
  <c r="I559" i="1"/>
  <c r="E559" i="1"/>
  <c r="D559" i="1"/>
  <c r="C559" i="1"/>
  <c r="B559" i="1"/>
  <c r="A559" i="1"/>
  <c r="J558" i="1"/>
  <c r="K558" i="1" s="1"/>
  <c r="L613" i="1" s="1"/>
  <c r="I558" i="1"/>
  <c r="E558" i="1"/>
  <c r="D558" i="1"/>
  <c r="C558" i="1"/>
  <c r="B558" i="1"/>
  <c r="A558" i="1"/>
  <c r="J557" i="1"/>
  <c r="K557" i="1" s="1"/>
  <c r="I557" i="1"/>
  <c r="E557" i="1"/>
  <c r="D557" i="1"/>
  <c r="C557" i="1"/>
  <c r="B557" i="1"/>
  <c r="A557" i="1"/>
  <c r="J556" i="1"/>
  <c r="I556" i="1"/>
  <c r="K556" i="1" s="1"/>
  <c r="E556" i="1"/>
  <c r="D556" i="1"/>
  <c r="C556" i="1"/>
  <c r="B556" i="1"/>
  <c r="A556" i="1"/>
  <c r="J555" i="1"/>
  <c r="K555" i="1" s="1"/>
  <c r="I555" i="1"/>
  <c r="E555" i="1"/>
  <c r="D555" i="1"/>
  <c r="C555" i="1"/>
  <c r="B555" i="1"/>
  <c r="A555" i="1"/>
  <c r="J554" i="1"/>
  <c r="K554" i="1" s="1"/>
  <c r="I554" i="1"/>
  <c r="E554" i="1"/>
  <c r="D554" i="1"/>
  <c r="C554" i="1"/>
  <c r="B554" i="1"/>
  <c r="A554" i="1"/>
  <c r="J553" i="1"/>
  <c r="K553" i="1" s="1"/>
  <c r="I553" i="1"/>
  <c r="E553" i="1"/>
  <c r="D553" i="1"/>
  <c r="C553" i="1"/>
  <c r="B553" i="1"/>
  <c r="A553" i="1"/>
  <c r="J552" i="1"/>
  <c r="K552" i="1" s="1"/>
  <c r="I552" i="1"/>
  <c r="E552" i="1"/>
  <c r="D552" i="1"/>
  <c r="C552" i="1"/>
  <c r="B552" i="1"/>
  <c r="A552" i="1"/>
  <c r="J551" i="1"/>
  <c r="K551" i="1" s="1"/>
  <c r="I551" i="1"/>
  <c r="E551" i="1"/>
  <c r="D551" i="1"/>
  <c r="C551" i="1"/>
  <c r="B551" i="1"/>
  <c r="A551" i="1"/>
  <c r="J550" i="1"/>
  <c r="K550" i="1" s="1"/>
  <c r="I550" i="1"/>
  <c r="E550" i="1"/>
  <c r="D550" i="1"/>
  <c r="C550" i="1"/>
  <c r="B550" i="1"/>
  <c r="A550" i="1"/>
  <c r="J549" i="1"/>
  <c r="K549" i="1" s="1"/>
  <c r="I549" i="1"/>
  <c r="E549" i="1"/>
  <c r="D549" i="1"/>
  <c r="C549" i="1"/>
  <c r="B549" i="1"/>
  <c r="A549" i="1"/>
  <c r="J548" i="1"/>
  <c r="K548" i="1" s="1"/>
  <c r="I548" i="1"/>
  <c r="E548" i="1"/>
  <c r="D548" i="1"/>
  <c r="C548" i="1"/>
  <c r="B548" i="1"/>
  <c r="A548" i="1"/>
  <c r="J547" i="1"/>
  <c r="K547" i="1" s="1"/>
  <c r="I547" i="1"/>
  <c r="E547" i="1"/>
  <c r="D547" i="1"/>
  <c r="C547" i="1"/>
  <c r="B547" i="1"/>
  <c r="A547" i="1"/>
  <c r="J546" i="1"/>
  <c r="K546" i="1" s="1"/>
  <c r="I546" i="1"/>
  <c r="D546" i="1"/>
  <c r="C546" i="1"/>
  <c r="B546" i="1"/>
  <c r="A546" i="1"/>
  <c r="J545" i="1"/>
  <c r="K545" i="1" s="1"/>
  <c r="I545" i="1"/>
  <c r="E545" i="1"/>
  <c r="D545" i="1"/>
  <c r="C545" i="1"/>
  <c r="B545" i="1"/>
  <c r="A545" i="1"/>
  <c r="J544" i="1"/>
  <c r="K544" i="1" s="1"/>
  <c r="I544" i="1"/>
  <c r="E544" i="1"/>
  <c r="D544" i="1"/>
  <c r="C544" i="1"/>
  <c r="B544" i="1"/>
  <c r="A544" i="1"/>
  <c r="K543" i="1"/>
  <c r="J543" i="1"/>
  <c r="I543" i="1"/>
  <c r="E543" i="1"/>
  <c r="D543" i="1"/>
  <c r="C543" i="1"/>
  <c r="B543" i="1"/>
  <c r="A543" i="1"/>
  <c r="J542" i="1"/>
  <c r="K542" i="1" s="1"/>
  <c r="I542" i="1"/>
  <c r="E542" i="1"/>
  <c r="D542" i="1"/>
  <c r="C542" i="1"/>
  <c r="B542" i="1"/>
  <c r="A542" i="1"/>
  <c r="J541" i="1"/>
  <c r="K541" i="1" s="1"/>
  <c r="I541" i="1"/>
  <c r="E541" i="1"/>
  <c r="D541" i="1"/>
  <c r="C541" i="1"/>
  <c r="B541" i="1"/>
  <c r="A541" i="1"/>
  <c r="J540" i="1"/>
  <c r="K540" i="1" s="1"/>
  <c r="I540" i="1"/>
  <c r="E540" i="1"/>
  <c r="D540" i="1"/>
  <c r="C540" i="1"/>
  <c r="B540" i="1"/>
  <c r="A540" i="1"/>
  <c r="J539" i="1"/>
  <c r="K539" i="1" s="1"/>
  <c r="I539" i="1"/>
  <c r="E539" i="1"/>
  <c r="D539" i="1"/>
  <c r="C539" i="1"/>
  <c r="B539" i="1"/>
  <c r="A539" i="1"/>
  <c r="K538" i="1"/>
  <c r="J538" i="1"/>
  <c r="I538" i="1"/>
  <c r="E538" i="1"/>
  <c r="D538" i="1"/>
  <c r="C538" i="1"/>
  <c r="B538" i="1"/>
  <c r="A538" i="1"/>
  <c r="J537" i="1"/>
  <c r="K537" i="1" s="1"/>
  <c r="I537" i="1"/>
  <c r="E537" i="1"/>
  <c r="D537" i="1"/>
  <c r="C537" i="1"/>
  <c r="B537" i="1"/>
  <c r="A537" i="1"/>
  <c r="J536" i="1"/>
  <c r="K536" i="1" s="1"/>
  <c r="I536" i="1"/>
  <c r="E536" i="1"/>
  <c r="D536" i="1"/>
  <c r="C536" i="1"/>
  <c r="B536" i="1"/>
  <c r="A536" i="1"/>
  <c r="J535" i="1"/>
  <c r="K535" i="1" s="1"/>
  <c r="I535" i="1"/>
  <c r="E535" i="1"/>
  <c r="D535" i="1"/>
  <c r="C535" i="1"/>
  <c r="B535" i="1"/>
  <c r="A535" i="1"/>
  <c r="J534" i="1"/>
  <c r="K534" i="1" s="1"/>
  <c r="I534" i="1"/>
  <c r="E534" i="1"/>
  <c r="D534" i="1"/>
  <c r="C534" i="1"/>
  <c r="B534" i="1"/>
  <c r="A534" i="1"/>
  <c r="J533" i="1"/>
  <c r="K533" i="1" s="1"/>
  <c r="I533" i="1"/>
  <c r="E533" i="1"/>
  <c r="D533" i="1"/>
  <c r="C533" i="1"/>
  <c r="B533" i="1"/>
  <c r="A533" i="1"/>
  <c r="J532" i="1"/>
  <c r="K532" i="1" s="1"/>
  <c r="I532" i="1"/>
  <c r="E532" i="1"/>
  <c r="D532" i="1"/>
  <c r="C532" i="1"/>
  <c r="B532" i="1"/>
  <c r="A532" i="1"/>
  <c r="J531" i="1"/>
  <c r="K531" i="1" s="1"/>
  <c r="I531" i="1"/>
  <c r="E531" i="1"/>
  <c r="D531" i="1"/>
  <c r="C531" i="1"/>
  <c r="B531" i="1"/>
  <c r="A531" i="1"/>
  <c r="J530" i="1"/>
  <c r="K530" i="1" s="1"/>
  <c r="I530" i="1"/>
  <c r="E530" i="1"/>
  <c r="D530" i="1"/>
  <c r="C530" i="1"/>
  <c r="B530" i="1"/>
  <c r="A530" i="1"/>
  <c r="J529" i="1"/>
  <c r="K529" i="1" s="1"/>
  <c r="L557" i="1" s="1"/>
  <c r="I529" i="1"/>
  <c r="E529" i="1"/>
  <c r="D529" i="1"/>
  <c r="C529" i="1"/>
  <c r="B529" i="1"/>
  <c r="A529" i="1"/>
  <c r="J528" i="1"/>
  <c r="K528" i="1" s="1"/>
  <c r="I528" i="1"/>
  <c r="E528" i="1"/>
  <c r="D528" i="1"/>
  <c r="C528" i="1"/>
  <c r="B528" i="1"/>
  <c r="A528" i="1"/>
  <c r="J527" i="1"/>
  <c r="K527" i="1" s="1"/>
  <c r="I527" i="1"/>
  <c r="E527" i="1"/>
  <c r="D527" i="1"/>
  <c r="C527" i="1"/>
  <c r="B527" i="1"/>
  <c r="A527" i="1"/>
  <c r="J526" i="1"/>
  <c r="K526" i="1" s="1"/>
  <c r="I526" i="1"/>
  <c r="E526" i="1"/>
  <c r="D526" i="1"/>
  <c r="C526" i="1"/>
  <c r="B526" i="1"/>
  <c r="A526" i="1"/>
  <c r="J525" i="1"/>
  <c r="K525" i="1" s="1"/>
  <c r="I525" i="1"/>
  <c r="E525" i="1"/>
  <c r="D525" i="1"/>
  <c r="C525" i="1"/>
  <c r="B525" i="1"/>
  <c r="A525" i="1"/>
  <c r="J524" i="1"/>
  <c r="K524" i="1" s="1"/>
  <c r="I524" i="1"/>
  <c r="E524" i="1"/>
  <c r="D524" i="1"/>
  <c r="C524" i="1"/>
  <c r="B524" i="1"/>
  <c r="A524" i="1"/>
  <c r="J523" i="1"/>
  <c r="K523" i="1" s="1"/>
  <c r="I523" i="1"/>
  <c r="E523" i="1"/>
  <c r="D523" i="1"/>
  <c r="C523" i="1"/>
  <c r="B523" i="1"/>
  <c r="A523" i="1"/>
  <c r="J522" i="1"/>
  <c r="K522" i="1" s="1"/>
  <c r="I522" i="1"/>
  <c r="E522" i="1"/>
  <c r="D522" i="1"/>
  <c r="C522" i="1"/>
  <c r="B522" i="1"/>
  <c r="A522" i="1"/>
  <c r="J521" i="1"/>
  <c r="K521" i="1" s="1"/>
  <c r="I521" i="1"/>
  <c r="E521" i="1"/>
  <c r="D521" i="1"/>
  <c r="C521" i="1"/>
  <c r="B521" i="1"/>
  <c r="A521" i="1"/>
  <c r="J520" i="1"/>
  <c r="K520" i="1" s="1"/>
  <c r="I520" i="1"/>
  <c r="E520" i="1"/>
  <c r="D520" i="1"/>
  <c r="C520" i="1"/>
  <c r="B520" i="1"/>
  <c r="A520" i="1"/>
  <c r="J519" i="1"/>
  <c r="K519" i="1" s="1"/>
  <c r="I519" i="1"/>
  <c r="E519" i="1"/>
  <c r="D519" i="1"/>
  <c r="C519" i="1"/>
  <c r="B519" i="1"/>
  <c r="A519" i="1"/>
  <c r="J518" i="1"/>
  <c r="K518" i="1" s="1"/>
  <c r="I518" i="1"/>
  <c r="E518" i="1"/>
  <c r="D518" i="1"/>
  <c r="C518" i="1"/>
  <c r="B518" i="1"/>
  <c r="A518" i="1"/>
  <c r="J517" i="1"/>
  <c r="K517" i="1" s="1"/>
  <c r="I517" i="1"/>
  <c r="E517" i="1"/>
  <c r="D517" i="1"/>
  <c r="C517" i="1"/>
  <c r="B517" i="1"/>
  <c r="A517" i="1"/>
  <c r="J516" i="1"/>
  <c r="K516" i="1" s="1"/>
  <c r="I516" i="1"/>
  <c r="E516" i="1"/>
  <c r="D516" i="1"/>
  <c r="C516" i="1"/>
  <c r="B516" i="1"/>
  <c r="A516" i="1"/>
  <c r="J515" i="1"/>
  <c r="K515" i="1" s="1"/>
  <c r="I515" i="1"/>
  <c r="E515" i="1"/>
  <c r="D515" i="1"/>
  <c r="C515" i="1"/>
  <c r="B515" i="1"/>
  <c r="A515" i="1"/>
  <c r="J514" i="1"/>
  <c r="K514" i="1" s="1"/>
  <c r="I514" i="1"/>
  <c r="E514" i="1"/>
  <c r="D514" i="1"/>
  <c r="C514" i="1"/>
  <c r="B514" i="1"/>
  <c r="A514" i="1"/>
  <c r="J513" i="1"/>
  <c r="K513" i="1" s="1"/>
  <c r="I513" i="1"/>
  <c r="E513" i="1"/>
  <c r="D513" i="1"/>
  <c r="C513" i="1"/>
  <c r="B513" i="1"/>
  <c r="A513" i="1"/>
  <c r="J512" i="1"/>
  <c r="K512" i="1" s="1"/>
  <c r="I512" i="1"/>
  <c r="E512" i="1"/>
  <c r="D512" i="1"/>
  <c r="C512" i="1"/>
  <c r="B512" i="1"/>
  <c r="A512" i="1"/>
  <c r="J511" i="1"/>
  <c r="K511" i="1" s="1"/>
  <c r="I511" i="1"/>
  <c r="E511" i="1"/>
  <c r="D511" i="1"/>
  <c r="C511" i="1"/>
  <c r="B511" i="1"/>
  <c r="A511" i="1"/>
  <c r="J510" i="1"/>
  <c r="K510" i="1" s="1"/>
  <c r="I510" i="1"/>
  <c r="E510" i="1"/>
  <c r="D510" i="1"/>
  <c r="C510" i="1"/>
  <c r="B510" i="1"/>
  <c r="A510" i="1"/>
  <c r="J509" i="1"/>
  <c r="K509" i="1" s="1"/>
  <c r="I509" i="1"/>
  <c r="E509" i="1"/>
  <c r="D509" i="1"/>
  <c r="C509" i="1"/>
  <c r="B509" i="1"/>
  <c r="A509" i="1"/>
  <c r="J508" i="1"/>
  <c r="K508" i="1" s="1"/>
  <c r="I508" i="1"/>
  <c r="E508" i="1"/>
  <c r="D508" i="1"/>
  <c r="C508" i="1"/>
  <c r="B508" i="1"/>
  <c r="A508" i="1"/>
  <c r="J507" i="1"/>
  <c r="K507" i="1" s="1"/>
  <c r="I507" i="1"/>
  <c r="E507" i="1"/>
  <c r="D507" i="1"/>
  <c r="C507" i="1"/>
  <c r="B507" i="1"/>
  <c r="A507" i="1"/>
  <c r="J506" i="1"/>
  <c r="K506" i="1" s="1"/>
  <c r="I506" i="1"/>
  <c r="E506" i="1"/>
  <c r="D506" i="1"/>
  <c r="C506" i="1"/>
  <c r="B506" i="1"/>
  <c r="A506" i="1"/>
  <c r="J505" i="1"/>
  <c r="K505" i="1" s="1"/>
  <c r="I505" i="1"/>
  <c r="E505" i="1"/>
  <c r="D505" i="1"/>
  <c r="C505" i="1"/>
  <c r="B505" i="1"/>
  <c r="A505" i="1"/>
  <c r="J504" i="1"/>
  <c r="K504" i="1" s="1"/>
  <c r="I504" i="1"/>
  <c r="E504" i="1"/>
  <c r="D504" i="1"/>
  <c r="C504" i="1"/>
  <c r="B504" i="1"/>
  <c r="A504" i="1"/>
  <c r="J503" i="1"/>
  <c r="K503" i="1" s="1"/>
  <c r="I503" i="1"/>
  <c r="E503" i="1"/>
  <c r="D503" i="1"/>
  <c r="C503" i="1"/>
  <c r="B503" i="1"/>
  <c r="A503" i="1"/>
  <c r="J502" i="1"/>
  <c r="K502" i="1" s="1"/>
  <c r="I502" i="1"/>
  <c r="E502" i="1"/>
  <c r="D502" i="1"/>
  <c r="C502" i="1"/>
  <c r="B502" i="1"/>
  <c r="A502" i="1"/>
  <c r="J501" i="1"/>
  <c r="K501" i="1" s="1"/>
  <c r="I501" i="1"/>
  <c r="E501" i="1"/>
  <c r="D501" i="1"/>
  <c r="C501" i="1"/>
  <c r="B501" i="1"/>
  <c r="A501" i="1"/>
  <c r="J500" i="1"/>
  <c r="K500" i="1" s="1"/>
  <c r="I500" i="1"/>
  <c r="E500" i="1"/>
  <c r="D500" i="1"/>
  <c r="C500" i="1"/>
  <c r="B500" i="1"/>
  <c r="A500" i="1"/>
  <c r="J499" i="1"/>
  <c r="K499" i="1" s="1"/>
  <c r="I499" i="1"/>
  <c r="E499" i="1"/>
  <c r="D499" i="1"/>
  <c r="C499" i="1"/>
  <c r="B499" i="1"/>
  <c r="A499" i="1"/>
  <c r="J498" i="1"/>
  <c r="K498" i="1" s="1"/>
  <c r="I498" i="1"/>
  <c r="E498" i="1"/>
  <c r="D498" i="1"/>
  <c r="C498" i="1"/>
  <c r="B498" i="1"/>
  <c r="A498" i="1"/>
  <c r="J497" i="1"/>
  <c r="K497" i="1" s="1"/>
  <c r="I497" i="1"/>
  <c r="E497" i="1"/>
  <c r="D497" i="1"/>
  <c r="C497" i="1"/>
  <c r="B497" i="1"/>
  <c r="A497" i="1"/>
  <c r="J496" i="1"/>
  <c r="K496" i="1" s="1"/>
  <c r="I496" i="1"/>
  <c r="E496" i="1"/>
  <c r="D496" i="1"/>
  <c r="C496" i="1"/>
  <c r="B496" i="1"/>
  <c r="A496" i="1"/>
  <c r="J495" i="1"/>
  <c r="K495" i="1" s="1"/>
  <c r="I495" i="1"/>
  <c r="E495" i="1"/>
  <c r="D495" i="1"/>
  <c r="C495" i="1"/>
  <c r="B495" i="1"/>
  <c r="A495" i="1"/>
  <c r="J494" i="1"/>
  <c r="K494" i="1" s="1"/>
  <c r="I494" i="1"/>
  <c r="E494" i="1"/>
  <c r="D494" i="1"/>
  <c r="C494" i="1"/>
  <c r="B494" i="1"/>
  <c r="A494" i="1"/>
  <c r="J493" i="1"/>
  <c r="K493" i="1" s="1"/>
  <c r="I493" i="1"/>
  <c r="E493" i="1"/>
  <c r="D493" i="1"/>
  <c r="C493" i="1"/>
  <c r="B493" i="1"/>
  <c r="A493" i="1"/>
  <c r="J492" i="1"/>
  <c r="K492" i="1" s="1"/>
  <c r="I492" i="1"/>
  <c r="E492" i="1"/>
  <c r="D492" i="1"/>
  <c r="C492" i="1"/>
  <c r="B492" i="1"/>
  <c r="A492" i="1"/>
  <c r="J491" i="1"/>
  <c r="K491" i="1" s="1"/>
  <c r="I491" i="1"/>
  <c r="E491" i="1"/>
  <c r="D491" i="1"/>
  <c r="C491" i="1"/>
  <c r="B491" i="1"/>
  <c r="A491" i="1"/>
  <c r="J490" i="1"/>
  <c r="K490" i="1" s="1"/>
  <c r="I490" i="1"/>
  <c r="E490" i="1"/>
  <c r="D490" i="1"/>
  <c r="C490" i="1"/>
  <c r="B490" i="1"/>
  <c r="A490" i="1"/>
  <c r="J489" i="1"/>
  <c r="K489" i="1" s="1"/>
  <c r="I489" i="1"/>
  <c r="E489" i="1"/>
  <c r="D489" i="1"/>
  <c r="C489" i="1"/>
  <c r="B489" i="1"/>
  <c r="A489" i="1"/>
  <c r="J488" i="1"/>
  <c r="K488" i="1" s="1"/>
  <c r="I488" i="1"/>
  <c r="E488" i="1"/>
  <c r="D488" i="1"/>
  <c r="C488" i="1"/>
  <c r="B488" i="1"/>
  <c r="A488" i="1"/>
  <c r="J487" i="1"/>
  <c r="K487" i="1" s="1"/>
  <c r="I487" i="1"/>
  <c r="E487" i="1"/>
  <c r="D487" i="1"/>
  <c r="C487" i="1"/>
  <c r="B487" i="1"/>
  <c r="A487" i="1"/>
  <c r="J486" i="1"/>
  <c r="K486" i="1" s="1"/>
  <c r="I486" i="1"/>
  <c r="E486" i="1"/>
  <c r="D486" i="1"/>
  <c r="C486" i="1"/>
  <c r="B486" i="1"/>
  <c r="A486" i="1"/>
  <c r="J485" i="1"/>
  <c r="K485" i="1" s="1"/>
  <c r="I485" i="1"/>
  <c r="E485" i="1"/>
  <c r="D485" i="1"/>
  <c r="C485" i="1"/>
  <c r="B485" i="1"/>
  <c r="A485" i="1"/>
  <c r="J484" i="1"/>
  <c r="K484" i="1" s="1"/>
  <c r="I484" i="1"/>
  <c r="E484" i="1"/>
  <c r="D484" i="1"/>
  <c r="C484" i="1"/>
  <c r="B484" i="1"/>
  <c r="A484" i="1"/>
  <c r="J483" i="1"/>
  <c r="K483" i="1" s="1"/>
  <c r="I483" i="1"/>
  <c r="E483" i="1"/>
  <c r="D483" i="1"/>
  <c r="C483" i="1"/>
  <c r="B483" i="1"/>
  <c r="A483" i="1"/>
  <c r="J482" i="1"/>
  <c r="K482" i="1" s="1"/>
  <c r="I482" i="1"/>
  <c r="E482" i="1"/>
  <c r="D482" i="1"/>
  <c r="C482" i="1"/>
  <c r="B482" i="1"/>
  <c r="A482" i="1"/>
  <c r="K481" i="1"/>
  <c r="J481" i="1"/>
  <c r="I481" i="1"/>
  <c r="E481" i="1"/>
  <c r="D481" i="1"/>
  <c r="C481" i="1"/>
  <c r="B481" i="1"/>
  <c r="A481" i="1"/>
  <c r="J480" i="1"/>
  <c r="K480" i="1" s="1"/>
  <c r="I480" i="1"/>
  <c r="E480" i="1"/>
  <c r="D480" i="1"/>
  <c r="C480" i="1"/>
  <c r="B480" i="1"/>
  <c r="A480" i="1"/>
  <c r="J479" i="1"/>
  <c r="K479" i="1" s="1"/>
  <c r="I479" i="1"/>
  <c r="E479" i="1"/>
  <c r="D479" i="1"/>
  <c r="C479" i="1"/>
  <c r="B479" i="1"/>
  <c r="A479" i="1"/>
  <c r="J478" i="1"/>
  <c r="K478" i="1" s="1"/>
  <c r="I478" i="1"/>
  <c r="E478" i="1"/>
  <c r="D478" i="1"/>
  <c r="C478" i="1"/>
  <c r="B478" i="1"/>
  <c r="A478" i="1"/>
  <c r="J477" i="1"/>
  <c r="K477" i="1" s="1"/>
  <c r="I477" i="1"/>
  <c r="E477" i="1"/>
  <c r="D477" i="1"/>
  <c r="C477" i="1"/>
  <c r="B477" i="1"/>
  <c r="A477" i="1"/>
  <c r="J476" i="1"/>
  <c r="K476" i="1" s="1"/>
  <c r="I476" i="1"/>
  <c r="E476" i="1"/>
  <c r="D476" i="1"/>
  <c r="C476" i="1"/>
  <c r="B476" i="1"/>
  <c r="A476" i="1"/>
  <c r="J475" i="1"/>
  <c r="K475" i="1" s="1"/>
  <c r="I475" i="1"/>
  <c r="E475" i="1"/>
  <c r="D475" i="1"/>
  <c r="C475" i="1"/>
  <c r="B475" i="1"/>
  <c r="A475" i="1"/>
  <c r="J474" i="1"/>
  <c r="K474" i="1" s="1"/>
  <c r="I474" i="1"/>
  <c r="E474" i="1"/>
  <c r="D474" i="1"/>
  <c r="C474" i="1"/>
  <c r="B474" i="1"/>
  <c r="A474" i="1"/>
  <c r="J473" i="1"/>
  <c r="K473" i="1" s="1"/>
  <c r="I473" i="1"/>
  <c r="E473" i="1"/>
  <c r="D473" i="1"/>
  <c r="C473" i="1"/>
  <c r="B473" i="1"/>
  <c r="A473" i="1"/>
  <c r="J472" i="1"/>
  <c r="K472" i="1" s="1"/>
  <c r="I472" i="1"/>
  <c r="E472" i="1"/>
  <c r="D472" i="1"/>
  <c r="C472" i="1"/>
  <c r="B472" i="1"/>
  <c r="A472" i="1"/>
  <c r="J471" i="1"/>
  <c r="K471" i="1" s="1"/>
  <c r="I471" i="1"/>
  <c r="E471" i="1"/>
  <c r="D471" i="1"/>
  <c r="C471" i="1"/>
  <c r="B471" i="1"/>
  <c r="A471" i="1"/>
  <c r="J470" i="1"/>
  <c r="K470" i="1" s="1"/>
  <c r="I470" i="1"/>
  <c r="E470" i="1"/>
  <c r="D470" i="1"/>
  <c r="C470" i="1"/>
  <c r="B470" i="1"/>
  <c r="A470" i="1"/>
  <c r="J469" i="1"/>
  <c r="K469" i="1" s="1"/>
  <c r="I469" i="1"/>
  <c r="E469" i="1"/>
  <c r="D469" i="1"/>
  <c r="C469" i="1"/>
  <c r="B469" i="1"/>
  <c r="A469" i="1"/>
  <c r="J468" i="1"/>
  <c r="K468" i="1" s="1"/>
  <c r="I468" i="1"/>
  <c r="E468" i="1"/>
  <c r="D468" i="1"/>
  <c r="C468" i="1"/>
  <c r="B468" i="1"/>
  <c r="A468" i="1"/>
  <c r="J467" i="1"/>
  <c r="I467" i="1"/>
  <c r="K467" i="1" s="1"/>
  <c r="E467" i="1"/>
  <c r="D467" i="1"/>
  <c r="C467" i="1"/>
  <c r="B467" i="1"/>
  <c r="A467" i="1"/>
  <c r="J466" i="1"/>
  <c r="K466" i="1" s="1"/>
  <c r="I466" i="1"/>
  <c r="E466" i="1"/>
  <c r="D466" i="1"/>
  <c r="C466" i="1"/>
  <c r="B466" i="1"/>
  <c r="A466" i="1"/>
  <c r="J465" i="1"/>
  <c r="K465" i="1" s="1"/>
  <c r="L528" i="1" s="1"/>
  <c r="I465" i="1"/>
  <c r="E465" i="1"/>
  <c r="D465" i="1"/>
  <c r="C465" i="1"/>
  <c r="B465" i="1"/>
  <c r="A465" i="1"/>
  <c r="J464" i="1"/>
  <c r="K464" i="1" s="1"/>
  <c r="L464" i="1" s="1"/>
  <c r="I464" i="1"/>
  <c r="E464" i="1"/>
  <c r="D464" i="1"/>
  <c r="C464" i="1"/>
  <c r="B464" i="1"/>
  <c r="A464" i="1"/>
  <c r="J463" i="1"/>
  <c r="K463" i="1" s="1"/>
  <c r="I463" i="1"/>
  <c r="E463" i="1"/>
  <c r="D463" i="1"/>
  <c r="C463" i="1"/>
  <c r="B463" i="1"/>
  <c r="A463" i="1"/>
  <c r="J462" i="1"/>
  <c r="K462" i="1" s="1"/>
  <c r="E462" i="1"/>
  <c r="D462" i="1"/>
  <c r="C462" i="1"/>
  <c r="B462" i="1"/>
  <c r="A462" i="1"/>
  <c r="J461" i="1"/>
  <c r="K461" i="1" s="1"/>
  <c r="I461" i="1"/>
  <c r="E461" i="1"/>
  <c r="D461" i="1"/>
  <c r="C461" i="1"/>
  <c r="B461" i="1"/>
  <c r="A461" i="1"/>
  <c r="J460" i="1"/>
  <c r="K460" i="1" s="1"/>
  <c r="I460" i="1"/>
  <c r="E460" i="1"/>
  <c r="D460" i="1"/>
  <c r="C460" i="1"/>
  <c r="B460" i="1"/>
  <c r="A460" i="1"/>
  <c r="J459" i="1"/>
  <c r="K459" i="1" s="1"/>
  <c r="I459" i="1"/>
  <c r="E459" i="1"/>
  <c r="D459" i="1"/>
  <c r="C459" i="1"/>
  <c r="B459" i="1"/>
  <c r="A459" i="1"/>
  <c r="J458" i="1"/>
  <c r="K458" i="1" s="1"/>
  <c r="I458" i="1"/>
  <c r="E458" i="1"/>
  <c r="D458" i="1"/>
  <c r="C458" i="1"/>
  <c r="B458" i="1"/>
  <c r="A458" i="1"/>
  <c r="J457" i="1"/>
  <c r="K457" i="1" s="1"/>
  <c r="I457" i="1"/>
  <c r="E457" i="1"/>
  <c r="D457" i="1"/>
  <c r="C457" i="1"/>
  <c r="B457" i="1"/>
  <c r="A457" i="1"/>
  <c r="J456" i="1"/>
  <c r="K456" i="1" s="1"/>
  <c r="I456" i="1"/>
  <c r="E456" i="1"/>
  <c r="D456" i="1"/>
  <c r="C456" i="1"/>
  <c r="B456" i="1"/>
  <c r="A456" i="1"/>
  <c r="J455" i="1"/>
  <c r="K455" i="1" s="1"/>
  <c r="I455" i="1"/>
  <c r="E455" i="1"/>
  <c r="D455" i="1"/>
  <c r="C455" i="1"/>
  <c r="B455" i="1"/>
  <c r="A455" i="1"/>
  <c r="J454" i="1"/>
  <c r="K454" i="1" s="1"/>
  <c r="I454" i="1"/>
  <c r="E454" i="1"/>
  <c r="D454" i="1"/>
  <c r="C454" i="1"/>
  <c r="B454" i="1"/>
  <c r="A454" i="1"/>
  <c r="J453" i="1"/>
  <c r="K453" i="1" s="1"/>
  <c r="I453" i="1"/>
  <c r="E453" i="1"/>
  <c r="D453" i="1"/>
  <c r="C453" i="1"/>
  <c r="B453" i="1"/>
  <c r="A453" i="1"/>
  <c r="J452" i="1"/>
  <c r="K452" i="1" s="1"/>
  <c r="I452" i="1"/>
  <c r="E452" i="1"/>
  <c r="D452" i="1"/>
  <c r="C452" i="1"/>
  <c r="B452" i="1"/>
  <c r="A452" i="1"/>
  <c r="J451" i="1"/>
  <c r="K451" i="1" s="1"/>
  <c r="I451" i="1"/>
  <c r="E451" i="1"/>
  <c r="D451" i="1"/>
  <c r="C451" i="1"/>
  <c r="B451" i="1"/>
  <c r="A451" i="1"/>
  <c r="J450" i="1"/>
  <c r="K450" i="1" s="1"/>
  <c r="I450" i="1"/>
  <c r="E450" i="1"/>
  <c r="D450" i="1"/>
  <c r="C450" i="1"/>
  <c r="B450" i="1"/>
  <c r="A450" i="1"/>
  <c r="J449" i="1"/>
  <c r="K449" i="1" s="1"/>
  <c r="I449" i="1"/>
  <c r="E449" i="1"/>
  <c r="D449" i="1"/>
  <c r="C449" i="1"/>
  <c r="B449" i="1"/>
  <c r="A449" i="1"/>
  <c r="J448" i="1"/>
  <c r="K448" i="1" s="1"/>
  <c r="I448" i="1"/>
  <c r="E448" i="1"/>
  <c r="D448" i="1"/>
  <c r="C448" i="1"/>
  <c r="B448" i="1"/>
  <c r="A448" i="1"/>
  <c r="J447" i="1"/>
  <c r="K447" i="1" s="1"/>
  <c r="I447" i="1"/>
  <c r="E447" i="1"/>
  <c r="D447" i="1"/>
  <c r="C447" i="1"/>
  <c r="B447" i="1"/>
  <c r="A447" i="1"/>
  <c r="J446" i="1"/>
  <c r="K446" i="1" s="1"/>
  <c r="I446" i="1"/>
  <c r="E446" i="1"/>
  <c r="D446" i="1"/>
  <c r="C446" i="1"/>
  <c r="B446" i="1"/>
  <c r="A446" i="1"/>
  <c r="J445" i="1"/>
  <c r="K445" i="1" s="1"/>
  <c r="I445" i="1"/>
  <c r="E445" i="1"/>
  <c r="D445" i="1"/>
  <c r="C445" i="1"/>
  <c r="B445" i="1"/>
  <c r="A445" i="1"/>
  <c r="J444" i="1"/>
  <c r="K444" i="1" s="1"/>
  <c r="I444" i="1"/>
  <c r="E444" i="1"/>
  <c r="D444" i="1"/>
  <c r="C444" i="1"/>
  <c r="B444" i="1"/>
  <c r="A444" i="1"/>
  <c r="J443" i="1"/>
  <c r="K443" i="1" s="1"/>
  <c r="I443" i="1"/>
  <c r="E443" i="1"/>
  <c r="D443" i="1"/>
  <c r="C443" i="1"/>
  <c r="B443" i="1"/>
  <c r="A443" i="1"/>
  <c r="J442" i="1"/>
  <c r="K442" i="1" s="1"/>
  <c r="I442" i="1"/>
  <c r="E442" i="1"/>
  <c r="D442" i="1"/>
  <c r="C442" i="1"/>
  <c r="B442" i="1"/>
  <c r="A442" i="1"/>
  <c r="J441" i="1"/>
  <c r="K441" i="1" s="1"/>
  <c r="I441" i="1"/>
  <c r="E441" i="1"/>
  <c r="D441" i="1"/>
  <c r="C441" i="1"/>
  <c r="B441" i="1"/>
  <c r="A441" i="1"/>
  <c r="J440" i="1"/>
  <c r="K440" i="1" s="1"/>
  <c r="I440" i="1"/>
  <c r="E440" i="1"/>
  <c r="D440" i="1"/>
  <c r="C440" i="1"/>
  <c r="B440" i="1"/>
  <c r="A440" i="1"/>
  <c r="J439" i="1"/>
  <c r="K439" i="1" s="1"/>
  <c r="I439" i="1"/>
  <c r="E439" i="1"/>
  <c r="D439" i="1"/>
  <c r="C439" i="1"/>
  <c r="B439" i="1"/>
  <c r="A439" i="1"/>
  <c r="J438" i="1"/>
  <c r="K438" i="1" s="1"/>
  <c r="I438" i="1"/>
  <c r="E438" i="1"/>
  <c r="D438" i="1"/>
  <c r="C438" i="1"/>
  <c r="B438" i="1"/>
  <c r="A438" i="1"/>
  <c r="J437" i="1"/>
  <c r="K437" i="1" s="1"/>
  <c r="I437" i="1"/>
  <c r="E437" i="1"/>
  <c r="D437" i="1"/>
  <c r="C437" i="1"/>
  <c r="B437" i="1"/>
  <c r="A437" i="1"/>
  <c r="J436" i="1"/>
  <c r="K436" i="1" s="1"/>
  <c r="I436" i="1"/>
  <c r="E436" i="1"/>
  <c r="D436" i="1"/>
  <c r="C436" i="1"/>
  <c r="B436" i="1"/>
  <c r="A436" i="1"/>
  <c r="J435" i="1"/>
  <c r="K435" i="1" s="1"/>
  <c r="I435" i="1"/>
  <c r="E435" i="1"/>
  <c r="D435" i="1"/>
  <c r="C435" i="1"/>
  <c r="B435" i="1"/>
  <c r="A435" i="1"/>
  <c r="J434" i="1"/>
  <c r="K434" i="1" s="1"/>
  <c r="I434" i="1"/>
  <c r="E434" i="1"/>
  <c r="D434" i="1"/>
  <c r="C434" i="1"/>
  <c r="B434" i="1"/>
  <c r="A434" i="1"/>
  <c r="J433" i="1"/>
  <c r="K433" i="1" s="1"/>
  <c r="I433" i="1"/>
  <c r="E433" i="1"/>
  <c r="D433" i="1"/>
  <c r="C433" i="1"/>
  <c r="B433" i="1"/>
  <c r="A433" i="1"/>
  <c r="J432" i="1"/>
  <c r="K432" i="1" s="1"/>
  <c r="I432" i="1"/>
  <c r="E432" i="1"/>
  <c r="D432" i="1"/>
  <c r="C432" i="1"/>
  <c r="B432" i="1"/>
  <c r="A432" i="1"/>
  <c r="J431" i="1"/>
  <c r="K431" i="1" s="1"/>
  <c r="I431" i="1"/>
  <c r="E431" i="1"/>
  <c r="D431" i="1"/>
  <c r="C431" i="1"/>
  <c r="B431" i="1"/>
  <c r="A431" i="1"/>
  <c r="J430" i="1"/>
  <c r="K430" i="1" s="1"/>
  <c r="I430" i="1"/>
  <c r="E430" i="1"/>
  <c r="D430" i="1"/>
  <c r="C430" i="1"/>
  <c r="B430" i="1"/>
  <c r="A430" i="1"/>
  <c r="J429" i="1"/>
  <c r="K429" i="1" s="1"/>
  <c r="I429" i="1"/>
  <c r="E429" i="1"/>
  <c r="D429" i="1"/>
  <c r="C429" i="1"/>
  <c r="B429" i="1"/>
  <c r="A429" i="1"/>
  <c r="J428" i="1"/>
  <c r="K428" i="1" s="1"/>
  <c r="I428" i="1"/>
  <c r="E428" i="1"/>
  <c r="D428" i="1"/>
  <c r="C428" i="1"/>
  <c r="B428" i="1"/>
  <c r="A428" i="1"/>
  <c r="J427" i="1"/>
  <c r="K427" i="1" s="1"/>
  <c r="I427" i="1"/>
  <c r="E427" i="1"/>
  <c r="D427" i="1"/>
  <c r="C427" i="1"/>
  <c r="B427" i="1"/>
  <c r="A427" i="1"/>
  <c r="J426" i="1"/>
  <c r="K426" i="1" s="1"/>
  <c r="I426" i="1"/>
  <c r="E426" i="1"/>
  <c r="D426" i="1"/>
  <c r="C426" i="1"/>
  <c r="B426" i="1"/>
  <c r="A426" i="1"/>
  <c r="J425" i="1"/>
  <c r="K425" i="1" s="1"/>
  <c r="I425" i="1"/>
  <c r="E425" i="1"/>
  <c r="D425" i="1"/>
  <c r="C425" i="1"/>
  <c r="B425" i="1"/>
  <c r="A425" i="1"/>
  <c r="J424" i="1"/>
  <c r="K424" i="1" s="1"/>
  <c r="I424" i="1"/>
  <c r="E424" i="1"/>
  <c r="D424" i="1"/>
  <c r="C424" i="1"/>
  <c r="B424" i="1"/>
  <c r="A424" i="1"/>
  <c r="J423" i="1"/>
  <c r="K423" i="1" s="1"/>
  <c r="I423" i="1"/>
  <c r="E423" i="1"/>
  <c r="D423" i="1"/>
  <c r="C423" i="1"/>
  <c r="B423" i="1"/>
  <c r="A423" i="1"/>
  <c r="J422" i="1"/>
  <c r="K422" i="1" s="1"/>
  <c r="I422" i="1"/>
  <c r="E422" i="1"/>
  <c r="D422" i="1"/>
  <c r="C422" i="1"/>
  <c r="B422" i="1"/>
  <c r="A422" i="1"/>
  <c r="J421" i="1"/>
  <c r="K421" i="1" s="1"/>
  <c r="I421" i="1"/>
  <c r="E421" i="1"/>
  <c r="D421" i="1"/>
  <c r="C421" i="1"/>
  <c r="B421" i="1"/>
  <c r="A421" i="1"/>
  <c r="J420" i="1"/>
  <c r="K420" i="1" s="1"/>
  <c r="I420" i="1"/>
  <c r="E420" i="1"/>
  <c r="D420" i="1"/>
  <c r="C420" i="1"/>
  <c r="B420" i="1"/>
  <c r="A420" i="1"/>
  <c r="J419" i="1"/>
  <c r="K419" i="1" s="1"/>
  <c r="I419" i="1"/>
  <c r="E419" i="1"/>
  <c r="D419" i="1"/>
  <c r="C419" i="1"/>
  <c r="B419" i="1"/>
  <c r="A419" i="1"/>
  <c r="J418" i="1"/>
  <c r="K418" i="1" s="1"/>
  <c r="I418" i="1"/>
  <c r="E418" i="1"/>
  <c r="D418" i="1"/>
  <c r="C418" i="1"/>
  <c r="B418" i="1"/>
  <c r="A418" i="1"/>
  <c r="J417" i="1"/>
  <c r="K417" i="1" s="1"/>
  <c r="I417" i="1"/>
  <c r="E417" i="1"/>
  <c r="D417" i="1"/>
  <c r="C417" i="1"/>
  <c r="B417" i="1"/>
  <c r="A417" i="1"/>
  <c r="J416" i="1"/>
  <c r="K416" i="1" s="1"/>
  <c r="I416" i="1"/>
  <c r="E416" i="1"/>
  <c r="D416" i="1"/>
  <c r="C416" i="1"/>
  <c r="B416" i="1"/>
  <c r="A416" i="1"/>
  <c r="J415" i="1"/>
  <c r="K415" i="1" s="1"/>
  <c r="I415" i="1"/>
  <c r="E415" i="1"/>
  <c r="D415" i="1"/>
  <c r="C415" i="1"/>
  <c r="B415" i="1"/>
  <c r="A415" i="1"/>
  <c r="J414" i="1"/>
  <c r="K414" i="1" s="1"/>
  <c r="I414" i="1"/>
  <c r="E414" i="1"/>
  <c r="D414" i="1"/>
  <c r="C414" i="1"/>
  <c r="B414" i="1"/>
  <c r="A414" i="1"/>
  <c r="J413" i="1"/>
  <c r="K413" i="1" s="1"/>
  <c r="I413" i="1"/>
  <c r="E413" i="1"/>
  <c r="D413" i="1"/>
  <c r="C413" i="1"/>
  <c r="B413" i="1"/>
  <c r="A413" i="1"/>
  <c r="J412" i="1"/>
  <c r="K412" i="1" s="1"/>
  <c r="I412" i="1"/>
  <c r="E412" i="1"/>
  <c r="D412" i="1"/>
  <c r="C412" i="1"/>
  <c r="B412" i="1"/>
  <c r="A412" i="1"/>
  <c r="J411" i="1"/>
  <c r="K411" i="1" s="1"/>
  <c r="I411" i="1"/>
  <c r="E411" i="1"/>
  <c r="D411" i="1"/>
  <c r="C411" i="1"/>
  <c r="B411" i="1"/>
  <c r="A411" i="1"/>
  <c r="J410" i="1"/>
  <c r="K410" i="1" s="1"/>
  <c r="I410" i="1"/>
  <c r="E410" i="1"/>
  <c r="D410" i="1"/>
  <c r="C410" i="1"/>
  <c r="B410" i="1"/>
  <c r="A410" i="1"/>
  <c r="J409" i="1"/>
  <c r="K409" i="1" s="1"/>
  <c r="I409" i="1"/>
  <c r="E409" i="1"/>
  <c r="D409" i="1"/>
  <c r="C409" i="1"/>
  <c r="B409" i="1"/>
  <c r="A409" i="1"/>
  <c r="J408" i="1"/>
  <c r="K408" i="1" s="1"/>
  <c r="I408" i="1"/>
  <c r="E408" i="1"/>
  <c r="D408" i="1"/>
  <c r="C408" i="1"/>
  <c r="B408" i="1"/>
  <c r="A408" i="1"/>
  <c r="J407" i="1"/>
  <c r="K407" i="1" s="1"/>
  <c r="I407" i="1"/>
  <c r="E407" i="1"/>
  <c r="D407" i="1"/>
  <c r="C407" i="1"/>
  <c r="B407" i="1"/>
  <c r="A407" i="1"/>
  <c r="J406" i="1"/>
  <c r="K406" i="1" s="1"/>
  <c r="I406" i="1"/>
  <c r="E406" i="1"/>
  <c r="D406" i="1"/>
  <c r="C406" i="1"/>
  <c r="B406" i="1"/>
  <c r="A406" i="1"/>
  <c r="J405" i="1"/>
  <c r="K405" i="1" s="1"/>
  <c r="I405" i="1"/>
  <c r="E405" i="1"/>
  <c r="D405" i="1"/>
  <c r="C405" i="1"/>
  <c r="B405" i="1"/>
  <c r="A405" i="1"/>
  <c r="J404" i="1"/>
  <c r="K404" i="1" s="1"/>
  <c r="I404" i="1"/>
  <c r="E404" i="1"/>
  <c r="D404" i="1"/>
  <c r="C404" i="1"/>
  <c r="B404" i="1"/>
  <c r="A404" i="1"/>
  <c r="J403" i="1"/>
  <c r="K403" i="1" s="1"/>
  <c r="I403" i="1"/>
  <c r="E403" i="1"/>
  <c r="D403" i="1"/>
  <c r="C403" i="1"/>
  <c r="B403" i="1"/>
  <c r="A403" i="1"/>
  <c r="J402" i="1"/>
  <c r="K402" i="1" s="1"/>
  <c r="L463" i="1" s="1"/>
  <c r="I402" i="1"/>
  <c r="E402" i="1"/>
  <c r="D402" i="1"/>
  <c r="C402" i="1"/>
  <c r="B402" i="1"/>
  <c r="A402" i="1"/>
  <c r="J401" i="1"/>
  <c r="K401" i="1" s="1"/>
  <c r="I401" i="1"/>
  <c r="E401" i="1"/>
  <c r="D401" i="1"/>
  <c r="C401" i="1"/>
  <c r="B401" i="1"/>
  <c r="A401" i="1"/>
  <c r="J400" i="1"/>
  <c r="K400" i="1" s="1"/>
  <c r="L400" i="1" s="1"/>
  <c r="I400" i="1"/>
  <c r="E400" i="1"/>
  <c r="D400" i="1"/>
  <c r="C400" i="1"/>
  <c r="B400" i="1"/>
  <c r="A400" i="1"/>
  <c r="J399" i="1"/>
  <c r="K399" i="1" s="1"/>
  <c r="I399" i="1"/>
  <c r="E399" i="1"/>
  <c r="D399" i="1"/>
  <c r="C399" i="1"/>
  <c r="B399" i="1"/>
  <c r="A399" i="1"/>
  <c r="J398" i="1"/>
  <c r="K398" i="1" s="1"/>
  <c r="I398" i="1"/>
  <c r="E398" i="1"/>
  <c r="D398" i="1"/>
  <c r="C398" i="1"/>
  <c r="B398" i="1"/>
  <c r="A398" i="1"/>
  <c r="J397" i="1"/>
  <c r="K397" i="1" s="1"/>
  <c r="I397" i="1"/>
  <c r="E397" i="1"/>
  <c r="D397" i="1"/>
  <c r="C397" i="1"/>
  <c r="B397" i="1"/>
  <c r="A397" i="1"/>
  <c r="J396" i="1"/>
  <c r="K396" i="1" s="1"/>
  <c r="I396" i="1"/>
  <c r="E396" i="1"/>
  <c r="D396" i="1"/>
  <c r="C396" i="1"/>
  <c r="B396" i="1"/>
  <c r="A396" i="1"/>
  <c r="J395" i="1"/>
  <c r="K395" i="1" s="1"/>
  <c r="I395" i="1"/>
  <c r="E395" i="1"/>
  <c r="D395" i="1"/>
  <c r="C395" i="1"/>
  <c r="B395" i="1"/>
  <c r="A395" i="1"/>
  <c r="J394" i="1"/>
  <c r="K394" i="1" s="1"/>
  <c r="I394" i="1"/>
  <c r="E394" i="1"/>
  <c r="D394" i="1"/>
  <c r="C394" i="1"/>
  <c r="B394" i="1"/>
  <c r="A394" i="1"/>
  <c r="J393" i="1"/>
  <c r="K393" i="1" s="1"/>
  <c r="I393" i="1"/>
  <c r="E393" i="1"/>
  <c r="D393" i="1"/>
  <c r="C393" i="1"/>
  <c r="B393" i="1"/>
  <c r="A393" i="1"/>
  <c r="J392" i="1"/>
  <c r="K392" i="1" s="1"/>
  <c r="I392" i="1"/>
  <c r="E392" i="1"/>
  <c r="D392" i="1"/>
  <c r="C392" i="1"/>
  <c r="B392" i="1"/>
  <c r="A392" i="1"/>
  <c r="J391" i="1"/>
  <c r="K391" i="1" s="1"/>
  <c r="I391" i="1"/>
  <c r="E391" i="1"/>
  <c r="D391" i="1"/>
  <c r="C391" i="1"/>
  <c r="B391" i="1"/>
  <c r="A391" i="1"/>
  <c r="J390" i="1"/>
  <c r="K390" i="1" s="1"/>
  <c r="I390" i="1"/>
  <c r="E390" i="1"/>
  <c r="D390" i="1"/>
  <c r="C390" i="1"/>
  <c r="B390" i="1"/>
  <c r="A390" i="1"/>
  <c r="J389" i="1"/>
  <c r="K389" i="1" s="1"/>
  <c r="I389" i="1"/>
  <c r="E389" i="1"/>
  <c r="D389" i="1"/>
  <c r="C389" i="1"/>
  <c r="B389" i="1"/>
  <c r="A389" i="1"/>
  <c r="J388" i="1"/>
  <c r="K388" i="1" s="1"/>
  <c r="I388" i="1"/>
  <c r="E388" i="1"/>
  <c r="D388" i="1"/>
  <c r="C388" i="1"/>
  <c r="B388" i="1"/>
  <c r="A388" i="1"/>
  <c r="J387" i="1"/>
  <c r="K387" i="1" s="1"/>
  <c r="I387" i="1"/>
  <c r="E387" i="1"/>
  <c r="D387" i="1"/>
  <c r="C387" i="1"/>
  <c r="B387" i="1"/>
  <c r="A387" i="1"/>
  <c r="J386" i="1"/>
  <c r="K386" i="1" s="1"/>
  <c r="I386" i="1"/>
  <c r="E386" i="1"/>
  <c r="D386" i="1"/>
  <c r="C386" i="1"/>
  <c r="B386" i="1"/>
  <c r="A386" i="1"/>
  <c r="J385" i="1"/>
  <c r="K385" i="1" s="1"/>
  <c r="I385" i="1"/>
  <c r="E385" i="1"/>
  <c r="D385" i="1"/>
  <c r="C385" i="1"/>
  <c r="B385" i="1"/>
  <c r="A385" i="1"/>
  <c r="J384" i="1"/>
  <c r="K384" i="1" s="1"/>
  <c r="I384" i="1"/>
  <c r="E384" i="1"/>
  <c r="D384" i="1"/>
  <c r="C384" i="1"/>
  <c r="B384" i="1"/>
  <c r="A384" i="1"/>
  <c r="J383" i="1"/>
  <c r="K383" i="1" s="1"/>
  <c r="I383" i="1"/>
  <c r="E383" i="1"/>
  <c r="D383" i="1"/>
  <c r="C383" i="1"/>
  <c r="B383" i="1"/>
  <c r="A383" i="1"/>
  <c r="J382" i="1"/>
  <c r="K382" i="1" s="1"/>
  <c r="I382" i="1"/>
  <c r="E382" i="1"/>
  <c r="D382" i="1"/>
  <c r="C382" i="1"/>
  <c r="B382" i="1"/>
  <c r="A382" i="1"/>
  <c r="J381" i="1"/>
  <c r="K381" i="1" s="1"/>
  <c r="I381" i="1"/>
  <c r="E381" i="1"/>
  <c r="D381" i="1"/>
  <c r="C381" i="1"/>
  <c r="B381" i="1"/>
  <c r="A381" i="1"/>
  <c r="J380" i="1"/>
  <c r="K380" i="1" s="1"/>
  <c r="I380" i="1"/>
  <c r="E380" i="1"/>
  <c r="D380" i="1"/>
  <c r="C380" i="1"/>
  <c r="B380" i="1"/>
  <c r="A380" i="1"/>
  <c r="J379" i="1"/>
  <c r="K379" i="1" s="1"/>
  <c r="I379" i="1"/>
  <c r="E379" i="1"/>
  <c r="D379" i="1"/>
  <c r="C379" i="1"/>
  <c r="B379" i="1"/>
  <c r="A379" i="1"/>
  <c r="J378" i="1"/>
  <c r="K378" i="1" s="1"/>
  <c r="I378" i="1"/>
  <c r="E378" i="1"/>
  <c r="D378" i="1"/>
  <c r="C378" i="1"/>
  <c r="B378" i="1"/>
  <c r="A378" i="1"/>
  <c r="J377" i="1"/>
  <c r="K377" i="1" s="1"/>
  <c r="I377" i="1"/>
  <c r="E377" i="1"/>
  <c r="D377" i="1"/>
  <c r="C377" i="1"/>
  <c r="B377" i="1"/>
  <c r="A377" i="1"/>
  <c r="J376" i="1"/>
  <c r="K376" i="1" s="1"/>
  <c r="I376" i="1"/>
  <c r="E376" i="1"/>
  <c r="D376" i="1"/>
  <c r="C376" i="1"/>
  <c r="B376" i="1"/>
  <c r="A376" i="1"/>
  <c r="J375" i="1"/>
  <c r="K375" i="1" s="1"/>
  <c r="I375" i="1"/>
  <c r="E375" i="1"/>
  <c r="D375" i="1"/>
  <c r="C375" i="1"/>
  <c r="B375" i="1"/>
  <c r="A375" i="1"/>
  <c r="J374" i="1"/>
  <c r="K374" i="1" s="1"/>
  <c r="I374" i="1"/>
  <c r="E374" i="1"/>
  <c r="D374" i="1"/>
  <c r="C374" i="1"/>
  <c r="B374" i="1"/>
  <c r="A374" i="1"/>
  <c r="J373" i="1"/>
  <c r="K373" i="1" s="1"/>
  <c r="I373" i="1"/>
  <c r="E373" i="1"/>
  <c r="D373" i="1"/>
  <c r="C373" i="1"/>
  <c r="B373" i="1"/>
  <c r="A373" i="1"/>
  <c r="J372" i="1"/>
  <c r="K372" i="1" s="1"/>
  <c r="I372" i="1"/>
  <c r="E372" i="1"/>
  <c r="D372" i="1"/>
  <c r="C372" i="1"/>
  <c r="B372" i="1"/>
  <c r="A372" i="1"/>
  <c r="J371" i="1"/>
  <c r="K371" i="1" s="1"/>
  <c r="I371" i="1"/>
  <c r="E371" i="1"/>
  <c r="D371" i="1"/>
  <c r="C371" i="1"/>
  <c r="B371" i="1"/>
  <c r="A371" i="1"/>
  <c r="J370" i="1"/>
  <c r="K370" i="1" s="1"/>
  <c r="I370" i="1"/>
  <c r="E370" i="1"/>
  <c r="D370" i="1"/>
  <c r="C370" i="1"/>
  <c r="B370" i="1"/>
  <c r="A370" i="1"/>
  <c r="J369" i="1"/>
  <c r="K369" i="1" s="1"/>
  <c r="I369" i="1"/>
  <c r="E369" i="1"/>
  <c r="D369" i="1"/>
  <c r="C369" i="1"/>
  <c r="B369" i="1"/>
  <c r="A369" i="1"/>
  <c r="J368" i="1"/>
  <c r="K368" i="1" s="1"/>
  <c r="I368" i="1"/>
  <c r="E368" i="1"/>
  <c r="D368" i="1"/>
  <c r="C368" i="1"/>
  <c r="B368" i="1"/>
  <c r="A368" i="1"/>
  <c r="J367" i="1"/>
  <c r="K367" i="1" s="1"/>
  <c r="I367" i="1"/>
  <c r="E367" i="1"/>
  <c r="D367" i="1"/>
  <c r="C367" i="1"/>
  <c r="B367" i="1"/>
  <c r="A367" i="1"/>
  <c r="J366" i="1"/>
  <c r="K366" i="1" s="1"/>
  <c r="I366" i="1"/>
  <c r="E366" i="1"/>
  <c r="D366" i="1"/>
  <c r="C366" i="1"/>
  <c r="B366" i="1"/>
  <c r="A366" i="1"/>
  <c r="J365" i="1"/>
  <c r="K365" i="1" s="1"/>
  <c r="I365" i="1"/>
  <c r="E365" i="1"/>
  <c r="D365" i="1"/>
  <c r="C365" i="1"/>
  <c r="B365" i="1"/>
  <c r="A365" i="1"/>
  <c r="J364" i="1"/>
  <c r="K364" i="1" s="1"/>
  <c r="I364" i="1"/>
  <c r="E364" i="1"/>
  <c r="D364" i="1"/>
  <c r="C364" i="1"/>
  <c r="B364" i="1"/>
  <c r="A364" i="1"/>
  <c r="J363" i="1"/>
  <c r="K363" i="1" s="1"/>
  <c r="I363" i="1"/>
  <c r="E363" i="1"/>
  <c r="D363" i="1"/>
  <c r="C363" i="1"/>
  <c r="B363" i="1"/>
  <c r="A363" i="1"/>
  <c r="J362" i="1"/>
  <c r="K362" i="1" s="1"/>
  <c r="I362" i="1"/>
  <c r="E362" i="1"/>
  <c r="D362" i="1"/>
  <c r="C362" i="1"/>
  <c r="B362" i="1"/>
  <c r="A362" i="1"/>
  <c r="J361" i="1"/>
  <c r="K361" i="1" s="1"/>
  <c r="I361" i="1"/>
  <c r="E361" i="1"/>
  <c r="D361" i="1"/>
  <c r="C361" i="1"/>
  <c r="B361" i="1"/>
  <c r="A361" i="1"/>
  <c r="J360" i="1"/>
  <c r="K360" i="1" s="1"/>
  <c r="I360" i="1"/>
  <c r="E360" i="1"/>
  <c r="D360" i="1"/>
  <c r="C360" i="1"/>
  <c r="B360" i="1"/>
  <c r="A360" i="1"/>
  <c r="J359" i="1"/>
  <c r="K359" i="1" s="1"/>
  <c r="I359" i="1"/>
  <c r="E359" i="1"/>
  <c r="D359" i="1"/>
  <c r="C359" i="1"/>
  <c r="B359" i="1"/>
  <c r="A359" i="1"/>
  <c r="J358" i="1"/>
  <c r="K358" i="1" s="1"/>
  <c r="I358" i="1"/>
  <c r="E358" i="1"/>
  <c r="D358" i="1"/>
  <c r="C358" i="1"/>
  <c r="B358" i="1"/>
  <c r="A358" i="1"/>
  <c r="J357" i="1"/>
  <c r="K357" i="1" s="1"/>
  <c r="I357" i="1"/>
  <c r="E357" i="1"/>
  <c r="D357" i="1"/>
  <c r="C357" i="1"/>
  <c r="B357" i="1"/>
  <c r="A357" i="1"/>
  <c r="J356" i="1"/>
  <c r="K356" i="1" s="1"/>
  <c r="I356" i="1"/>
  <c r="E356" i="1"/>
  <c r="D356" i="1"/>
  <c r="C356" i="1"/>
  <c r="B356" i="1"/>
  <c r="A356" i="1"/>
  <c r="J355" i="1"/>
  <c r="K355" i="1" s="1"/>
  <c r="I355" i="1"/>
  <c r="E355" i="1"/>
  <c r="D355" i="1"/>
  <c r="C355" i="1"/>
  <c r="B355" i="1"/>
  <c r="A355" i="1"/>
  <c r="J354" i="1"/>
  <c r="K354" i="1" s="1"/>
  <c r="I354" i="1"/>
  <c r="E354" i="1"/>
  <c r="D354" i="1"/>
  <c r="C354" i="1"/>
  <c r="B354" i="1"/>
  <c r="A354" i="1"/>
  <c r="J353" i="1"/>
  <c r="K353" i="1" s="1"/>
  <c r="I353" i="1"/>
  <c r="E353" i="1"/>
  <c r="D353" i="1"/>
  <c r="C353" i="1"/>
  <c r="B353" i="1"/>
  <c r="A353" i="1"/>
  <c r="J352" i="1"/>
  <c r="I352" i="1"/>
  <c r="K352" i="1" s="1"/>
  <c r="E352" i="1"/>
  <c r="D352" i="1"/>
  <c r="C352" i="1"/>
  <c r="B352" i="1"/>
  <c r="A352" i="1"/>
  <c r="J351" i="1"/>
  <c r="K351" i="1" s="1"/>
  <c r="I351" i="1"/>
  <c r="E351" i="1"/>
  <c r="D351" i="1"/>
  <c r="C351" i="1"/>
  <c r="B351" i="1"/>
  <c r="A351" i="1"/>
  <c r="J350" i="1"/>
  <c r="K350" i="1" s="1"/>
  <c r="I350" i="1"/>
  <c r="E350" i="1"/>
  <c r="D350" i="1"/>
  <c r="C350" i="1"/>
  <c r="B350" i="1"/>
  <c r="A350" i="1"/>
  <c r="J349" i="1"/>
  <c r="K349" i="1" s="1"/>
  <c r="I349" i="1"/>
  <c r="E349" i="1"/>
  <c r="D349" i="1"/>
  <c r="C349" i="1"/>
  <c r="B349" i="1"/>
  <c r="A349" i="1"/>
  <c r="J348" i="1"/>
  <c r="K348" i="1" s="1"/>
  <c r="I348" i="1"/>
  <c r="E348" i="1"/>
  <c r="D348" i="1"/>
  <c r="C348" i="1"/>
  <c r="B348" i="1"/>
  <c r="A348" i="1"/>
  <c r="J347" i="1"/>
  <c r="K347" i="1" s="1"/>
  <c r="I347" i="1"/>
  <c r="E347" i="1"/>
  <c r="D347" i="1"/>
  <c r="C347" i="1"/>
  <c r="B347" i="1"/>
  <c r="A347" i="1"/>
  <c r="J346" i="1"/>
  <c r="K346" i="1" s="1"/>
  <c r="I346" i="1"/>
  <c r="E346" i="1"/>
  <c r="D346" i="1"/>
  <c r="C346" i="1"/>
  <c r="B346" i="1"/>
  <c r="A346" i="1"/>
  <c r="J345" i="1"/>
  <c r="K345" i="1" s="1"/>
  <c r="I345" i="1"/>
  <c r="E345" i="1"/>
  <c r="D345" i="1"/>
  <c r="C345" i="1"/>
  <c r="B345" i="1"/>
  <c r="A345" i="1"/>
  <c r="J344" i="1"/>
  <c r="K344" i="1" s="1"/>
  <c r="I344" i="1"/>
  <c r="E344" i="1"/>
  <c r="D344" i="1"/>
  <c r="C344" i="1"/>
  <c r="B344" i="1"/>
  <c r="A344" i="1"/>
  <c r="J343" i="1"/>
  <c r="K343" i="1" s="1"/>
  <c r="I343" i="1"/>
  <c r="E343" i="1"/>
  <c r="D343" i="1"/>
  <c r="C343" i="1"/>
  <c r="B343" i="1"/>
  <c r="A343" i="1"/>
  <c r="J342" i="1"/>
  <c r="K342" i="1" s="1"/>
  <c r="I342" i="1"/>
  <c r="E342" i="1"/>
  <c r="D342" i="1"/>
  <c r="C342" i="1"/>
  <c r="B342" i="1"/>
  <c r="A342" i="1"/>
  <c r="J341" i="1"/>
  <c r="K341" i="1" s="1"/>
  <c r="I341" i="1"/>
  <c r="E341" i="1"/>
  <c r="D341" i="1"/>
  <c r="C341" i="1"/>
  <c r="B341" i="1"/>
  <c r="A341" i="1"/>
  <c r="K340" i="1"/>
  <c r="J340" i="1"/>
  <c r="I340" i="1"/>
  <c r="E340" i="1"/>
  <c r="D340" i="1"/>
  <c r="C340" i="1"/>
  <c r="B340" i="1"/>
  <c r="A340" i="1"/>
  <c r="J339" i="1"/>
  <c r="K339" i="1" s="1"/>
  <c r="I339" i="1"/>
  <c r="E339" i="1"/>
  <c r="D339" i="1"/>
  <c r="C339" i="1"/>
  <c r="B339" i="1"/>
  <c r="A339" i="1"/>
  <c r="J338" i="1"/>
  <c r="K338" i="1" s="1"/>
  <c r="I338" i="1"/>
  <c r="E338" i="1"/>
  <c r="D338" i="1"/>
  <c r="C338" i="1"/>
  <c r="B338" i="1"/>
  <c r="A338" i="1"/>
  <c r="J337" i="1"/>
  <c r="K337" i="1" s="1"/>
  <c r="I337" i="1"/>
  <c r="E337" i="1"/>
  <c r="D337" i="1"/>
  <c r="C337" i="1"/>
  <c r="B337" i="1"/>
  <c r="A337" i="1"/>
  <c r="J336" i="1"/>
  <c r="K336" i="1" s="1"/>
  <c r="I336" i="1"/>
  <c r="E336" i="1"/>
  <c r="D336" i="1"/>
  <c r="C336" i="1"/>
  <c r="B336" i="1"/>
  <c r="A336" i="1"/>
  <c r="J335" i="1"/>
  <c r="K335" i="1" s="1"/>
  <c r="I335" i="1"/>
  <c r="E335" i="1"/>
  <c r="D335" i="1"/>
  <c r="C335" i="1"/>
  <c r="B335" i="1"/>
  <c r="A335" i="1"/>
  <c r="J334" i="1"/>
  <c r="K334" i="1" s="1"/>
  <c r="I334" i="1"/>
  <c r="E334" i="1"/>
  <c r="D334" i="1"/>
  <c r="C334" i="1"/>
  <c r="B334" i="1"/>
  <c r="A334" i="1"/>
  <c r="J333" i="1"/>
  <c r="K333" i="1" s="1"/>
  <c r="I333" i="1"/>
  <c r="E333" i="1"/>
  <c r="D333" i="1"/>
  <c r="C333" i="1"/>
  <c r="B333" i="1"/>
  <c r="A333" i="1"/>
  <c r="J332" i="1"/>
  <c r="K332" i="1" s="1"/>
  <c r="I332" i="1"/>
  <c r="E332" i="1"/>
  <c r="D332" i="1"/>
  <c r="C332" i="1"/>
  <c r="B332" i="1"/>
  <c r="A332" i="1"/>
  <c r="J331" i="1"/>
  <c r="K331" i="1" s="1"/>
  <c r="I331" i="1"/>
  <c r="E331" i="1"/>
  <c r="D331" i="1"/>
  <c r="C331" i="1"/>
  <c r="B331" i="1"/>
  <c r="A331" i="1"/>
  <c r="J330" i="1"/>
  <c r="K330" i="1" s="1"/>
  <c r="I330" i="1"/>
  <c r="E330" i="1"/>
  <c r="D330" i="1"/>
  <c r="C330" i="1"/>
  <c r="B330" i="1"/>
  <c r="A330" i="1"/>
  <c r="J329" i="1"/>
  <c r="K329" i="1" s="1"/>
  <c r="I329" i="1"/>
  <c r="E329" i="1"/>
  <c r="D329" i="1"/>
  <c r="C329" i="1"/>
  <c r="B329" i="1"/>
  <c r="A329" i="1"/>
  <c r="J328" i="1"/>
  <c r="K328" i="1" s="1"/>
  <c r="I328" i="1"/>
  <c r="E328" i="1"/>
  <c r="D328" i="1"/>
  <c r="C328" i="1"/>
  <c r="B328" i="1"/>
  <c r="A328" i="1"/>
  <c r="J327" i="1"/>
  <c r="K327" i="1" s="1"/>
  <c r="I327" i="1"/>
  <c r="E327" i="1"/>
  <c r="D327" i="1"/>
  <c r="C327" i="1"/>
  <c r="B327" i="1"/>
  <c r="A327" i="1"/>
  <c r="J326" i="1"/>
  <c r="K326" i="1" s="1"/>
  <c r="I326" i="1"/>
  <c r="E326" i="1"/>
  <c r="D326" i="1"/>
  <c r="C326" i="1"/>
  <c r="B326" i="1"/>
  <c r="A326" i="1"/>
  <c r="J325" i="1"/>
  <c r="K325" i="1" s="1"/>
  <c r="I325" i="1"/>
  <c r="E325" i="1"/>
  <c r="D325" i="1"/>
  <c r="C325" i="1"/>
  <c r="B325" i="1"/>
  <c r="A325" i="1"/>
  <c r="J324" i="1"/>
  <c r="K324" i="1" s="1"/>
  <c r="I324" i="1"/>
  <c r="E324" i="1"/>
  <c r="D324" i="1"/>
  <c r="C324" i="1"/>
  <c r="B324" i="1"/>
  <c r="A324" i="1"/>
  <c r="J323" i="1"/>
  <c r="K323" i="1" s="1"/>
  <c r="I323" i="1"/>
  <c r="E323" i="1"/>
  <c r="D323" i="1"/>
  <c r="C323" i="1"/>
  <c r="B323" i="1"/>
  <c r="A323" i="1"/>
  <c r="J322" i="1"/>
  <c r="K322" i="1" s="1"/>
  <c r="I322" i="1"/>
  <c r="E322" i="1"/>
  <c r="D322" i="1"/>
  <c r="C322" i="1"/>
  <c r="B322" i="1"/>
  <c r="A322" i="1"/>
  <c r="J321" i="1"/>
  <c r="K321" i="1" s="1"/>
  <c r="I321" i="1"/>
  <c r="E321" i="1"/>
  <c r="D321" i="1"/>
  <c r="C321" i="1"/>
  <c r="B321" i="1"/>
  <c r="A321" i="1"/>
  <c r="J320" i="1"/>
  <c r="K320" i="1" s="1"/>
  <c r="I320" i="1"/>
  <c r="E320" i="1"/>
  <c r="D320" i="1"/>
  <c r="C320" i="1"/>
  <c r="B320" i="1"/>
  <c r="A320" i="1"/>
  <c r="J319" i="1"/>
  <c r="K319" i="1" s="1"/>
  <c r="I319" i="1"/>
  <c r="E319" i="1"/>
  <c r="D319" i="1"/>
  <c r="C319" i="1"/>
  <c r="B319" i="1"/>
  <c r="A319" i="1"/>
  <c r="J318" i="1"/>
  <c r="K318" i="1" s="1"/>
  <c r="I318" i="1"/>
  <c r="E318" i="1"/>
  <c r="D318" i="1"/>
  <c r="C318" i="1"/>
  <c r="B318" i="1"/>
  <c r="A318" i="1"/>
  <c r="J317" i="1"/>
  <c r="K317" i="1" s="1"/>
  <c r="I317" i="1"/>
  <c r="E317" i="1"/>
  <c r="D317" i="1"/>
  <c r="C317" i="1"/>
  <c r="B317" i="1"/>
  <c r="A317" i="1"/>
  <c r="J316" i="1"/>
  <c r="K316" i="1" s="1"/>
  <c r="L399" i="1" s="1"/>
  <c r="I316" i="1"/>
  <c r="E316" i="1"/>
  <c r="D316" i="1"/>
  <c r="C316" i="1"/>
  <c r="B316" i="1"/>
  <c r="A316" i="1"/>
  <c r="J315" i="1"/>
  <c r="K315" i="1" s="1"/>
  <c r="I315" i="1"/>
  <c r="E315" i="1"/>
  <c r="D315" i="1"/>
  <c r="C315" i="1"/>
  <c r="B315" i="1"/>
  <c r="A315" i="1"/>
  <c r="J314" i="1"/>
  <c r="K314" i="1" s="1"/>
  <c r="I314" i="1"/>
  <c r="E314" i="1"/>
  <c r="D314" i="1"/>
  <c r="C314" i="1"/>
  <c r="B314" i="1"/>
  <c r="A314" i="1"/>
  <c r="J313" i="1"/>
  <c r="K313" i="1" s="1"/>
  <c r="L315" i="1" s="1"/>
  <c r="I313" i="1"/>
  <c r="E313" i="1"/>
  <c r="D313" i="1"/>
  <c r="C313" i="1"/>
  <c r="B313" i="1"/>
  <c r="A313" i="1"/>
  <c r="J312" i="1"/>
  <c r="K312" i="1" s="1"/>
  <c r="I312" i="1"/>
  <c r="E312" i="1"/>
  <c r="D312" i="1"/>
  <c r="C312" i="1"/>
  <c r="B312" i="1"/>
  <c r="A312" i="1"/>
  <c r="J311" i="1"/>
  <c r="K311" i="1" s="1"/>
  <c r="I311" i="1"/>
  <c r="E311" i="1"/>
  <c r="D311" i="1"/>
  <c r="C311" i="1"/>
  <c r="B311" i="1"/>
  <c r="A311" i="1"/>
  <c r="J310" i="1"/>
  <c r="K310" i="1" s="1"/>
  <c r="I310" i="1"/>
  <c r="E310" i="1"/>
  <c r="D310" i="1"/>
  <c r="C310" i="1"/>
  <c r="B310" i="1"/>
  <c r="A310" i="1"/>
  <c r="J309" i="1"/>
  <c r="K309" i="1" s="1"/>
  <c r="I309" i="1"/>
  <c r="E309" i="1"/>
  <c r="D309" i="1"/>
  <c r="C309" i="1"/>
  <c r="B309" i="1"/>
  <c r="A309" i="1"/>
  <c r="J308" i="1"/>
  <c r="K308" i="1" s="1"/>
  <c r="I308" i="1"/>
  <c r="E308" i="1"/>
  <c r="D308" i="1"/>
  <c r="C308" i="1"/>
  <c r="B308" i="1"/>
  <c r="A308" i="1"/>
  <c r="J307" i="1"/>
  <c r="K307" i="1" s="1"/>
  <c r="I307" i="1"/>
  <c r="E307" i="1"/>
  <c r="D307" i="1"/>
  <c r="C307" i="1"/>
  <c r="B307" i="1"/>
  <c r="A307" i="1"/>
  <c r="J306" i="1"/>
  <c r="K306" i="1" s="1"/>
  <c r="I306" i="1"/>
  <c r="E306" i="1"/>
  <c r="D306" i="1"/>
  <c r="C306" i="1"/>
  <c r="B306" i="1"/>
  <c r="A306" i="1"/>
  <c r="J305" i="1"/>
  <c r="K305" i="1" s="1"/>
  <c r="I305" i="1"/>
  <c r="E305" i="1"/>
  <c r="D305" i="1"/>
  <c r="C305" i="1"/>
  <c r="B305" i="1"/>
  <c r="A305" i="1"/>
  <c r="J304" i="1"/>
  <c r="K304" i="1" s="1"/>
  <c r="I304" i="1"/>
  <c r="E304" i="1"/>
  <c r="D304" i="1"/>
  <c r="C304" i="1"/>
  <c r="B304" i="1"/>
  <c r="A304" i="1"/>
  <c r="J303" i="1"/>
  <c r="K303" i="1" s="1"/>
  <c r="I303" i="1"/>
  <c r="E303" i="1"/>
  <c r="D303" i="1"/>
  <c r="C303" i="1"/>
  <c r="B303" i="1"/>
  <c r="A303" i="1"/>
  <c r="J302" i="1"/>
  <c r="K302" i="1" s="1"/>
  <c r="I302" i="1"/>
  <c r="E302" i="1"/>
  <c r="D302" i="1"/>
  <c r="C302" i="1"/>
  <c r="B302" i="1"/>
  <c r="A302" i="1"/>
  <c r="J301" i="1"/>
  <c r="K301" i="1" s="1"/>
  <c r="I301" i="1"/>
  <c r="E301" i="1"/>
  <c r="D301" i="1"/>
  <c r="C301" i="1"/>
  <c r="B301" i="1"/>
  <c r="A301" i="1"/>
  <c r="J300" i="1"/>
  <c r="K300" i="1" s="1"/>
  <c r="I300" i="1"/>
  <c r="E300" i="1"/>
  <c r="D300" i="1"/>
  <c r="C300" i="1"/>
  <c r="B300" i="1"/>
  <c r="A300" i="1"/>
  <c r="J299" i="1"/>
  <c r="K299" i="1" s="1"/>
  <c r="I299" i="1"/>
  <c r="E299" i="1"/>
  <c r="D299" i="1"/>
  <c r="C299" i="1"/>
  <c r="B299" i="1"/>
  <c r="A299" i="1"/>
  <c r="J298" i="1"/>
  <c r="K298" i="1" s="1"/>
  <c r="I298" i="1"/>
  <c r="E298" i="1"/>
  <c r="D298" i="1"/>
  <c r="C298" i="1"/>
  <c r="B298" i="1"/>
  <c r="A298" i="1"/>
  <c r="J297" i="1"/>
  <c r="K297" i="1" s="1"/>
  <c r="I297" i="1"/>
  <c r="E297" i="1"/>
  <c r="D297" i="1"/>
  <c r="C297" i="1"/>
  <c r="B297" i="1"/>
  <c r="A297" i="1"/>
  <c r="J296" i="1"/>
  <c r="K296" i="1" s="1"/>
  <c r="I296" i="1"/>
  <c r="E296" i="1"/>
  <c r="D296" i="1"/>
  <c r="C296" i="1"/>
  <c r="B296" i="1"/>
  <c r="A296" i="1"/>
  <c r="J295" i="1"/>
  <c r="K295" i="1" s="1"/>
  <c r="I295" i="1"/>
  <c r="E295" i="1"/>
  <c r="D295" i="1"/>
  <c r="C295" i="1"/>
  <c r="B295" i="1"/>
  <c r="A295" i="1"/>
  <c r="J294" i="1"/>
  <c r="K294" i="1" s="1"/>
  <c r="I294" i="1"/>
  <c r="E294" i="1"/>
  <c r="D294" i="1"/>
  <c r="C294" i="1"/>
  <c r="B294" i="1"/>
  <c r="A294" i="1"/>
  <c r="J293" i="1"/>
  <c r="K293" i="1" s="1"/>
  <c r="I293" i="1"/>
  <c r="E293" i="1"/>
  <c r="D293" i="1"/>
  <c r="C293" i="1"/>
  <c r="B293" i="1"/>
  <c r="A293" i="1"/>
  <c r="J292" i="1"/>
  <c r="K292" i="1" s="1"/>
  <c r="I292" i="1"/>
  <c r="E292" i="1"/>
  <c r="D292" i="1"/>
  <c r="C292" i="1"/>
  <c r="B292" i="1"/>
  <c r="A292" i="1"/>
  <c r="J291" i="1"/>
  <c r="K291" i="1" s="1"/>
  <c r="I291" i="1"/>
  <c r="E291" i="1"/>
  <c r="D291" i="1"/>
  <c r="C291" i="1"/>
  <c r="B291" i="1"/>
  <c r="A291" i="1"/>
  <c r="J290" i="1"/>
  <c r="K290" i="1" s="1"/>
  <c r="L311" i="1" s="1"/>
  <c r="I290" i="1"/>
  <c r="E290" i="1"/>
  <c r="D290" i="1"/>
  <c r="C290" i="1"/>
  <c r="B290" i="1"/>
  <c r="A290" i="1"/>
  <c r="J289" i="1"/>
  <c r="K289" i="1" s="1"/>
  <c r="I289" i="1"/>
  <c r="E289" i="1"/>
  <c r="D289" i="1"/>
  <c r="C289" i="1"/>
  <c r="B289" i="1"/>
  <c r="A289" i="1"/>
  <c r="J288" i="1"/>
  <c r="I288" i="1"/>
  <c r="K288" i="1" s="1"/>
  <c r="E288" i="1"/>
  <c r="D288" i="1"/>
  <c r="C288" i="1"/>
  <c r="B288" i="1"/>
  <c r="A288" i="1"/>
  <c r="J287" i="1"/>
  <c r="I287" i="1"/>
  <c r="K287" i="1" s="1"/>
  <c r="E287" i="1"/>
  <c r="D287" i="1"/>
  <c r="C287" i="1"/>
  <c r="B287" i="1"/>
  <c r="A287" i="1"/>
  <c r="J286" i="1"/>
  <c r="K286" i="1" s="1"/>
  <c r="I286" i="1"/>
  <c r="E286" i="1"/>
  <c r="D286" i="1"/>
  <c r="C286" i="1"/>
  <c r="B286" i="1"/>
  <c r="A286" i="1"/>
  <c r="J285" i="1"/>
  <c r="K285" i="1" s="1"/>
  <c r="I285" i="1"/>
  <c r="E285" i="1"/>
  <c r="D285" i="1"/>
  <c r="C285" i="1"/>
  <c r="B285" i="1"/>
  <c r="A285" i="1"/>
  <c r="J284" i="1"/>
  <c r="K284" i="1" s="1"/>
  <c r="I284" i="1"/>
  <c r="E284" i="1"/>
  <c r="D284" i="1"/>
  <c r="C284" i="1"/>
  <c r="B284" i="1"/>
  <c r="A284" i="1"/>
  <c r="J283" i="1"/>
  <c r="K283" i="1" s="1"/>
  <c r="I283" i="1"/>
  <c r="E283" i="1"/>
  <c r="D283" i="1"/>
  <c r="C283" i="1"/>
  <c r="B283" i="1"/>
  <c r="A283" i="1"/>
  <c r="J282" i="1"/>
  <c r="K282" i="1" s="1"/>
  <c r="I282" i="1"/>
  <c r="E282" i="1"/>
  <c r="D282" i="1"/>
  <c r="C282" i="1"/>
  <c r="B282" i="1"/>
  <c r="A282" i="1"/>
  <c r="J281" i="1"/>
  <c r="K281" i="1" s="1"/>
  <c r="I281" i="1"/>
  <c r="E281" i="1"/>
  <c r="D281" i="1"/>
  <c r="C281" i="1"/>
  <c r="B281" i="1"/>
  <c r="A281" i="1"/>
  <c r="J280" i="1"/>
  <c r="K280" i="1" s="1"/>
  <c r="I280" i="1"/>
  <c r="E280" i="1"/>
  <c r="D280" i="1"/>
  <c r="C280" i="1"/>
  <c r="B280" i="1"/>
  <c r="A280" i="1"/>
  <c r="J279" i="1"/>
  <c r="K279" i="1" s="1"/>
  <c r="I279" i="1"/>
  <c r="E279" i="1"/>
  <c r="D279" i="1"/>
  <c r="C279" i="1"/>
  <c r="B279" i="1"/>
  <c r="A279" i="1"/>
  <c r="J278" i="1"/>
  <c r="K278" i="1" s="1"/>
  <c r="I278" i="1"/>
  <c r="E278" i="1"/>
  <c r="D278" i="1"/>
  <c r="C278" i="1"/>
  <c r="B278" i="1"/>
  <c r="A278" i="1"/>
  <c r="J277" i="1"/>
  <c r="K277" i="1" s="1"/>
  <c r="I277" i="1"/>
  <c r="E277" i="1"/>
  <c r="D277" i="1"/>
  <c r="C277" i="1"/>
  <c r="B277" i="1"/>
  <c r="A277" i="1"/>
  <c r="J276" i="1"/>
  <c r="K276" i="1" s="1"/>
  <c r="I276" i="1"/>
  <c r="E276" i="1"/>
  <c r="D276" i="1"/>
  <c r="C276" i="1"/>
  <c r="B276" i="1"/>
  <c r="A276" i="1"/>
  <c r="J275" i="1"/>
  <c r="K275" i="1" s="1"/>
  <c r="I275" i="1"/>
  <c r="E275" i="1"/>
  <c r="D275" i="1"/>
  <c r="C275" i="1"/>
  <c r="B275" i="1"/>
  <c r="A275" i="1"/>
  <c r="J274" i="1"/>
  <c r="K274" i="1" s="1"/>
  <c r="I274" i="1"/>
  <c r="E274" i="1"/>
  <c r="D274" i="1"/>
  <c r="C274" i="1"/>
  <c r="B274" i="1"/>
  <c r="A274" i="1"/>
  <c r="J273" i="1"/>
  <c r="I273" i="1"/>
  <c r="K273" i="1" s="1"/>
  <c r="E273" i="1"/>
  <c r="D273" i="1"/>
  <c r="C273" i="1"/>
  <c r="B273" i="1"/>
  <c r="A273" i="1"/>
  <c r="J272" i="1"/>
  <c r="K272" i="1" s="1"/>
  <c r="I272" i="1"/>
  <c r="E272" i="1"/>
  <c r="D272" i="1"/>
  <c r="C272" i="1"/>
  <c r="B272" i="1"/>
  <c r="A272" i="1"/>
  <c r="J271" i="1"/>
  <c r="K271" i="1" s="1"/>
  <c r="I271" i="1"/>
  <c r="E271" i="1"/>
  <c r="D271" i="1"/>
  <c r="C271" i="1"/>
  <c r="B271" i="1"/>
  <c r="A271" i="1"/>
  <c r="J270" i="1"/>
  <c r="K270" i="1" s="1"/>
  <c r="I270" i="1"/>
  <c r="E270" i="1"/>
  <c r="D270" i="1"/>
  <c r="C270" i="1"/>
  <c r="B270" i="1"/>
  <c r="A270" i="1"/>
  <c r="J269" i="1"/>
  <c r="K269" i="1" s="1"/>
  <c r="I269" i="1"/>
  <c r="E269" i="1"/>
  <c r="D269" i="1"/>
  <c r="C269" i="1"/>
  <c r="B269" i="1"/>
  <c r="A269" i="1"/>
  <c r="J268" i="1"/>
  <c r="K268" i="1" s="1"/>
  <c r="I268" i="1"/>
  <c r="E268" i="1"/>
  <c r="D268" i="1"/>
  <c r="C268" i="1"/>
  <c r="B268" i="1"/>
  <c r="A268" i="1"/>
  <c r="J267" i="1"/>
  <c r="K267" i="1" s="1"/>
  <c r="L289" i="1" s="1"/>
  <c r="I267" i="1"/>
  <c r="E267" i="1"/>
  <c r="D267" i="1"/>
  <c r="C267" i="1"/>
  <c r="B267" i="1"/>
  <c r="A267" i="1"/>
  <c r="J266" i="1"/>
  <c r="K266" i="1" s="1"/>
  <c r="I266" i="1"/>
  <c r="E266" i="1"/>
  <c r="D266" i="1"/>
  <c r="C266" i="1"/>
  <c r="B266" i="1"/>
  <c r="A266" i="1"/>
  <c r="J265" i="1"/>
  <c r="K265" i="1" s="1"/>
  <c r="I265" i="1"/>
  <c r="E265" i="1"/>
  <c r="D265" i="1"/>
  <c r="C265" i="1"/>
  <c r="B265" i="1"/>
  <c r="A265" i="1"/>
  <c r="J264" i="1"/>
  <c r="K264" i="1" s="1"/>
  <c r="I264" i="1"/>
  <c r="E264" i="1"/>
  <c r="D264" i="1"/>
  <c r="C264" i="1"/>
  <c r="B264" i="1"/>
  <c r="A264" i="1"/>
  <c r="J263" i="1"/>
  <c r="K263" i="1" s="1"/>
  <c r="I263" i="1"/>
  <c r="E263" i="1"/>
  <c r="D263" i="1"/>
  <c r="C263" i="1"/>
  <c r="B263" i="1"/>
  <c r="A263" i="1"/>
  <c r="J262" i="1"/>
  <c r="K262" i="1" s="1"/>
  <c r="I262" i="1"/>
  <c r="E262" i="1"/>
  <c r="D262" i="1"/>
  <c r="C262" i="1"/>
  <c r="B262" i="1"/>
  <c r="A262" i="1"/>
  <c r="J261" i="1"/>
  <c r="K261" i="1" s="1"/>
  <c r="I261" i="1"/>
  <c r="E261" i="1"/>
  <c r="D261" i="1"/>
  <c r="C261" i="1"/>
  <c r="B261" i="1"/>
  <c r="A261" i="1"/>
  <c r="J260" i="1"/>
  <c r="K260" i="1" s="1"/>
  <c r="I260" i="1"/>
  <c r="E260" i="1"/>
  <c r="D260" i="1"/>
  <c r="C260" i="1"/>
  <c r="B260" i="1"/>
  <c r="A260" i="1"/>
  <c r="K259" i="1"/>
  <c r="J259" i="1"/>
  <c r="I259" i="1"/>
  <c r="E259" i="1"/>
  <c r="D259" i="1"/>
  <c r="C259" i="1"/>
  <c r="B259" i="1"/>
  <c r="A259" i="1"/>
  <c r="J258" i="1"/>
  <c r="K258" i="1" s="1"/>
  <c r="I258" i="1"/>
  <c r="E258" i="1"/>
  <c r="D258" i="1"/>
  <c r="C258" i="1"/>
  <c r="B258" i="1"/>
  <c r="A258" i="1"/>
  <c r="J257" i="1"/>
  <c r="K257" i="1" s="1"/>
  <c r="I257" i="1"/>
  <c r="E257" i="1"/>
  <c r="D257" i="1"/>
  <c r="C257" i="1"/>
  <c r="B257" i="1"/>
  <c r="A257" i="1"/>
  <c r="J256" i="1"/>
  <c r="K256" i="1" s="1"/>
  <c r="I256" i="1"/>
  <c r="E256" i="1"/>
  <c r="D256" i="1"/>
  <c r="C256" i="1"/>
  <c r="B256" i="1"/>
  <c r="A256" i="1"/>
  <c r="J255" i="1"/>
  <c r="K255" i="1" s="1"/>
  <c r="I255" i="1"/>
  <c r="E255" i="1"/>
  <c r="D255" i="1"/>
  <c r="C255" i="1"/>
  <c r="B255" i="1"/>
  <c r="A255" i="1"/>
  <c r="J254" i="1"/>
  <c r="K254" i="1" s="1"/>
  <c r="I254" i="1"/>
  <c r="E254" i="1"/>
  <c r="D254" i="1"/>
  <c r="C254" i="1"/>
  <c r="B254" i="1"/>
  <c r="A254" i="1"/>
  <c r="J253" i="1"/>
  <c r="K253" i="1" s="1"/>
  <c r="I253" i="1"/>
  <c r="E253" i="1"/>
  <c r="D253" i="1"/>
  <c r="C253" i="1"/>
  <c r="B253" i="1"/>
  <c r="A253" i="1"/>
  <c r="J252" i="1"/>
  <c r="K252" i="1" s="1"/>
  <c r="I252" i="1"/>
  <c r="E252" i="1"/>
  <c r="D252" i="1"/>
  <c r="C252" i="1"/>
  <c r="B252" i="1"/>
  <c r="A252" i="1"/>
  <c r="J251" i="1"/>
  <c r="K251" i="1" s="1"/>
  <c r="I251" i="1"/>
  <c r="E251" i="1"/>
  <c r="D251" i="1"/>
  <c r="C251" i="1"/>
  <c r="B251" i="1"/>
  <c r="A251" i="1"/>
  <c r="J250" i="1"/>
  <c r="K250" i="1" s="1"/>
  <c r="I250" i="1"/>
  <c r="E250" i="1"/>
  <c r="D250" i="1"/>
  <c r="C250" i="1"/>
  <c r="B250" i="1"/>
  <c r="A250" i="1"/>
  <c r="J249" i="1"/>
  <c r="K249" i="1" s="1"/>
  <c r="I249" i="1"/>
  <c r="E249" i="1"/>
  <c r="D249" i="1"/>
  <c r="C249" i="1"/>
  <c r="B249" i="1"/>
  <c r="A249" i="1"/>
  <c r="J248" i="1"/>
  <c r="K248" i="1" s="1"/>
  <c r="I248" i="1"/>
  <c r="E248" i="1"/>
  <c r="D248" i="1"/>
  <c r="C248" i="1"/>
  <c r="B248" i="1"/>
  <c r="A248" i="1"/>
  <c r="J247" i="1"/>
  <c r="K247" i="1" s="1"/>
  <c r="I247" i="1"/>
  <c r="E247" i="1"/>
  <c r="D247" i="1"/>
  <c r="C247" i="1"/>
  <c r="B247" i="1"/>
  <c r="A247" i="1"/>
  <c r="J246" i="1"/>
  <c r="K246" i="1" s="1"/>
  <c r="I246" i="1"/>
  <c r="E246" i="1"/>
  <c r="D246" i="1"/>
  <c r="C246" i="1"/>
  <c r="B246" i="1"/>
  <c r="A246" i="1"/>
  <c r="J245" i="1"/>
  <c r="K245" i="1" s="1"/>
  <c r="I245" i="1"/>
  <c r="E245" i="1"/>
  <c r="D245" i="1"/>
  <c r="C245" i="1"/>
  <c r="B245" i="1"/>
  <c r="A245" i="1"/>
  <c r="J244" i="1"/>
  <c r="K244" i="1" s="1"/>
  <c r="I244" i="1"/>
  <c r="E244" i="1"/>
  <c r="D244" i="1"/>
  <c r="C244" i="1"/>
  <c r="B244" i="1"/>
  <c r="A244" i="1"/>
  <c r="J243" i="1"/>
  <c r="K243" i="1" s="1"/>
  <c r="I243" i="1"/>
  <c r="E243" i="1"/>
  <c r="D243" i="1"/>
  <c r="C243" i="1"/>
  <c r="B243" i="1"/>
  <c r="A243" i="1"/>
  <c r="J242" i="1"/>
  <c r="K242" i="1" s="1"/>
  <c r="I242" i="1"/>
  <c r="E242" i="1"/>
  <c r="D242" i="1"/>
  <c r="C242" i="1"/>
  <c r="B242" i="1"/>
  <c r="A242" i="1"/>
  <c r="J241" i="1"/>
  <c r="K241" i="1" s="1"/>
  <c r="I241" i="1"/>
  <c r="E241" i="1"/>
  <c r="D241" i="1"/>
  <c r="C241" i="1"/>
  <c r="B241" i="1"/>
  <c r="A241" i="1"/>
  <c r="J240" i="1"/>
  <c r="K240" i="1" s="1"/>
  <c r="I240" i="1"/>
  <c r="E240" i="1"/>
  <c r="D240" i="1"/>
  <c r="C240" i="1"/>
  <c r="B240" i="1"/>
  <c r="A240" i="1"/>
  <c r="J239" i="1"/>
  <c r="K239" i="1" s="1"/>
  <c r="I239" i="1"/>
  <c r="E239" i="1"/>
  <c r="D239" i="1"/>
  <c r="C239" i="1"/>
  <c r="B239" i="1"/>
  <c r="A239" i="1"/>
  <c r="J238" i="1"/>
  <c r="K238" i="1" s="1"/>
  <c r="I238" i="1"/>
  <c r="E238" i="1"/>
  <c r="D238" i="1"/>
  <c r="C238" i="1"/>
  <c r="B238" i="1"/>
  <c r="A238" i="1"/>
  <c r="K237" i="1"/>
  <c r="J237" i="1"/>
  <c r="I237" i="1"/>
  <c r="E237" i="1"/>
  <c r="D237" i="1"/>
  <c r="C237" i="1"/>
  <c r="B237" i="1"/>
  <c r="A237" i="1"/>
  <c r="J236" i="1"/>
  <c r="K236" i="1" s="1"/>
  <c r="I236" i="1"/>
  <c r="E236" i="1"/>
  <c r="D236" i="1"/>
  <c r="C236" i="1"/>
  <c r="B236" i="1"/>
  <c r="A236" i="1"/>
  <c r="J235" i="1"/>
  <c r="K235" i="1" s="1"/>
  <c r="I235" i="1"/>
  <c r="E235" i="1"/>
  <c r="D235" i="1"/>
  <c r="C235" i="1"/>
  <c r="B235" i="1"/>
  <c r="A235" i="1"/>
  <c r="J234" i="1"/>
  <c r="K234" i="1" s="1"/>
  <c r="I234" i="1"/>
  <c r="E234" i="1"/>
  <c r="D234" i="1"/>
  <c r="C234" i="1"/>
  <c r="B234" i="1"/>
  <c r="A234" i="1"/>
  <c r="J233" i="1"/>
  <c r="K233" i="1" s="1"/>
  <c r="I233" i="1"/>
  <c r="E233" i="1"/>
  <c r="D233" i="1"/>
  <c r="C233" i="1"/>
  <c r="B233" i="1"/>
  <c r="A233" i="1"/>
  <c r="J232" i="1"/>
  <c r="K232" i="1" s="1"/>
  <c r="I232" i="1"/>
  <c r="E232" i="1"/>
  <c r="D232" i="1"/>
  <c r="C232" i="1"/>
  <c r="B232" i="1"/>
  <c r="A232" i="1"/>
  <c r="J231" i="1"/>
  <c r="K231" i="1" s="1"/>
  <c r="I231" i="1"/>
  <c r="E231" i="1"/>
  <c r="D231" i="1"/>
  <c r="C231" i="1"/>
  <c r="B231" i="1"/>
  <c r="A231" i="1"/>
  <c r="J230" i="1"/>
  <c r="K230" i="1" s="1"/>
  <c r="I230" i="1"/>
  <c r="E230" i="1"/>
  <c r="D230" i="1"/>
  <c r="C230" i="1"/>
  <c r="B230" i="1"/>
  <c r="A230" i="1"/>
  <c r="J229" i="1"/>
  <c r="K229" i="1" s="1"/>
  <c r="I229" i="1"/>
  <c r="E229" i="1"/>
  <c r="D229" i="1"/>
  <c r="C229" i="1"/>
  <c r="B229" i="1"/>
  <c r="A229" i="1"/>
  <c r="J228" i="1"/>
  <c r="K228" i="1" s="1"/>
  <c r="I228" i="1"/>
  <c r="E228" i="1"/>
  <c r="D228" i="1"/>
  <c r="C228" i="1"/>
  <c r="B228" i="1"/>
  <c r="A228" i="1"/>
  <c r="J227" i="1"/>
  <c r="K227" i="1" s="1"/>
  <c r="I227" i="1"/>
  <c r="E227" i="1"/>
  <c r="D227" i="1"/>
  <c r="C227" i="1"/>
  <c r="B227" i="1"/>
  <c r="A227" i="1"/>
  <c r="J226" i="1"/>
  <c r="K226" i="1" s="1"/>
  <c r="I226" i="1"/>
  <c r="E226" i="1"/>
  <c r="D226" i="1"/>
  <c r="C226" i="1"/>
  <c r="B226" i="1"/>
  <c r="A226" i="1"/>
  <c r="J225" i="1"/>
  <c r="K225" i="1" s="1"/>
  <c r="I225" i="1"/>
  <c r="E225" i="1"/>
  <c r="D225" i="1"/>
  <c r="C225" i="1"/>
  <c r="B225" i="1"/>
  <c r="A225" i="1"/>
  <c r="J224" i="1"/>
  <c r="K224" i="1" s="1"/>
  <c r="I224" i="1"/>
  <c r="E224" i="1"/>
  <c r="D224" i="1"/>
  <c r="C224" i="1"/>
  <c r="B224" i="1"/>
  <c r="A224" i="1"/>
  <c r="J223" i="1"/>
  <c r="K223" i="1" s="1"/>
  <c r="I223" i="1"/>
  <c r="E223" i="1"/>
  <c r="D223" i="1"/>
  <c r="C223" i="1"/>
  <c r="B223" i="1"/>
  <c r="A223" i="1"/>
  <c r="J222" i="1"/>
  <c r="K222" i="1" s="1"/>
  <c r="I222" i="1"/>
  <c r="E222" i="1"/>
  <c r="D222" i="1"/>
  <c r="C222" i="1"/>
  <c r="B222" i="1"/>
  <c r="A222" i="1"/>
  <c r="J221" i="1"/>
  <c r="K221" i="1" s="1"/>
  <c r="I221" i="1"/>
  <c r="E221" i="1"/>
  <c r="D221" i="1"/>
  <c r="C221" i="1"/>
  <c r="B221" i="1"/>
  <c r="A221" i="1"/>
  <c r="J220" i="1"/>
  <c r="K220" i="1" s="1"/>
  <c r="I220" i="1"/>
  <c r="E220" i="1"/>
  <c r="D220" i="1"/>
  <c r="C220" i="1"/>
  <c r="B220" i="1"/>
  <c r="A220" i="1"/>
  <c r="J219" i="1"/>
  <c r="I219" i="1"/>
  <c r="K219" i="1" s="1"/>
  <c r="E219" i="1"/>
  <c r="D219" i="1"/>
  <c r="C219" i="1"/>
  <c r="B219" i="1"/>
  <c r="A219" i="1"/>
  <c r="J218" i="1"/>
  <c r="I218" i="1"/>
  <c r="K218" i="1" s="1"/>
  <c r="E218" i="1"/>
  <c r="D218" i="1"/>
  <c r="C218" i="1"/>
  <c r="B218" i="1"/>
  <c r="A218" i="1"/>
  <c r="J217" i="1"/>
  <c r="K217" i="1" s="1"/>
  <c r="I217" i="1"/>
  <c r="E217" i="1"/>
  <c r="D217" i="1"/>
  <c r="C217" i="1"/>
  <c r="B217" i="1"/>
  <c r="A217" i="1"/>
  <c r="J216" i="1"/>
  <c r="K216" i="1" s="1"/>
  <c r="I216" i="1"/>
  <c r="E216" i="1"/>
  <c r="D216" i="1"/>
  <c r="C216" i="1"/>
  <c r="B216" i="1"/>
  <c r="A216" i="1"/>
  <c r="J215" i="1"/>
  <c r="K215" i="1" s="1"/>
  <c r="I215" i="1"/>
  <c r="E215" i="1"/>
  <c r="D215" i="1"/>
  <c r="C215" i="1"/>
  <c r="B215" i="1"/>
  <c r="A215" i="1"/>
  <c r="J214" i="1"/>
  <c r="K214" i="1" s="1"/>
  <c r="I214" i="1"/>
  <c r="E214" i="1"/>
  <c r="D214" i="1"/>
  <c r="C214" i="1"/>
  <c r="B214" i="1"/>
  <c r="A214" i="1"/>
  <c r="J213" i="1"/>
  <c r="K213" i="1" s="1"/>
  <c r="I213" i="1"/>
  <c r="E213" i="1"/>
  <c r="D213" i="1"/>
  <c r="C213" i="1"/>
  <c r="B213" i="1"/>
  <c r="A213" i="1"/>
  <c r="J212" i="1"/>
  <c r="K212" i="1" s="1"/>
  <c r="I212" i="1"/>
  <c r="E212" i="1"/>
  <c r="D212" i="1"/>
  <c r="C212" i="1"/>
  <c r="B212" i="1"/>
  <c r="A212" i="1"/>
  <c r="J211" i="1"/>
  <c r="K211" i="1" s="1"/>
  <c r="I211" i="1"/>
  <c r="E211" i="1"/>
  <c r="D211" i="1"/>
  <c r="C211" i="1"/>
  <c r="B211" i="1"/>
  <c r="A211" i="1"/>
  <c r="J210" i="1"/>
  <c r="K210" i="1" s="1"/>
  <c r="I210" i="1"/>
  <c r="E210" i="1"/>
  <c r="D210" i="1"/>
  <c r="C210" i="1"/>
  <c r="B210" i="1"/>
  <c r="A210" i="1"/>
  <c r="J209" i="1"/>
  <c r="K209" i="1" s="1"/>
  <c r="I209" i="1"/>
  <c r="E209" i="1"/>
  <c r="D209" i="1"/>
  <c r="C209" i="1"/>
  <c r="B209" i="1"/>
  <c r="A209" i="1"/>
  <c r="J208" i="1"/>
  <c r="K208" i="1" s="1"/>
  <c r="I208" i="1"/>
  <c r="E208" i="1"/>
  <c r="D208" i="1"/>
  <c r="C208" i="1"/>
  <c r="B208" i="1"/>
  <c r="A208" i="1"/>
  <c r="J207" i="1"/>
  <c r="K207" i="1" s="1"/>
  <c r="I207" i="1"/>
  <c r="E207" i="1"/>
  <c r="D207" i="1"/>
  <c r="C207" i="1"/>
  <c r="B207" i="1"/>
  <c r="A207" i="1"/>
  <c r="J206" i="1"/>
  <c r="K206" i="1" s="1"/>
  <c r="I206" i="1"/>
  <c r="E206" i="1"/>
  <c r="D206" i="1"/>
  <c r="C206" i="1"/>
  <c r="B206" i="1"/>
  <c r="A206" i="1"/>
  <c r="J205" i="1"/>
  <c r="K205" i="1" s="1"/>
  <c r="I205" i="1"/>
  <c r="E205" i="1"/>
  <c r="D205" i="1"/>
  <c r="C205" i="1"/>
  <c r="B205" i="1"/>
  <c r="A205" i="1"/>
  <c r="J204" i="1"/>
  <c r="K204" i="1" s="1"/>
  <c r="L266" i="1" s="1"/>
  <c r="I204" i="1"/>
  <c r="E204" i="1"/>
  <c r="D204" i="1"/>
  <c r="C204" i="1"/>
  <c r="B204" i="1"/>
  <c r="A204" i="1"/>
  <c r="J203" i="1"/>
  <c r="K203" i="1" s="1"/>
  <c r="I203" i="1"/>
  <c r="E203" i="1"/>
  <c r="D203" i="1"/>
  <c r="C203" i="1"/>
  <c r="B203" i="1"/>
  <c r="A203" i="1"/>
  <c r="J202" i="1"/>
  <c r="K202" i="1" s="1"/>
  <c r="I202" i="1"/>
  <c r="E202" i="1"/>
  <c r="D202" i="1"/>
  <c r="C202" i="1"/>
  <c r="B202" i="1"/>
  <c r="A202" i="1"/>
  <c r="J201" i="1"/>
  <c r="K201" i="1" s="1"/>
  <c r="I201" i="1"/>
  <c r="E201" i="1"/>
  <c r="D201" i="1"/>
  <c r="C201" i="1"/>
  <c r="B201" i="1"/>
  <c r="A201" i="1"/>
  <c r="J200" i="1"/>
  <c r="K200" i="1" s="1"/>
  <c r="I200" i="1"/>
  <c r="E200" i="1"/>
  <c r="D200" i="1"/>
  <c r="C200" i="1"/>
  <c r="B200" i="1"/>
  <c r="A200" i="1"/>
  <c r="J199" i="1"/>
  <c r="K199" i="1" s="1"/>
  <c r="I199" i="1"/>
  <c r="E199" i="1"/>
  <c r="D199" i="1"/>
  <c r="C199" i="1"/>
  <c r="B199" i="1"/>
  <c r="A199" i="1"/>
  <c r="J198" i="1"/>
  <c r="K198" i="1" s="1"/>
  <c r="I198" i="1"/>
  <c r="E198" i="1"/>
  <c r="D198" i="1"/>
  <c r="C198" i="1"/>
  <c r="B198" i="1"/>
  <c r="A198" i="1"/>
  <c r="J197" i="1"/>
  <c r="K197" i="1" s="1"/>
  <c r="I197" i="1"/>
  <c r="E197" i="1"/>
  <c r="D197" i="1"/>
  <c r="C197" i="1"/>
  <c r="B197" i="1"/>
  <c r="A197" i="1"/>
  <c r="J196" i="1"/>
  <c r="K196" i="1" s="1"/>
  <c r="I196" i="1"/>
  <c r="E196" i="1"/>
  <c r="D196" i="1"/>
  <c r="C196" i="1"/>
  <c r="B196" i="1"/>
  <c r="A196" i="1"/>
  <c r="J195" i="1"/>
  <c r="K195" i="1" s="1"/>
  <c r="I195" i="1"/>
  <c r="E195" i="1"/>
  <c r="D195" i="1"/>
  <c r="C195" i="1"/>
  <c r="B195" i="1"/>
  <c r="A195" i="1"/>
  <c r="J194" i="1"/>
  <c r="K194" i="1" s="1"/>
  <c r="I194" i="1"/>
  <c r="E194" i="1"/>
  <c r="D194" i="1"/>
  <c r="C194" i="1"/>
  <c r="B194" i="1"/>
  <c r="A194" i="1"/>
  <c r="J193" i="1"/>
  <c r="K193" i="1" s="1"/>
  <c r="I193" i="1"/>
  <c r="E193" i="1"/>
  <c r="D193" i="1"/>
  <c r="C193" i="1"/>
  <c r="B193" i="1"/>
  <c r="A193" i="1"/>
  <c r="J192" i="1"/>
  <c r="K192" i="1" s="1"/>
  <c r="I192" i="1"/>
  <c r="E192" i="1"/>
  <c r="D192" i="1"/>
  <c r="C192" i="1"/>
  <c r="B192" i="1"/>
  <c r="A192" i="1"/>
  <c r="J191" i="1"/>
  <c r="K191" i="1" s="1"/>
  <c r="I191" i="1"/>
  <c r="E191" i="1"/>
  <c r="D191" i="1"/>
  <c r="C191" i="1"/>
  <c r="B191" i="1"/>
  <c r="A191" i="1"/>
  <c r="J190" i="1"/>
  <c r="K190" i="1" s="1"/>
  <c r="I190" i="1"/>
  <c r="E190" i="1"/>
  <c r="D190" i="1"/>
  <c r="C190" i="1"/>
  <c r="B190" i="1"/>
  <c r="A190" i="1"/>
  <c r="J189" i="1"/>
  <c r="K189" i="1" s="1"/>
  <c r="I189" i="1"/>
  <c r="E189" i="1"/>
  <c r="D189" i="1"/>
  <c r="C189" i="1"/>
  <c r="B189" i="1"/>
  <c r="A189" i="1"/>
  <c r="J188" i="1"/>
  <c r="K188" i="1" s="1"/>
  <c r="I188" i="1"/>
  <c r="E188" i="1"/>
  <c r="D188" i="1"/>
  <c r="C188" i="1"/>
  <c r="B188" i="1"/>
  <c r="A188" i="1"/>
  <c r="J187" i="1"/>
  <c r="K187" i="1" s="1"/>
  <c r="I187" i="1"/>
  <c r="E187" i="1"/>
  <c r="D187" i="1"/>
  <c r="C187" i="1"/>
  <c r="B187" i="1"/>
  <c r="A187" i="1"/>
  <c r="J186" i="1"/>
  <c r="K186" i="1" s="1"/>
  <c r="I186" i="1"/>
  <c r="E186" i="1"/>
  <c r="D186" i="1"/>
  <c r="C186" i="1"/>
  <c r="B186" i="1"/>
  <c r="A186" i="1"/>
  <c r="J185" i="1"/>
  <c r="K185" i="1" s="1"/>
  <c r="I185" i="1"/>
  <c r="E185" i="1"/>
  <c r="D185" i="1"/>
  <c r="C185" i="1"/>
  <c r="B185" i="1"/>
  <c r="A185" i="1"/>
  <c r="J184" i="1"/>
  <c r="K184" i="1" s="1"/>
  <c r="I184" i="1"/>
  <c r="E184" i="1"/>
  <c r="D184" i="1"/>
  <c r="C184" i="1"/>
  <c r="B184" i="1"/>
  <c r="A184" i="1"/>
  <c r="J183" i="1"/>
  <c r="K183" i="1" s="1"/>
  <c r="I183" i="1"/>
  <c r="E183" i="1"/>
  <c r="D183" i="1"/>
  <c r="C183" i="1"/>
  <c r="B183" i="1"/>
  <c r="A183" i="1"/>
  <c r="J182" i="1"/>
  <c r="K182" i="1" s="1"/>
  <c r="I182" i="1"/>
  <c r="E182" i="1"/>
  <c r="D182" i="1"/>
  <c r="C182" i="1"/>
  <c r="B182" i="1"/>
  <c r="A182" i="1"/>
  <c r="J181" i="1"/>
  <c r="K181" i="1" s="1"/>
  <c r="I181" i="1"/>
  <c r="E181" i="1"/>
  <c r="D181" i="1"/>
  <c r="C181" i="1"/>
  <c r="B181" i="1"/>
  <c r="A181" i="1"/>
  <c r="J180" i="1"/>
  <c r="K180" i="1" s="1"/>
  <c r="I180" i="1"/>
  <c r="E180" i="1"/>
  <c r="D180" i="1"/>
  <c r="C180" i="1"/>
  <c r="B180" i="1"/>
  <c r="A180" i="1"/>
  <c r="J179" i="1"/>
  <c r="K179" i="1" s="1"/>
  <c r="I179" i="1"/>
  <c r="E179" i="1"/>
  <c r="D179" i="1"/>
  <c r="C179" i="1"/>
  <c r="B179" i="1"/>
  <c r="A179" i="1"/>
  <c r="J178" i="1"/>
  <c r="K178" i="1" s="1"/>
  <c r="I178" i="1"/>
  <c r="E178" i="1"/>
  <c r="D178" i="1"/>
  <c r="C178" i="1"/>
  <c r="B178" i="1"/>
  <c r="A178" i="1"/>
  <c r="J177" i="1"/>
  <c r="K177" i="1" s="1"/>
  <c r="I177" i="1"/>
  <c r="E177" i="1"/>
  <c r="D177" i="1"/>
  <c r="C177" i="1"/>
  <c r="B177" i="1"/>
  <c r="A177" i="1"/>
  <c r="J176" i="1"/>
  <c r="K176" i="1" s="1"/>
  <c r="I176" i="1"/>
  <c r="E176" i="1"/>
  <c r="D176" i="1"/>
  <c r="C176" i="1"/>
  <c r="B176" i="1"/>
  <c r="A176" i="1"/>
  <c r="J175" i="1"/>
  <c r="K175" i="1" s="1"/>
  <c r="I175" i="1"/>
  <c r="E175" i="1"/>
  <c r="D175" i="1"/>
  <c r="C175" i="1"/>
  <c r="B175" i="1"/>
  <c r="A175" i="1"/>
  <c r="J174" i="1"/>
  <c r="K174" i="1" s="1"/>
  <c r="I174" i="1"/>
  <c r="E174" i="1"/>
  <c r="D174" i="1"/>
  <c r="C174" i="1"/>
  <c r="B174" i="1"/>
  <c r="A174" i="1"/>
  <c r="J173" i="1"/>
  <c r="K173" i="1" s="1"/>
  <c r="I173" i="1"/>
  <c r="E173" i="1"/>
  <c r="D173" i="1"/>
  <c r="C173" i="1"/>
  <c r="B173" i="1"/>
  <c r="A173" i="1"/>
  <c r="J172" i="1"/>
  <c r="K172" i="1" s="1"/>
  <c r="I172" i="1"/>
  <c r="E172" i="1"/>
  <c r="D172" i="1"/>
  <c r="C172" i="1"/>
  <c r="B172" i="1"/>
  <c r="A172" i="1"/>
  <c r="J171" i="1"/>
  <c r="K171" i="1" s="1"/>
  <c r="I171" i="1"/>
  <c r="E171" i="1"/>
  <c r="D171" i="1"/>
  <c r="C171" i="1"/>
  <c r="B171" i="1"/>
  <c r="A171" i="1"/>
  <c r="J170" i="1"/>
  <c r="K170" i="1" s="1"/>
  <c r="I170" i="1"/>
  <c r="E170" i="1"/>
  <c r="D170" i="1"/>
  <c r="C170" i="1"/>
  <c r="B170" i="1"/>
  <c r="A170" i="1"/>
  <c r="J169" i="1"/>
  <c r="K169" i="1" s="1"/>
  <c r="I169" i="1"/>
  <c r="E169" i="1"/>
  <c r="D169" i="1"/>
  <c r="C169" i="1"/>
  <c r="B169" i="1"/>
  <c r="A169" i="1"/>
  <c r="J168" i="1"/>
  <c r="K168" i="1" s="1"/>
  <c r="I168" i="1"/>
  <c r="E168" i="1"/>
  <c r="D168" i="1"/>
  <c r="C168" i="1"/>
  <c r="B168" i="1"/>
  <c r="A168" i="1"/>
  <c r="J167" i="1"/>
  <c r="K167" i="1" s="1"/>
  <c r="I167" i="1"/>
  <c r="E167" i="1"/>
  <c r="D167" i="1"/>
  <c r="C167" i="1"/>
  <c r="B167" i="1"/>
  <c r="A167" i="1"/>
  <c r="J166" i="1"/>
  <c r="K166" i="1" s="1"/>
  <c r="I166" i="1"/>
  <c r="E166" i="1"/>
  <c r="D166" i="1"/>
  <c r="C166" i="1"/>
  <c r="B166" i="1"/>
  <c r="A166" i="1"/>
  <c r="J165" i="1"/>
  <c r="K165" i="1" s="1"/>
  <c r="I165" i="1"/>
  <c r="E165" i="1"/>
  <c r="D165" i="1"/>
  <c r="C165" i="1"/>
  <c r="B165" i="1"/>
  <c r="A165" i="1"/>
  <c r="J164" i="1"/>
  <c r="K164" i="1" s="1"/>
  <c r="I164" i="1"/>
  <c r="E164" i="1"/>
  <c r="D164" i="1"/>
  <c r="C164" i="1"/>
  <c r="B164" i="1"/>
  <c r="A164" i="1"/>
  <c r="J163" i="1"/>
  <c r="K163" i="1" s="1"/>
  <c r="I163" i="1"/>
  <c r="E163" i="1"/>
  <c r="D163" i="1"/>
  <c r="C163" i="1"/>
  <c r="B163" i="1"/>
  <c r="A163" i="1"/>
  <c r="J162" i="1"/>
  <c r="K162" i="1" s="1"/>
  <c r="I162" i="1"/>
  <c r="E162" i="1"/>
  <c r="D162" i="1"/>
  <c r="C162" i="1"/>
  <c r="B162" i="1"/>
  <c r="A162" i="1"/>
  <c r="J161" i="1"/>
  <c r="K161" i="1" s="1"/>
  <c r="I161" i="1"/>
  <c r="E161" i="1"/>
  <c r="D161" i="1"/>
  <c r="C161" i="1"/>
  <c r="B161" i="1"/>
  <c r="A161" i="1"/>
  <c r="J160" i="1"/>
  <c r="K160" i="1" s="1"/>
  <c r="I160" i="1"/>
  <c r="E160" i="1"/>
  <c r="D160" i="1"/>
  <c r="C160" i="1"/>
  <c r="B160" i="1"/>
  <c r="A160" i="1"/>
  <c r="J159" i="1"/>
  <c r="K159" i="1" s="1"/>
  <c r="I159" i="1"/>
  <c r="E159" i="1"/>
  <c r="D159" i="1"/>
  <c r="C159" i="1"/>
  <c r="B159" i="1"/>
  <c r="A159" i="1"/>
  <c r="J158" i="1"/>
  <c r="K158" i="1" s="1"/>
  <c r="I158" i="1"/>
  <c r="E158" i="1"/>
  <c r="D158" i="1"/>
  <c r="C158" i="1"/>
  <c r="B158" i="1"/>
  <c r="A158" i="1"/>
  <c r="J157" i="1"/>
  <c r="K157" i="1" s="1"/>
  <c r="I157" i="1"/>
  <c r="E157" i="1"/>
  <c r="D157" i="1"/>
  <c r="C157" i="1"/>
  <c r="B157" i="1"/>
  <c r="A157" i="1"/>
  <c r="J156" i="1"/>
  <c r="K156" i="1" s="1"/>
  <c r="I156" i="1"/>
  <c r="E156" i="1"/>
  <c r="D156" i="1"/>
  <c r="C156" i="1"/>
  <c r="B156" i="1"/>
  <c r="A156" i="1"/>
  <c r="J155" i="1"/>
  <c r="K155" i="1" s="1"/>
  <c r="I155" i="1"/>
  <c r="E155" i="1"/>
  <c r="D155" i="1"/>
  <c r="C155" i="1"/>
  <c r="B155" i="1"/>
  <c r="A155" i="1"/>
  <c r="J154" i="1"/>
  <c r="K154" i="1" s="1"/>
  <c r="I154" i="1"/>
  <c r="E154" i="1"/>
  <c r="D154" i="1"/>
  <c r="C154" i="1"/>
  <c r="B154" i="1"/>
  <c r="A154" i="1"/>
  <c r="J153" i="1"/>
  <c r="K153" i="1" s="1"/>
  <c r="I153" i="1"/>
  <c r="E153" i="1"/>
  <c r="D153" i="1"/>
  <c r="C153" i="1"/>
  <c r="B153" i="1"/>
  <c r="A153" i="1"/>
  <c r="J152" i="1"/>
  <c r="K152" i="1" s="1"/>
  <c r="I152" i="1"/>
  <c r="E152" i="1"/>
  <c r="D152" i="1"/>
  <c r="C152" i="1"/>
  <c r="B152" i="1"/>
  <c r="A152" i="1"/>
  <c r="J151" i="1"/>
  <c r="K151" i="1" s="1"/>
  <c r="I151" i="1"/>
  <c r="E151" i="1"/>
  <c r="D151" i="1"/>
  <c r="C151" i="1"/>
  <c r="B151" i="1"/>
  <c r="A151" i="1"/>
  <c r="J150" i="1"/>
  <c r="K150" i="1" s="1"/>
  <c r="I150" i="1"/>
  <c r="E150" i="1"/>
  <c r="D150" i="1"/>
  <c r="C150" i="1"/>
  <c r="B150" i="1"/>
  <c r="A150" i="1"/>
  <c r="J149" i="1"/>
  <c r="K149" i="1" s="1"/>
  <c r="I149" i="1"/>
  <c r="E149" i="1"/>
  <c r="D149" i="1"/>
  <c r="C149" i="1"/>
  <c r="B149" i="1"/>
  <c r="A149" i="1"/>
  <c r="J148" i="1"/>
  <c r="K148" i="1" s="1"/>
  <c r="I148" i="1"/>
  <c r="E148" i="1"/>
  <c r="D148" i="1"/>
  <c r="C148" i="1"/>
  <c r="B148" i="1"/>
  <c r="A148" i="1"/>
  <c r="J147" i="1"/>
  <c r="K147" i="1" s="1"/>
  <c r="I147" i="1"/>
  <c r="E147" i="1"/>
  <c r="D147" i="1"/>
  <c r="C147" i="1"/>
  <c r="B147" i="1"/>
  <c r="A147" i="1"/>
  <c r="J146" i="1"/>
  <c r="K146" i="1" s="1"/>
  <c r="I146" i="1"/>
  <c r="E146" i="1"/>
  <c r="D146" i="1"/>
  <c r="C146" i="1"/>
  <c r="B146" i="1"/>
  <c r="A146" i="1"/>
  <c r="J145" i="1"/>
  <c r="K145" i="1" s="1"/>
  <c r="I145" i="1"/>
  <c r="E145" i="1"/>
  <c r="D145" i="1"/>
  <c r="C145" i="1"/>
  <c r="B145" i="1"/>
  <c r="A145" i="1"/>
  <c r="J144" i="1"/>
  <c r="K144" i="1" s="1"/>
  <c r="I144" i="1"/>
  <c r="E144" i="1"/>
  <c r="D144" i="1"/>
  <c r="C144" i="1"/>
  <c r="B144" i="1"/>
  <c r="A144" i="1"/>
  <c r="J143" i="1"/>
  <c r="K143" i="1" s="1"/>
  <c r="I143" i="1"/>
  <c r="E143" i="1"/>
  <c r="D143" i="1"/>
  <c r="C143" i="1"/>
  <c r="B143" i="1"/>
  <c r="A143" i="1"/>
  <c r="J142" i="1"/>
  <c r="K142" i="1" s="1"/>
  <c r="L203" i="1" s="1"/>
  <c r="I142" i="1"/>
  <c r="E142" i="1"/>
  <c r="D142" i="1"/>
  <c r="C142" i="1"/>
  <c r="B142" i="1"/>
  <c r="A142" i="1"/>
  <c r="J141" i="1"/>
  <c r="K141" i="1" s="1"/>
  <c r="I141" i="1"/>
  <c r="E141" i="1"/>
  <c r="D141" i="1"/>
  <c r="C141" i="1"/>
  <c r="B141" i="1"/>
  <c r="A141" i="1"/>
  <c r="J140" i="1"/>
  <c r="K140" i="1" s="1"/>
  <c r="I140" i="1"/>
  <c r="E140" i="1"/>
  <c r="D140" i="1"/>
  <c r="C140" i="1"/>
  <c r="B140" i="1"/>
  <c r="A140" i="1"/>
  <c r="J139" i="1"/>
  <c r="K139" i="1" s="1"/>
  <c r="I139" i="1"/>
  <c r="E139" i="1"/>
  <c r="D139" i="1"/>
  <c r="C139" i="1"/>
  <c r="B139" i="1"/>
  <c r="A139" i="1"/>
  <c r="J138" i="1"/>
  <c r="K138" i="1" s="1"/>
  <c r="I138" i="1"/>
  <c r="E138" i="1"/>
  <c r="D138" i="1"/>
  <c r="C138" i="1"/>
  <c r="B138" i="1"/>
  <c r="A138" i="1"/>
  <c r="J137" i="1"/>
  <c r="K137" i="1" s="1"/>
  <c r="L141" i="1" s="1"/>
  <c r="I137" i="1"/>
  <c r="E137" i="1"/>
  <c r="D137" i="1"/>
  <c r="C137" i="1"/>
  <c r="B137" i="1"/>
  <c r="A137" i="1"/>
  <c r="J136" i="1"/>
  <c r="K136" i="1" s="1"/>
  <c r="I136" i="1"/>
  <c r="E136" i="1"/>
  <c r="D136" i="1"/>
  <c r="C136" i="1"/>
  <c r="B136" i="1"/>
  <c r="A136" i="1"/>
  <c r="J135" i="1"/>
  <c r="K135" i="1" s="1"/>
  <c r="I135" i="1"/>
  <c r="E135" i="1"/>
  <c r="D135" i="1"/>
  <c r="C135" i="1"/>
  <c r="B135" i="1"/>
  <c r="A135" i="1"/>
  <c r="J134" i="1"/>
  <c r="K134" i="1" s="1"/>
  <c r="I134" i="1"/>
  <c r="E134" i="1"/>
  <c r="D134" i="1"/>
  <c r="C134" i="1"/>
  <c r="B134" i="1"/>
  <c r="A134" i="1"/>
  <c r="J133" i="1"/>
  <c r="K133" i="1" s="1"/>
  <c r="I133" i="1"/>
  <c r="E133" i="1"/>
  <c r="D133" i="1"/>
  <c r="C133" i="1"/>
  <c r="B133" i="1"/>
  <c r="A133" i="1"/>
  <c r="J132" i="1"/>
  <c r="K132" i="1" s="1"/>
  <c r="I132" i="1"/>
  <c r="E132" i="1"/>
  <c r="D132" i="1"/>
  <c r="C132" i="1"/>
  <c r="B132" i="1"/>
  <c r="A132" i="1"/>
  <c r="J131" i="1"/>
  <c r="K131" i="1" s="1"/>
  <c r="I131" i="1"/>
  <c r="E131" i="1"/>
  <c r="D131" i="1"/>
  <c r="C131" i="1"/>
  <c r="B131" i="1"/>
  <c r="A131" i="1"/>
  <c r="J130" i="1"/>
  <c r="K130" i="1" s="1"/>
  <c r="I130" i="1"/>
  <c r="E130" i="1"/>
  <c r="D130" i="1"/>
  <c r="C130" i="1"/>
  <c r="B130" i="1"/>
  <c r="A130" i="1"/>
  <c r="J129" i="1"/>
  <c r="K129" i="1" s="1"/>
  <c r="I129" i="1"/>
  <c r="E129" i="1"/>
  <c r="D129" i="1"/>
  <c r="C129" i="1"/>
  <c r="B129" i="1"/>
  <c r="A129" i="1"/>
  <c r="J128" i="1"/>
  <c r="K128" i="1" s="1"/>
  <c r="I128" i="1"/>
  <c r="E128" i="1"/>
  <c r="D128" i="1"/>
  <c r="C128" i="1"/>
  <c r="B128" i="1"/>
  <c r="A128" i="1"/>
  <c r="J127" i="1"/>
  <c r="K127" i="1" s="1"/>
  <c r="I127" i="1"/>
  <c r="E127" i="1"/>
  <c r="D127" i="1"/>
  <c r="C127" i="1"/>
  <c r="B127" i="1"/>
  <c r="A127" i="1"/>
  <c r="J126" i="1"/>
  <c r="K126" i="1" s="1"/>
  <c r="I126" i="1"/>
  <c r="E126" i="1"/>
  <c r="D126" i="1"/>
  <c r="C126" i="1"/>
  <c r="B126" i="1"/>
  <c r="A126" i="1"/>
  <c r="J125" i="1"/>
  <c r="K125" i="1" s="1"/>
  <c r="I125" i="1"/>
  <c r="E125" i="1"/>
  <c r="D125" i="1"/>
  <c r="C125" i="1"/>
  <c r="B125" i="1"/>
  <c r="A125" i="1"/>
  <c r="J124" i="1"/>
  <c r="K124" i="1" s="1"/>
  <c r="I124" i="1"/>
  <c r="E124" i="1"/>
  <c r="D124" i="1"/>
  <c r="C124" i="1"/>
  <c r="B124" i="1"/>
  <c r="A124" i="1"/>
  <c r="J123" i="1"/>
  <c r="K123" i="1" s="1"/>
  <c r="I123" i="1"/>
  <c r="E123" i="1"/>
  <c r="D123" i="1"/>
  <c r="C123" i="1"/>
  <c r="B123" i="1"/>
  <c r="A123" i="1"/>
  <c r="J122" i="1"/>
  <c r="K122" i="1" s="1"/>
  <c r="I122" i="1"/>
  <c r="E122" i="1"/>
  <c r="D122" i="1"/>
  <c r="C122" i="1"/>
  <c r="B122" i="1"/>
  <c r="A122" i="1"/>
  <c r="J121" i="1"/>
  <c r="K121" i="1" s="1"/>
  <c r="I121" i="1"/>
  <c r="E121" i="1"/>
  <c r="D121" i="1"/>
  <c r="C121" i="1"/>
  <c r="B121" i="1"/>
  <c r="A121" i="1"/>
  <c r="J120" i="1"/>
  <c r="K120" i="1" s="1"/>
  <c r="I120" i="1"/>
  <c r="E120" i="1"/>
  <c r="D120" i="1"/>
  <c r="C120" i="1"/>
  <c r="B120" i="1"/>
  <c r="A120" i="1"/>
  <c r="J119" i="1"/>
  <c r="K119" i="1" s="1"/>
  <c r="I119" i="1"/>
  <c r="E119" i="1"/>
  <c r="D119" i="1"/>
  <c r="C119" i="1"/>
  <c r="B119" i="1"/>
  <c r="A119" i="1"/>
  <c r="J118" i="1"/>
  <c r="K118" i="1" s="1"/>
  <c r="I118" i="1"/>
  <c r="E118" i="1"/>
  <c r="D118" i="1"/>
  <c r="C118" i="1"/>
  <c r="B118" i="1"/>
  <c r="A118" i="1"/>
  <c r="J117" i="1"/>
  <c r="K117" i="1" s="1"/>
  <c r="I117" i="1"/>
  <c r="E117" i="1"/>
  <c r="D117" i="1"/>
  <c r="C117" i="1"/>
  <c r="B117" i="1"/>
  <c r="A117" i="1"/>
  <c r="J116" i="1"/>
  <c r="K116" i="1" s="1"/>
  <c r="I116" i="1"/>
  <c r="E116" i="1"/>
  <c r="D116" i="1"/>
  <c r="C116" i="1"/>
  <c r="B116" i="1"/>
  <c r="A116" i="1"/>
  <c r="J115" i="1"/>
  <c r="K115" i="1" s="1"/>
  <c r="I115" i="1"/>
  <c r="E115" i="1"/>
  <c r="D115" i="1"/>
  <c r="C115" i="1"/>
  <c r="B115" i="1"/>
  <c r="A115" i="1"/>
  <c r="J114" i="1"/>
  <c r="K114" i="1" s="1"/>
  <c r="I114" i="1"/>
  <c r="E114" i="1"/>
  <c r="D114" i="1"/>
  <c r="C114" i="1"/>
  <c r="B114" i="1"/>
  <c r="A114" i="1"/>
  <c r="J113" i="1"/>
  <c r="K113" i="1" s="1"/>
  <c r="I113" i="1"/>
  <c r="E113" i="1"/>
  <c r="D113" i="1"/>
  <c r="C113" i="1"/>
  <c r="B113" i="1"/>
  <c r="A113" i="1"/>
  <c r="J112" i="1"/>
  <c r="K112" i="1" s="1"/>
  <c r="I112" i="1"/>
  <c r="E112" i="1"/>
  <c r="D112" i="1"/>
  <c r="C112" i="1"/>
  <c r="B112" i="1"/>
  <c r="A112" i="1"/>
  <c r="J111" i="1"/>
  <c r="K111" i="1" s="1"/>
  <c r="I111" i="1"/>
  <c r="E111" i="1"/>
  <c r="D111" i="1"/>
  <c r="C111" i="1"/>
  <c r="B111" i="1"/>
  <c r="A111" i="1"/>
  <c r="J110" i="1"/>
  <c r="K110" i="1" s="1"/>
  <c r="I110" i="1"/>
  <c r="E110" i="1"/>
  <c r="D110" i="1"/>
  <c r="C110" i="1"/>
  <c r="B110" i="1"/>
  <c r="A110" i="1"/>
  <c r="J109" i="1"/>
  <c r="K109" i="1" s="1"/>
  <c r="I109" i="1"/>
  <c r="E109" i="1"/>
  <c r="D109" i="1"/>
  <c r="C109" i="1"/>
  <c r="B109" i="1"/>
  <c r="A109" i="1"/>
  <c r="K108" i="1"/>
  <c r="J108" i="1"/>
  <c r="I108" i="1"/>
  <c r="E108" i="1"/>
  <c r="D108" i="1"/>
  <c r="C108" i="1"/>
  <c r="B108" i="1"/>
  <c r="A108" i="1"/>
  <c r="J107" i="1"/>
  <c r="K107" i="1" s="1"/>
  <c r="I107" i="1"/>
  <c r="E107" i="1"/>
  <c r="D107" i="1"/>
  <c r="C107" i="1"/>
  <c r="B107" i="1"/>
  <c r="A107" i="1"/>
  <c r="J106" i="1"/>
  <c r="K106" i="1" s="1"/>
  <c r="I106" i="1"/>
  <c r="E106" i="1"/>
  <c r="D106" i="1"/>
  <c r="C106" i="1"/>
  <c r="B106" i="1"/>
  <c r="A106" i="1"/>
  <c r="J105" i="1"/>
  <c r="K105" i="1" s="1"/>
  <c r="I105" i="1"/>
  <c r="E105" i="1"/>
  <c r="D105" i="1"/>
  <c r="C105" i="1"/>
  <c r="B105" i="1"/>
  <c r="A105" i="1"/>
  <c r="J104" i="1"/>
  <c r="K104" i="1" s="1"/>
  <c r="I104" i="1"/>
  <c r="E104" i="1"/>
  <c r="D104" i="1"/>
  <c r="C104" i="1"/>
  <c r="B104" i="1"/>
  <c r="A104" i="1"/>
  <c r="J103" i="1"/>
  <c r="K103" i="1" s="1"/>
  <c r="I103" i="1"/>
  <c r="E103" i="1"/>
  <c r="D103" i="1"/>
  <c r="C103" i="1"/>
  <c r="B103" i="1"/>
  <c r="A103" i="1"/>
  <c r="J102" i="1"/>
  <c r="K102" i="1" s="1"/>
  <c r="I102" i="1"/>
  <c r="E102" i="1"/>
  <c r="D102" i="1"/>
  <c r="C102" i="1"/>
  <c r="B102" i="1"/>
  <c r="A102" i="1"/>
  <c r="J101" i="1"/>
  <c r="K101" i="1" s="1"/>
  <c r="I101" i="1"/>
  <c r="E101" i="1"/>
  <c r="D101" i="1"/>
  <c r="C101" i="1"/>
  <c r="B101" i="1"/>
  <c r="A101" i="1"/>
  <c r="J100" i="1"/>
  <c r="K100" i="1" s="1"/>
  <c r="I100" i="1"/>
  <c r="E100" i="1"/>
  <c r="D100" i="1"/>
  <c r="C100" i="1"/>
  <c r="B100" i="1"/>
  <c r="A100" i="1"/>
  <c r="J99" i="1"/>
  <c r="K99" i="1" s="1"/>
  <c r="I99" i="1"/>
  <c r="E99" i="1"/>
  <c r="D99" i="1"/>
  <c r="C99" i="1"/>
  <c r="B99" i="1"/>
  <c r="A99" i="1"/>
  <c r="J98" i="1"/>
  <c r="K98" i="1" s="1"/>
  <c r="I98" i="1"/>
  <c r="E98" i="1"/>
  <c r="D98" i="1"/>
  <c r="C98" i="1"/>
  <c r="B98" i="1"/>
  <c r="A98" i="1"/>
  <c r="J97" i="1"/>
  <c r="K97" i="1" s="1"/>
  <c r="I97" i="1"/>
  <c r="E97" i="1"/>
  <c r="D97" i="1"/>
  <c r="C97" i="1"/>
  <c r="B97" i="1"/>
  <c r="A97" i="1"/>
  <c r="J96" i="1"/>
  <c r="K96" i="1" s="1"/>
  <c r="I96" i="1"/>
  <c r="E96" i="1"/>
  <c r="D96" i="1"/>
  <c r="C96" i="1"/>
  <c r="B96" i="1"/>
  <c r="A96" i="1"/>
  <c r="J95" i="1"/>
  <c r="K95" i="1" s="1"/>
  <c r="I95" i="1"/>
  <c r="E95" i="1"/>
  <c r="D95" i="1"/>
  <c r="C95" i="1"/>
  <c r="B95" i="1"/>
  <c r="A95" i="1"/>
  <c r="J94" i="1"/>
  <c r="K94" i="1" s="1"/>
  <c r="I94" i="1"/>
  <c r="E94" i="1"/>
  <c r="D94" i="1"/>
  <c r="C94" i="1"/>
  <c r="B94" i="1"/>
  <c r="A94" i="1"/>
  <c r="J93" i="1"/>
  <c r="K93" i="1" s="1"/>
  <c r="I93" i="1"/>
  <c r="E93" i="1"/>
  <c r="D93" i="1"/>
  <c r="C93" i="1"/>
  <c r="B93" i="1"/>
  <c r="A93" i="1"/>
  <c r="J92" i="1"/>
  <c r="I92" i="1"/>
  <c r="K92" i="1" s="1"/>
  <c r="E92" i="1"/>
  <c r="D92" i="1"/>
  <c r="C92" i="1"/>
  <c r="B92" i="1"/>
  <c r="A92" i="1"/>
  <c r="J91" i="1"/>
  <c r="K91" i="1" s="1"/>
  <c r="I91" i="1"/>
  <c r="E91" i="1"/>
  <c r="D91" i="1"/>
  <c r="C91" i="1"/>
  <c r="B91" i="1"/>
  <c r="A91" i="1"/>
  <c r="J90" i="1"/>
  <c r="K90" i="1" s="1"/>
  <c r="I90" i="1"/>
  <c r="E90" i="1"/>
  <c r="D90" i="1"/>
  <c r="C90" i="1"/>
  <c r="B90" i="1"/>
  <c r="A90" i="1"/>
  <c r="J89" i="1"/>
  <c r="I89" i="1"/>
  <c r="K89" i="1" s="1"/>
  <c r="E89" i="1"/>
  <c r="D89" i="1"/>
  <c r="C89" i="1"/>
  <c r="B89" i="1"/>
  <c r="A89" i="1"/>
  <c r="J88" i="1"/>
  <c r="K88" i="1" s="1"/>
  <c r="I88" i="1"/>
  <c r="E88" i="1"/>
  <c r="D88" i="1"/>
  <c r="C88" i="1"/>
  <c r="B88" i="1"/>
  <c r="A88" i="1"/>
  <c r="J87" i="1"/>
  <c r="K87" i="1" s="1"/>
  <c r="I87" i="1"/>
  <c r="E87" i="1"/>
  <c r="D87" i="1"/>
  <c r="C87" i="1"/>
  <c r="B87" i="1"/>
  <c r="A87" i="1"/>
  <c r="J86" i="1"/>
  <c r="K86" i="1" s="1"/>
  <c r="I86" i="1"/>
  <c r="E86" i="1"/>
  <c r="D86" i="1"/>
  <c r="C86" i="1"/>
  <c r="B86" i="1"/>
  <c r="A86" i="1"/>
  <c r="J85" i="1"/>
  <c r="K85" i="1" s="1"/>
  <c r="L136" i="1" s="1"/>
  <c r="I85" i="1"/>
  <c r="E85" i="1"/>
  <c r="D85" i="1"/>
  <c r="C85" i="1"/>
  <c r="B85" i="1"/>
  <c r="A85" i="1"/>
  <c r="J84" i="1"/>
  <c r="I84" i="1"/>
  <c r="K84" i="1" s="1"/>
  <c r="E84" i="1"/>
  <c r="D84" i="1"/>
  <c r="C84" i="1"/>
  <c r="B84" i="1"/>
  <c r="A84" i="1"/>
  <c r="J83" i="1"/>
  <c r="K83" i="1" s="1"/>
  <c r="I83" i="1"/>
  <c r="E83" i="1"/>
  <c r="D83" i="1"/>
  <c r="C83" i="1"/>
  <c r="B83" i="1"/>
  <c r="A83" i="1"/>
  <c r="J82" i="1"/>
  <c r="K82" i="1" s="1"/>
  <c r="I82" i="1"/>
  <c r="E82" i="1"/>
  <c r="D82" i="1"/>
  <c r="C82" i="1"/>
  <c r="B82" i="1"/>
  <c r="A82" i="1"/>
  <c r="J81" i="1"/>
  <c r="K81" i="1" s="1"/>
  <c r="I81" i="1"/>
  <c r="E81" i="1"/>
  <c r="D81" i="1"/>
  <c r="C81" i="1"/>
  <c r="B81" i="1"/>
  <c r="A81" i="1"/>
  <c r="J80" i="1"/>
  <c r="K80" i="1" s="1"/>
  <c r="I80" i="1"/>
  <c r="E80" i="1"/>
  <c r="D80" i="1"/>
  <c r="C80" i="1"/>
  <c r="B80" i="1"/>
  <c r="A80" i="1"/>
  <c r="J79" i="1"/>
  <c r="K79" i="1" s="1"/>
  <c r="I79" i="1"/>
  <c r="E79" i="1"/>
  <c r="D79" i="1"/>
  <c r="C79" i="1"/>
  <c r="B79" i="1"/>
  <c r="A79" i="1"/>
  <c r="J78" i="1"/>
  <c r="K78" i="1" s="1"/>
  <c r="I78" i="1"/>
  <c r="E78" i="1"/>
  <c r="D78" i="1"/>
  <c r="C78" i="1"/>
  <c r="B78" i="1"/>
  <c r="A78" i="1"/>
  <c r="J77" i="1"/>
  <c r="K77" i="1" s="1"/>
  <c r="I77" i="1"/>
  <c r="E77" i="1"/>
  <c r="D77" i="1"/>
  <c r="C77" i="1"/>
  <c r="B77" i="1"/>
  <c r="A77" i="1"/>
  <c r="J76" i="1"/>
  <c r="K76" i="1" s="1"/>
  <c r="I76" i="1"/>
  <c r="E76" i="1"/>
  <c r="D76" i="1"/>
  <c r="C76" i="1"/>
  <c r="B76" i="1"/>
  <c r="A76" i="1"/>
  <c r="J75" i="1"/>
  <c r="K75" i="1" s="1"/>
  <c r="I75" i="1"/>
  <c r="E75" i="1"/>
  <c r="D75" i="1"/>
  <c r="C75" i="1"/>
  <c r="B75" i="1"/>
  <c r="A75" i="1"/>
  <c r="J74" i="1"/>
  <c r="K74" i="1" s="1"/>
  <c r="I74" i="1"/>
  <c r="E74" i="1"/>
  <c r="D74" i="1"/>
  <c r="C74" i="1"/>
  <c r="B74" i="1"/>
  <c r="A74" i="1"/>
  <c r="J73" i="1"/>
  <c r="K73" i="1" s="1"/>
  <c r="I73" i="1"/>
  <c r="E73" i="1"/>
  <c r="D73" i="1"/>
  <c r="C73" i="1"/>
  <c r="B73" i="1"/>
  <c r="A73" i="1"/>
  <c r="J72" i="1"/>
  <c r="K72" i="1" s="1"/>
  <c r="I72" i="1"/>
  <c r="E72" i="1"/>
  <c r="D72" i="1"/>
  <c r="C72" i="1"/>
  <c r="B72" i="1"/>
  <c r="A72" i="1"/>
  <c r="J71" i="1"/>
  <c r="K71" i="1" s="1"/>
  <c r="I71" i="1"/>
  <c r="E71" i="1"/>
  <c r="D71" i="1"/>
  <c r="C71" i="1"/>
  <c r="B71" i="1"/>
  <c r="A71" i="1"/>
  <c r="J70" i="1"/>
  <c r="K70" i="1" s="1"/>
  <c r="I70" i="1"/>
  <c r="E70" i="1"/>
  <c r="D70" i="1"/>
  <c r="C70" i="1"/>
  <c r="B70" i="1"/>
  <c r="A70" i="1"/>
  <c r="J69" i="1"/>
  <c r="K69" i="1" s="1"/>
  <c r="I69" i="1"/>
  <c r="E69" i="1"/>
  <c r="D69" i="1"/>
  <c r="C69" i="1"/>
  <c r="B69" i="1"/>
  <c r="A69" i="1"/>
  <c r="J68" i="1"/>
  <c r="K68" i="1" s="1"/>
  <c r="I68" i="1"/>
  <c r="E68" i="1"/>
  <c r="D68" i="1"/>
  <c r="C68" i="1"/>
  <c r="B68" i="1"/>
  <c r="A68" i="1"/>
  <c r="J67" i="1"/>
  <c r="K67" i="1" s="1"/>
  <c r="I67" i="1"/>
  <c r="E67" i="1"/>
  <c r="D67" i="1"/>
  <c r="C67" i="1"/>
  <c r="B67" i="1"/>
  <c r="A67" i="1"/>
  <c r="J66" i="1"/>
  <c r="K66" i="1" s="1"/>
  <c r="I66" i="1"/>
  <c r="E66" i="1"/>
  <c r="D66" i="1"/>
  <c r="C66" i="1"/>
  <c r="B66" i="1"/>
  <c r="A66" i="1"/>
  <c r="J65" i="1"/>
  <c r="K65" i="1" s="1"/>
  <c r="I65" i="1"/>
  <c r="E65" i="1"/>
  <c r="D65" i="1"/>
  <c r="C65" i="1"/>
  <c r="B65" i="1"/>
  <c r="A65" i="1"/>
  <c r="J64" i="1"/>
  <c r="K64" i="1" s="1"/>
  <c r="I64" i="1"/>
  <c r="E64" i="1"/>
  <c r="D64" i="1"/>
  <c r="C64" i="1"/>
  <c r="B64" i="1"/>
  <c r="A64" i="1"/>
  <c r="J63" i="1"/>
  <c r="K63" i="1" s="1"/>
  <c r="I63" i="1"/>
  <c r="E63" i="1"/>
  <c r="D63" i="1"/>
  <c r="C63" i="1"/>
  <c r="B63" i="1"/>
  <c r="A63" i="1"/>
  <c r="J62" i="1"/>
  <c r="K62" i="1" s="1"/>
  <c r="I62" i="1"/>
  <c r="E62" i="1"/>
  <c r="D62" i="1"/>
  <c r="C62" i="1"/>
  <c r="B62" i="1"/>
  <c r="A62" i="1"/>
  <c r="J61" i="1"/>
  <c r="K61" i="1" s="1"/>
  <c r="I61" i="1"/>
  <c r="E61" i="1"/>
  <c r="D61" i="1"/>
  <c r="C61" i="1"/>
  <c r="B61" i="1"/>
  <c r="A61" i="1"/>
  <c r="J60" i="1"/>
  <c r="K60" i="1" s="1"/>
  <c r="I60" i="1"/>
  <c r="E60" i="1"/>
  <c r="D60" i="1"/>
  <c r="C60" i="1"/>
  <c r="B60" i="1"/>
  <c r="A60" i="1"/>
  <c r="J59" i="1"/>
  <c r="K59" i="1" s="1"/>
  <c r="I59" i="1"/>
  <c r="E59" i="1"/>
  <c r="D59" i="1"/>
  <c r="C59" i="1"/>
  <c r="B59" i="1"/>
  <c r="A59" i="1"/>
  <c r="J58" i="1"/>
  <c r="K58" i="1" s="1"/>
  <c r="I58" i="1"/>
  <c r="E58" i="1"/>
  <c r="D58" i="1"/>
  <c r="C58" i="1"/>
  <c r="B58" i="1"/>
  <c r="A58" i="1"/>
  <c r="J57" i="1"/>
  <c r="K57" i="1" s="1"/>
  <c r="I57" i="1"/>
  <c r="E57" i="1"/>
  <c r="D57" i="1"/>
  <c r="C57" i="1"/>
  <c r="B57" i="1"/>
  <c r="A57" i="1"/>
  <c r="J56" i="1"/>
  <c r="K56" i="1" s="1"/>
  <c r="I56" i="1"/>
  <c r="E56" i="1"/>
  <c r="D56" i="1"/>
  <c r="C56" i="1"/>
  <c r="B56" i="1"/>
  <c r="A56" i="1"/>
  <c r="J55" i="1"/>
  <c r="K55" i="1" s="1"/>
  <c r="I55" i="1"/>
  <c r="E55" i="1"/>
  <c r="D55" i="1"/>
  <c r="C55" i="1"/>
  <c r="B55" i="1"/>
  <c r="A55" i="1"/>
  <c r="J54" i="1"/>
  <c r="K54" i="1" s="1"/>
  <c r="I54" i="1"/>
  <c r="E54" i="1"/>
  <c r="D54" i="1"/>
  <c r="C54" i="1"/>
  <c r="B54" i="1"/>
  <c r="A54" i="1"/>
  <c r="J53" i="1"/>
  <c r="K53" i="1" s="1"/>
  <c r="I53" i="1"/>
  <c r="E53" i="1"/>
  <c r="D53" i="1"/>
  <c r="C53" i="1"/>
  <c r="B53" i="1"/>
  <c r="A53" i="1"/>
  <c r="J52" i="1"/>
  <c r="K52" i="1" s="1"/>
  <c r="I52" i="1"/>
  <c r="E52" i="1"/>
  <c r="D52" i="1"/>
  <c r="C52" i="1"/>
  <c r="B52" i="1"/>
  <c r="A52" i="1"/>
  <c r="J51" i="1"/>
  <c r="K51" i="1" s="1"/>
  <c r="I51" i="1"/>
  <c r="E51" i="1"/>
  <c r="D51" i="1"/>
  <c r="C51" i="1"/>
  <c r="B51" i="1"/>
  <c r="A51" i="1"/>
  <c r="J50" i="1"/>
  <c r="K50" i="1" s="1"/>
  <c r="I50" i="1"/>
  <c r="E50" i="1"/>
  <c r="D50" i="1"/>
  <c r="C50" i="1"/>
  <c r="B50" i="1"/>
  <c r="A50" i="1"/>
  <c r="J49" i="1"/>
  <c r="K49" i="1" s="1"/>
  <c r="I49" i="1"/>
  <c r="E49" i="1"/>
  <c r="D49" i="1"/>
  <c r="C49" i="1"/>
  <c r="B49" i="1"/>
  <c r="A49" i="1"/>
  <c r="J48" i="1"/>
  <c r="K48" i="1" s="1"/>
  <c r="I48" i="1"/>
  <c r="E48" i="1"/>
  <c r="D48" i="1"/>
  <c r="C48" i="1"/>
  <c r="B48" i="1"/>
  <c r="A48" i="1"/>
  <c r="J47" i="1"/>
  <c r="K47" i="1" s="1"/>
  <c r="I47" i="1"/>
  <c r="E47" i="1"/>
  <c r="D47" i="1"/>
  <c r="C47" i="1"/>
  <c r="B47" i="1"/>
  <c r="A47" i="1"/>
  <c r="J46" i="1"/>
  <c r="K46" i="1" s="1"/>
  <c r="I46" i="1"/>
  <c r="E46" i="1"/>
  <c r="D46" i="1"/>
  <c r="C46" i="1"/>
  <c r="B46" i="1"/>
  <c r="A46" i="1"/>
  <c r="J45" i="1"/>
  <c r="K45" i="1" s="1"/>
  <c r="I45" i="1"/>
  <c r="E45" i="1"/>
  <c r="D45" i="1"/>
  <c r="C45" i="1"/>
  <c r="B45" i="1"/>
  <c r="A45" i="1"/>
  <c r="K44" i="1"/>
  <c r="J44" i="1"/>
  <c r="I44" i="1"/>
  <c r="E44" i="1"/>
  <c r="D44" i="1"/>
  <c r="C44" i="1"/>
  <c r="B44" i="1"/>
  <c r="A44" i="1"/>
  <c r="J43" i="1"/>
  <c r="K43" i="1" s="1"/>
  <c r="I43" i="1"/>
  <c r="E43" i="1"/>
  <c r="D43" i="1"/>
  <c r="C43" i="1"/>
  <c r="B43" i="1"/>
  <c r="A43" i="1"/>
  <c r="J42" i="1"/>
  <c r="K42" i="1" s="1"/>
  <c r="I42" i="1"/>
  <c r="E42" i="1"/>
  <c r="D42" i="1"/>
  <c r="C42" i="1"/>
  <c r="B42" i="1"/>
  <c r="A42" i="1"/>
  <c r="J41" i="1"/>
  <c r="K41" i="1" s="1"/>
  <c r="I41" i="1"/>
  <c r="E41" i="1"/>
  <c r="D41" i="1"/>
  <c r="C41" i="1"/>
  <c r="B41" i="1"/>
  <c r="A41" i="1"/>
  <c r="J40" i="1"/>
  <c r="K40" i="1" s="1"/>
  <c r="I40" i="1"/>
  <c r="E40" i="1"/>
  <c r="D40" i="1"/>
  <c r="C40" i="1"/>
  <c r="B40" i="1"/>
  <c r="A40" i="1"/>
  <c r="J39" i="1"/>
  <c r="K39" i="1" s="1"/>
  <c r="I39" i="1"/>
  <c r="E39" i="1"/>
  <c r="D39" i="1"/>
  <c r="C39" i="1"/>
  <c r="B39" i="1"/>
  <c r="A39" i="1"/>
  <c r="J38" i="1"/>
  <c r="K38" i="1" s="1"/>
  <c r="I38" i="1"/>
  <c r="E38" i="1"/>
  <c r="D38" i="1"/>
  <c r="C38" i="1"/>
  <c r="B38" i="1"/>
  <c r="A38" i="1"/>
  <c r="J37" i="1"/>
  <c r="K37" i="1" s="1"/>
  <c r="I37" i="1"/>
  <c r="E37" i="1"/>
  <c r="D37" i="1"/>
  <c r="C37" i="1"/>
  <c r="B37" i="1"/>
  <c r="A37" i="1"/>
  <c r="J36" i="1"/>
  <c r="K36" i="1" s="1"/>
  <c r="I36" i="1"/>
  <c r="E36" i="1"/>
  <c r="D36" i="1"/>
  <c r="C36" i="1"/>
  <c r="B36" i="1"/>
  <c r="A36" i="1"/>
  <c r="J35" i="1"/>
  <c r="K35" i="1" s="1"/>
  <c r="I35" i="1"/>
  <c r="E35" i="1"/>
  <c r="D35" i="1"/>
  <c r="C35" i="1"/>
  <c r="B35" i="1"/>
  <c r="A35" i="1"/>
  <c r="J34" i="1"/>
  <c r="K34" i="1" s="1"/>
  <c r="I34" i="1"/>
  <c r="E34" i="1"/>
  <c r="D34" i="1"/>
  <c r="C34" i="1"/>
  <c r="B34" i="1"/>
  <c r="A34" i="1"/>
  <c r="J33" i="1"/>
  <c r="I33" i="1"/>
  <c r="K33" i="1" s="1"/>
  <c r="E33" i="1"/>
  <c r="D33" i="1"/>
  <c r="C33" i="1"/>
  <c r="B33" i="1"/>
  <c r="A33" i="1"/>
  <c r="J32" i="1"/>
  <c r="I32" i="1"/>
  <c r="K32" i="1" s="1"/>
  <c r="E32" i="1"/>
  <c r="D32" i="1"/>
  <c r="C32" i="1"/>
  <c r="B32" i="1"/>
  <c r="A32" i="1"/>
  <c r="J31" i="1"/>
  <c r="I31" i="1"/>
  <c r="K31" i="1" s="1"/>
  <c r="E31" i="1"/>
  <c r="D31" i="1"/>
  <c r="C31" i="1"/>
  <c r="B31" i="1"/>
  <c r="A31" i="1"/>
  <c r="J30" i="1"/>
  <c r="I30" i="1"/>
  <c r="K30" i="1" s="1"/>
  <c r="E30" i="1"/>
  <c r="D30" i="1"/>
  <c r="C30" i="1"/>
  <c r="B30" i="1"/>
  <c r="A30" i="1"/>
  <c r="J29" i="1"/>
  <c r="I29" i="1"/>
  <c r="K29" i="1" s="1"/>
  <c r="E29" i="1"/>
  <c r="D29" i="1"/>
  <c r="C29" i="1"/>
  <c r="B29" i="1"/>
  <c r="A29" i="1"/>
  <c r="J28" i="1"/>
  <c r="I28" i="1"/>
  <c r="K28" i="1" s="1"/>
  <c r="E28" i="1"/>
  <c r="D28" i="1"/>
  <c r="C28" i="1"/>
  <c r="B28" i="1"/>
  <c r="A28" i="1"/>
  <c r="J27" i="1"/>
  <c r="I27" i="1"/>
  <c r="K27" i="1" s="1"/>
  <c r="E27" i="1"/>
  <c r="D27" i="1"/>
  <c r="C27" i="1"/>
  <c r="B27" i="1"/>
  <c r="A27" i="1"/>
  <c r="J26" i="1"/>
  <c r="I26" i="1"/>
  <c r="K26" i="1" s="1"/>
  <c r="E26" i="1"/>
  <c r="D26" i="1"/>
  <c r="C26" i="1"/>
  <c r="B26" i="1"/>
  <c r="A26" i="1"/>
  <c r="J25" i="1"/>
  <c r="I25" i="1"/>
  <c r="K25" i="1" s="1"/>
  <c r="E25" i="1"/>
  <c r="D25" i="1"/>
  <c r="C25" i="1"/>
  <c r="B25" i="1"/>
  <c r="A25" i="1"/>
  <c r="J24" i="1"/>
  <c r="I24" i="1"/>
  <c r="K24" i="1" s="1"/>
  <c r="E24" i="1"/>
  <c r="D24" i="1"/>
  <c r="C24" i="1"/>
  <c r="B24" i="1"/>
  <c r="A24" i="1"/>
  <c r="J23" i="1"/>
  <c r="I23" i="1"/>
  <c r="K23" i="1" s="1"/>
  <c r="E23" i="1"/>
  <c r="D23" i="1"/>
  <c r="C23" i="1"/>
  <c r="B23" i="1"/>
  <c r="A23" i="1"/>
  <c r="J22" i="1"/>
  <c r="I22" i="1"/>
  <c r="K22" i="1" s="1"/>
  <c r="E22" i="1"/>
  <c r="D22" i="1"/>
  <c r="C22" i="1"/>
  <c r="B22" i="1"/>
  <c r="A22" i="1"/>
  <c r="J21" i="1"/>
  <c r="I21" i="1"/>
  <c r="K21" i="1" s="1"/>
  <c r="E21" i="1"/>
  <c r="D21" i="1"/>
  <c r="C21" i="1"/>
  <c r="B21" i="1"/>
  <c r="A21" i="1"/>
  <c r="J20" i="1"/>
  <c r="I20" i="1"/>
  <c r="K20" i="1" s="1"/>
  <c r="E20" i="1"/>
  <c r="D20" i="1"/>
  <c r="C20" i="1"/>
  <c r="B20" i="1"/>
  <c r="A20" i="1"/>
  <c r="J19" i="1"/>
  <c r="I19" i="1"/>
  <c r="K19" i="1" s="1"/>
  <c r="E19" i="1"/>
  <c r="D19" i="1"/>
  <c r="C19" i="1"/>
  <c r="B19" i="1"/>
  <c r="A19" i="1"/>
  <c r="J18" i="1"/>
  <c r="I18" i="1"/>
  <c r="K18" i="1" s="1"/>
  <c r="E18" i="1"/>
  <c r="D18" i="1"/>
  <c r="C18" i="1"/>
  <c r="B18" i="1"/>
  <c r="A18" i="1"/>
  <c r="J17" i="1"/>
  <c r="I17" i="1"/>
  <c r="K17" i="1" s="1"/>
  <c r="E17" i="1"/>
  <c r="D17" i="1"/>
  <c r="C17" i="1"/>
  <c r="B17" i="1"/>
  <c r="A17" i="1"/>
  <c r="J16" i="1"/>
  <c r="I16" i="1"/>
  <c r="K16" i="1" s="1"/>
  <c r="E16" i="1"/>
  <c r="D16" i="1"/>
  <c r="C16" i="1"/>
  <c r="B16" i="1"/>
  <c r="A16" i="1"/>
  <c r="J15" i="1"/>
  <c r="I15" i="1"/>
  <c r="K15" i="1" s="1"/>
  <c r="E15" i="1"/>
  <c r="D15" i="1"/>
  <c r="C15" i="1"/>
  <c r="B15" i="1"/>
  <c r="A15" i="1"/>
  <c r="J14" i="1"/>
  <c r="I14" i="1"/>
  <c r="K14" i="1" s="1"/>
  <c r="E14" i="1"/>
  <c r="D14" i="1"/>
  <c r="C14" i="1"/>
  <c r="B14" i="1"/>
  <c r="A14" i="1"/>
  <c r="J13" i="1"/>
  <c r="I13" i="1"/>
  <c r="K13" i="1" s="1"/>
  <c r="E13" i="1"/>
  <c r="D13" i="1"/>
  <c r="C13" i="1"/>
  <c r="B13" i="1"/>
  <c r="A13" i="1"/>
  <c r="J12" i="1"/>
  <c r="I12" i="1"/>
  <c r="K12" i="1" s="1"/>
  <c r="E12" i="1"/>
  <c r="D12" i="1"/>
  <c r="C12" i="1"/>
  <c r="B12" i="1"/>
  <c r="A12" i="1"/>
  <c r="J11" i="1"/>
  <c r="I11" i="1"/>
  <c r="K11" i="1" s="1"/>
  <c r="E11" i="1"/>
  <c r="D11" i="1"/>
  <c r="C11" i="1"/>
  <c r="B11" i="1"/>
  <c r="A11" i="1"/>
  <c r="J10" i="1"/>
  <c r="I10" i="1"/>
  <c r="K10" i="1" s="1"/>
  <c r="E10" i="1"/>
  <c r="D10" i="1"/>
  <c r="C10" i="1"/>
  <c r="B10" i="1"/>
  <c r="A10" i="1"/>
  <c r="J9" i="1"/>
  <c r="I9" i="1"/>
  <c r="K9" i="1" s="1"/>
  <c r="E9" i="1"/>
  <c r="D9" i="1"/>
  <c r="C9" i="1"/>
  <c r="B9" i="1"/>
  <c r="A9" i="1"/>
  <c r="K8" i="1"/>
  <c r="J8" i="1"/>
  <c r="I8" i="1"/>
  <c r="E8" i="1"/>
  <c r="D8" i="1"/>
  <c r="C8" i="1"/>
  <c r="B8" i="1"/>
  <c r="A8" i="1"/>
  <c r="J7" i="1"/>
  <c r="I7" i="1"/>
  <c r="K7" i="1" s="1"/>
  <c r="E7" i="1"/>
  <c r="D7" i="1"/>
  <c r="C7" i="1"/>
  <c r="B7" i="1"/>
  <c r="A7" i="1"/>
  <c r="J6" i="1"/>
  <c r="I6" i="1"/>
  <c r="K6" i="1" s="1"/>
  <c r="E6" i="1"/>
  <c r="D6" i="1"/>
  <c r="C6" i="1"/>
  <c r="B6" i="1"/>
  <c r="A6" i="1"/>
  <c r="J5" i="1"/>
  <c r="I5" i="1"/>
  <c r="K5" i="1" s="1"/>
  <c r="E5" i="1"/>
  <c r="D5" i="1"/>
  <c r="C5" i="1"/>
  <c r="B5" i="1"/>
  <c r="A5" i="1"/>
  <c r="J4" i="1"/>
  <c r="I4" i="1"/>
  <c r="K4" i="1" s="1"/>
  <c r="E4" i="1"/>
  <c r="D4" i="1"/>
  <c r="C4" i="1"/>
  <c r="B4" i="1"/>
  <c r="A4" i="1"/>
  <c r="J3" i="1"/>
  <c r="I3" i="1"/>
  <c r="E3" i="1"/>
  <c r="D3" i="1"/>
  <c r="C3" i="1"/>
  <c r="B3" i="1"/>
  <c r="A3" i="1"/>
  <c r="K3" i="1" l="1"/>
  <c r="I2134" i="1"/>
  <c r="L83" i="1" l="1"/>
  <c r="L2134" i="1" s="1"/>
  <c r="K2134" i="1"/>
  <c r="L213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 authorId="0" shapeId="0" xr:uid="{8C1D9BB9-1C89-824C-BDD4-1CF6DAC3FB05}">
      <text>
        <r>
          <rPr>
            <sz val="10"/>
            <rFont val="SimSun"/>
            <charset val="134"/>
          </rPr>
          <t>IN 2PCS 02.11.26 DR80739-40 SPC HACKKET
IN 4PCS 01.09.26 DR79951-53 SPC HACKET
IN 4PCS 12-14-24 DR#756852 SPC KUYA ALWIN
IN 4PCS 11/25/24 DR#75722 SPC KUYA EMMAN
IN 2PCS 11/04/24 DR#76114 LIPA A
IN 4PCS 07/10/24 DR#75231 SPC KUYA HACKET
IN 4PCS 06/14/24 DR#75208 SPC
4PCS 2-3-24 DR#74645 SPC</t>
        </r>
      </text>
    </comment>
    <comment ref="H4" authorId="0" shapeId="0" xr:uid="{BBE0702E-468E-0846-AA02-BCE493D4B070}">
      <text>
        <r>
          <rPr>
            <sz val="10"/>
            <rFont val="SimSun"/>
            <charset val="134"/>
          </rPr>
          <t>02.11.26
54968 2PCS ALY
12-11-25
4 PCS OUT 53122 MARIBEL
4pcs out 12/13/24 jo40648 jarvis
OUT 4PCS 11/02/2024
JO38998 JARVIS
10/27/24
38805 2PCS SALES BEL
OUT 2PCS 09/19/24 DR#75409-10 SPC KUYA HACKET
07/22/24
36183 2PCS SALES JARVIS
OUT 3/10/24 32613 4PCS SALES JARVIS</t>
        </r>
      </text>
    </comment>
    <comment ref="G5" authorId="0" shapeId="0" xr:uid="{A8C69388-D2BC-954F-BA19-2F8C0516C5A7}">
      <text>
        <r>
          <rPr>
            <sz val="10"/>
            <rFont val="SimSun"/>
            <charset val="134"/>
          </rPr>
          <t>IN 2PCS 02.19.26 DR80255 LIPA B 
IN 4PCS 12.3.25 DR#79715 SPPC HACKET
IN 4PCS 11.14.25 DR#77838 BINAN HACKET
IN 4PCS 8.4.25 DR#75808 STC
IN 1PC 8.2.25 DR#78825 SPC MIKE
IN 1PCS 7.19.25 DR#78880 SPC HACKET
IN 2PCS 6.24.25 DR#77765 SPC HACKET
IN 1PC 6.10.25 DR#78783 SPC HACKET
IN 3PCS 6.3.25 DR#78768 SPC HACKET
IN 2PCS 3.4.25 DR#77130 STC
IN 2PCS 2.18.25 DR#77025 SPC
IN 1PCS 2.18.25 DR#77025 SPC
IN 1PC 2.14.25 DR#77027 SPC
IN 1PC 1-22-25 DR#76899 SPC KUYA EMMAN
IN 1PC 1-16-25 DR#76890 SPC KUYA EMMAN
IN 4PCS 01-04-25 DR#76869 SPC KUYA MIKE
------------------------------------------------
IN 2PCS 06/22/24 DR#75191 SPC KUYA ADWIN
IN 4PCS 06/14/24 DR#75208 SPC
IN  4PCS 04/10/24 DR#74900 SPC</t>
        </r>
      </text>
    </comment>
    <comment ref="H5" authorId="0" shapeId="0" xr:uid="{D7382DBE-0C7B-3A41-B17A-417745E9E21B}">
      <text>
        <r>
          <rPr>
            <sz val="10"/>
            <rFont val="SimSun"/>
            <charset val="134"/>
          </rPr>
          <t>02.19.26
55244 2PCS ALY
02.09.26
54984 4PCS BEL
12.2.25
52862 2PCS ALY
11.19.25
52390 3PCS ALY
9.17.25
50624  2PCS ALY
9-15-25
2 PCS 50563 ALY
8.2.25
49270 2PCS ALY
8-1-25
1 PC 49213 ALY
OUT 1PCS 7.30.25  DR#78387 LIPA A
7-14-25
2 PCS 48629 ALY
6.13.25
47395 2PCS ALY
2 PCS OUT 3-6-25 JO43782 JARVIS
2 PCS OUT  2-17-25 JO42979 JARVIS
2 PCS OUT 2-14-25 JO42906 ALY
2 PC OUT 2-10-25 JO42772 MARIBEL
01-07-25
41501 2PCS SALES JARVIS
2PCS OUT 12/15/24 JO40674 ALY
11/26/24 
40101 2PCS SALES JARVIS
OUT 06/19/24 35276 2PCS SALES MARLO
OUT 4PCS 04/26/24 DR#74795 SPC</t>
        </r>
      </text>
    </comment>
    <comment ref="G8" authorId="0" shapeId="0" xr:uid="{ACD9EA44-EE75-2E4C-81A5-B734E0726DFD}">
      <text>
        <r>
          <rPr>
            <sz val="10"/>
            <rFont val="SimSun"/>
            <charset val="134"/>
          </rPr>
          <t>IN 4PCS 01.09.26 DR79951-53 SPC HACKET
IN 4PCS 6.4.25 DR#78772 SPC HACKET
IN 2PCS 3.26.25 DR#77367 SMS HACKET
IN 2PCS 3.5.25 DR#77045 SPC MIKE
IN 4PCS 5-17-24 DR#75040 SPC</t>
        </r>
      </text>
    </comment>
    <comment ref="H8" authorId="0" shapeId="0" xr:uid="{117A59CE-4B19-264B-A42E-8DEE55413E59}">
      <text>
        <r>
          <rPr>
            <sz val="10"/>
            <rFont val="SimSun"/>
            <charset val="134"/>
          </rPr>
          <t>OUT 2PCS 11.29.25 DR#80035 LIPA A
OUT 2PCS 6.11.25 DR#78319 BINAN LALAMOVE
OUT 4PCS 5.10.25 DR#77646 SPC SERVICE
out 4pcs 3.24.25 dr#77182 lipa a</t>
        </r>
      </text>
    </comment>
    <comment ref="G9" authorId="0" shapeId="0" xr:uid="{C1BCB378-A5FD-594E-958A-CDC874831726}">
      <text>
        <r>
          <rPr>
            <sz val="10"/>
            <rFont val="SimSun"/>
            <charset val="134"/>
          </rPr>
          <t>IN 1PCS 10.27.25 DR#79689 SPC BRY
IN 4PCS 7.10.25 DR#78857 SPC RONNIE
IN 4PCS 6.7.25 DR#78777 SPC EMMAN</t>
        </r>
      </text>
    </comment>
    <comment ref="H9" authorId="0" shapeId="0" xr:uid="{D1789673-8A00-0A47-B375-D19B5A12D6DF}">
      <text>
        <r>
          <rPr>
            <sz val="10"/>
            <color rgb="FF000000"/>
            <rFont val="SimSun"/>
            <charset val="134"/>
          </rPr>
          <t xml:space="preserve">7.31.25
</t>
        </r>
        <r>
          <rPr>
            <sz val="10"/>
            <color rgb="FF000000"/>
            <rFont val="SimSun"/>
            <charset val="134"/>
          </rPr>
          <t xml:space="preserve">49194 1PC MARLO
</t>
        </r>
        <r>
          <rPr>
            <sz val="10"/>
            <color rgb="FF000000"/>
            <rFont val="SimSun"/>
            <charset val="134"/>
          </rPr>
          <t xml:space="preserve">
</t>
        </r>
        <r>
          <rPr>
            <sz val="10"/>
            <color rgb="FF000000"/>
            <rFont val="SimSun"/>
            <charset val="134"/>
          </rPr>
          <t xml:space="preserve">6.14.25
</t>
        </r>
        <r>
          <rPr>
            <sz val="10"/>
            <color rgb="FF000000"/>
            <rFont val="SimSun"/>
            <charset val="134"/>
          </rPr>
          <t>47541 4PCS MADAM</t>
        </r>
      </text>
    </comment>
    <comment ref="G10" authorId="0" shapeId="0" xr:uid="{2B8D4A2E-051F-BB4C-8A1F-D19ED2BAAEB4}">
      <text>
        <r>
          <rPr>
            <sz val="10"/>
            <rFont val="SimSun"/>
            <charset val="134"/>
          </rPr>
          <t>IN 4PCS 3.14.25 DR#77416 SPC HACKET</t>
        </r>
      </text>
    </comment>
    <comment ref="G11" authorId="0" shapeId="0" xr:uid="{8454AB2E-0639-9F46-B0C0-C4CD90F85BBA}">
      <text>
        <r>
          <rPr>
            <sz val="10"/>
            <rFont val="SimSun"/>
            <charset val="134"/>
          </rPr>
          <t>IN 2PCS 03.03.26 DR80785 SPC HACKET
IN 4PCS 06.02.26 DR80726-27 SPC HACKET
IN 4PCS 01.30.26 DR80716 SPC HACKET
IN 1PC 01.22.26 DR79992 SPC RONNIE
IN 4PCS 01.09.26 DR79951-53 SPC HACKET
IN 3PCS 10.27.25 DR#79689 SPC BRY
IN 8PCS 7.19.25 DR#78880 SPC HACKET
IN 6PCS 4.28.25 DR#77688 SPC HACKET
IN 2PCS 4.12.25 DR#77660 SPC HACKET
IN 4PCS 4.4.25 DR#77390 SPC HACKET
IN 1PC 3.19.25 DR#77436 SPC BRIAN
IN 4PCS 3.4.25 DR#77040 SPC HACKET
IN 4PCS 2.19.25 DR#77027 SPC
IN 4PCS 1-28-25 DR#77007 SPC KUYA HACKET
----------------------------------------------
IN 4PCS 5-17-24 DR#75040 SPC KUYA EMAN
IN 2PCS 03/14/24 DR#74868 SPC
4PCS 2-3-24 DR#74645 SPC</t>
        </r>
      </text>
    </comment>
    <comment ref="H11" authorId="0" shapeId="0" xr:uid="{6C0E20EE-29C0-3E46-848E-7ADAB8420F49}">
      <text>
        <r>
          <rPr>
            <sz val="10"/>
            <rFont val="SimSun"/>
            <charset val="134"/>
          </rPr>
          <t>02.26.26
55369 2PCS ALY
01.31.26
54730 4PCS MARLO
01.29.26
54668 4PCS JARVIS
1-21-26
1 PC 54412 MARIBEL
12-24-25
4 PCS OUT 53550 MARIBEL
OUT 1PC 9.10.25 DR#79253 LIPA A
9-8-25
4 PCS 50367 MARLO
9-7-25
4 PCS 50323 ALY
7.26.25
49023 2PCS ALY
6-6-25
2 PCS 47218 MARIBEL
OUT 1PC 5.27.25 DR#77985 SPC ROI
5-9-25
1 PC 46200 MARIBEL
OUT 2PCS 4.24.25 DR#77611 BIÑAN
4-10-25
2 PCS OUT JO45149 ALY 
4 PCS OUT 3-19-25 JO44253 ALY
3.16.25
44158 1PC BEL
4 PCS OUT 3-14-25 JO43979 ALY
4 PC OUT 1/30/25 JO42305 ALY
OUT 06/01/24 34759 4PCS SALES BEL
OUT 03/26/24 32957 4PCS SALES JHONLY 
OUT 2PCS 03/28/24 DR#74744 SPC KUYA HACKET</t>
        </r>
      </text>
    </comment>
    <comment ref="G12" authorId="0" shapeId="0" xr:uid="{F0446334-A33B-B049-BA5C-E9FAA925CD22}">
      <text>
        <r>
          <rPr>
            <sz val="10"/>
            <rFont val="SimSun"/>
            <charset val="134"/>
          </rPr>
          <t>IN 4PCS 12.26.25 DR79915-17 SPC HACKET
IN 2PCS 9.3.25 DR#79070 SPC KUYA RONNIE
IN 4PCS 7.19.25 DR#78880 SPC HACKET
IN 5PCS 1-16-25 DR#76890 SPC KUYA EMMAN
----------------------------------------------
IN 4PCS 10/13/24 DR#76649 SPC BRIAN
4PCS 2-3-24 DR#74645 SPC</t>
        </r>
      </text>
    </comment>
    <comment ref="H12" authorId="0" shapeId="0" xr:uid="{75C9B6E2-8B0D-2541-B7B3-32D7FD1A52A5}">
      <text>
        <r>
          <rPr>
            <sz val="10"/>
            <rFont val="SimSun"/>
            <charset val="134"/>
          </rPr>
          <t xml:space="preserve">12-19-25
2 PCS 53428 JARVIS
11-25-25
2 PCS 52597 ALY
8-16-25
2 PCS 49723 MARIBEL
5.30.25
46925 4PCS ALY
OUT 3PCS 2.12.25 DR#76989 LIPA A
OUT 2PCS 01-03-24 DR#75544  LIPA A
07/18/24
36091 4PCS SALES BEL
</t>
        </r>
      </text>
    </comment>
    <comment ref="G13" authorId="0" shapeId="0" xr:uid="{28ADEF47-9036-6945-9107-9B8EF932B35D}">
      <text>
        <r>
          <rPr>
            <sz val="10"/>
            <rFont val="SimSun"/>
            <charset val="134"/>
          </rPr>
          <t>IN 4PCS 1-28-25 DR#77007 SPC KUYA HACKET</t>
        </r>
      </text>
    </comment>
    <comment ref="H13" authorId="0" shapeId="0" xr:uid="{E517F241-AFBB-9D4E-9AEF-38EC2C44C9CB}">
      <text>
        <r>
          <rPr>
            <sz val="10"/>
            <rFont val="SimSun"/>
            <charset val="134"/>
          </rPr>
          <t>OUT 4PCS 4.17.25 DR#77603 SPC SERVICE</t>
        </r>
      </text>
    </comment>
    <comment ref="G14" authorId="0" shapeId="0" xr:uid="{723E4A1F-B6A4-924B-8E2A-3386C37C35F0}">
      <text>
        <r>
          <rPr>
            <sz val="10"/>
            <rFont val="SimSun"/>
            <charset val="134"/>
          </rPr>
          <t>IN 4PCS 10.31.25 DR#79853-54 HACKET
IN 4PCS 05/01/24 DR#73472 LIPA A
4PCS 2-3-24 DR#74645 SPC</t>
        </r>
      </text>
    </comment>
    <comment ref="H14" authorId="0" shapeId="0" xr:uid="{8A0AEC14-BF9D-5949-99F3-5F20D319CDC4}">
      <text>
        <r>
          <rPr>
            <sz val="10"/>
            <rFont val="SimSun"/>
            <charset val="134"/>
          </rPr>
          <t>02.21.26
55338 2PCS ALY
OUT 06/08/24 34964 2PCS SALES JARVIS
OUT 05/01/24 33930 4PCS SALES
MARLO
OUT 04/29/24 33838 2PCS SALES JHONLY</t>
        </r>
      </text>
    </comment>
    <comment ref="G15" authorId="0" shapeId="0" xr:uid="{E31AB9FA-4397-5A44-9403-9E527D237BE6}">
      <text>
        <r>
          <rPr>
            <sz val="10"/>
            <rFont val="SimSun"/>
            <charset val="134"/>
          </rPr>
          <t>IN 4PCS 01.09.26 DR79951-53 SPC HACKET
IN 2PCS 10.31.25 DR#79853-54  HACKET
IN 1PCS 10.27.25 DR#79689 SPC BRY
IN 2PCS 8.5.25 DR#78835 SPC HACKET
IN 4PCS 7.19.25 DR#78880 SPC HACKET
IN 2PCS 6.3.25 DR#78768 SPC HACKET
IN 2PCS 4.28.25 DR#77688 SPC HACKET
IN 4PCS 4.8.25 DR#77398 HACKET
IN 2PCS 4.7.25 DR#77397 MIKE
IN 3PCS 3.29.25 DR#77381 SPC MIKE
IN 2PCS 3.4.25 DR#77040 SPC HACKET
4PCS 10/23/24 DR#76675 SPC KUYA HAC KET
IN 4PCS 10-18-24 DR#76661 SPC
IN 2PCS 10/12/24 DR376642 SPC BRIAN
IN 2PCS 07/10/24 DR#75231 SPC KUYA HACKET
IN 4PCS 04/13/24 DR#SP0021 SPC KUYA EMAN
4PCS 2-3-24 DR#74645 SPC</t>
        </r>
      </text>
    </comment>
    <comment ref="H15" authorId="0" shapeId="0" xr:uid="{DF2108B1-E906-144F-A4CD-EE5D21A464E1}">
      <text>
        <r>
          <rPr>
            <sz val="10"/>
            <rFont val="SimSun"/>
            <charset val="134"/>
          </rPr>
          <t>12.29.25
53589 2pcs COMPANY VEHICLE
12-15-25
2 PCS OUT 53217 MARIBEL
10-30-25
2 PCS 51897 MARLO
9-19-25
2 PCS 50676 JARVIS
OUT 1PC 9.15.25 DR#79263 SPC ALWIN
9.1.25
50127 2PCS JARVIS
7-30-25
2 PCS 49183 ALY
5.14.25
46371 2PCS JARVIS
OUT 4PCS 4.24.25 DR#77611 BIÑAN
4-23-25
2 PCS 45470 ALY
OUT 2PCS 4.7.25 DR#77563 LIPA A
out 1pc 3.26.25 dr#77188 lipa a
3-6-25 2 PCS OUT JO43644 ALY
2 PCS OUT 3-1-25 JO43532  MARIBEL 
OUT 2PCS 11/02/24 DR#75466 SPC KUYA HACKET
10/06/24
38197 2PCS SALES BEL
OUT 05/19/24 34439 2PCS SALES BEL
4PCS 2-24-24 32193 ROSE</t>
        </r>
      </text>
    </comment>
    <comment ref="G16" authorId="0" shapeId="0" xr:uid="{3C915DD5-DBFC-C64A-A8ED-8CD72D5FD7BC}">
      <text>
        <r>
          <rPr>
            <sz val="10"/>
            <rFont val="SimSun"/>
            <charset val="134"/>
          </rPr>
          <t>IN 2PCS 6.10.25 DR#78071 LIPA A
IN 2PCS 5.9.25 DR#77716 SPC ROI
IN 2PCS 5.5.25 DR#78025 LIPA A
IN 2PCS 11/02/24 DR#76697 SPC KUYA HACKET
IN 2PCS 04/13/24 DR#SP0021 SPC KUYA EMAN
4PCS 2-3-24 DR#74645 SPC</t>
        </r>
      </text>
    </comment>
    <comment ref="H16" authorId="0" shapeId="0" xr:uid="{EE7612C6-9725-EC47-8FC7-5EC5B3D4668A}">
      <text>
        <r>
          <rPr>
            <sz val="10"/>
            <rFont val="SimSun"/>
            <charset val="134"/>
          </rPr>
          <t xml:space="preserve">
6-10-25
2 PCS 47295 ALY
5-20-25
2 PCS 46504 ALY
5-2-25
45995 2PCS JARVIS
OUT 4PCS 2.5.25 DR#76961 BIÑAN
OUT 03/23/24 32911 2PCS SALES JARVIS</t>
        </r>
      </text>
    </comment>
    <comment ref="G17" authorId="0" shapeId="0" xr:uid="{F9007BCC-5FDC-944A-9580-A78C83E2AF33}">
      <text>
        <r>
          <rPr>
            <sz val="10"/>
            <rFont val="SimSun"/>
            <charset val="134"/>
          </rPr>
          <t>IN 2PCS 01.09.26 DR79951-53 SPC HACKET
IN 1PCS 12.3.25 DR#79715 SPPC HACKET
IN 4PCS 8.7.25 DR#78839 SPC HACKET
IN 2PCS 7.31.25 DR#78597 LIPA A
IN 4PCS 6.21.25 DR#77761 SPC HACKET</t>
        </r>
      </text>
    </comment>
    <comment ref="H17" authorId="0" shapeId="0" xr:uid="{D7E32EDE-BF0F-DA48-B9F2-8D1ED751977A}">
      <text>
        <r>
          <rPr>
            <sz val="10"/>
            <rFont val="SimSun"/>
            <charset val="134"/>
          </rPr>
          <t xml:space="preserve">11-11-25
1 PC 52204 MARIBEL
11-2-25
1 PC 51955 ALY
10-30-25
1 PC 51885 MARIBEL
7.31.25
49170 4PCS BEL
7-18-25
2 PCS  48852 ALY
</t>
        </r>
      </text>
    </comment>
    <comment ref="G18" authorId="0" shapeId="0" xr:uid="{74F19D24-25EC-B148-9D6D-A781A87B6023}">
      <text>
        <r>
          <rPr>
            <sz val="10"/>
            <rFont val="SimSun"/>
            <charset val="134"/>
          </rPr>
          <t>IN 2PCS 02.26.26 DR80775 SPC RONNIE
IN 2PCS 01.30.26 DR80716 SPC HACKET
IN 2PCS 8-24-25 DR#79051 SPC
IN 2PCS 5.22.25 DR#77747 SPC RONNIE
IN 4PCS 3.14.25 DR#77416 SPC HACKET</t>
        </r>
      </text>
    </comment>
    <comment ref="H18" authorId="0" shapeId="0" xr:uid="{7A9BFA94-2349-F649-9D79-CFE4629A2E7B}">
      <text>
        <r>
          <rPr>
            <sz val="10"/>
            <rFont val="SimSun"/>
            <charset val="134"/>
          </rPr>
          <t xml:space="preserve">01.17.26
54301 4PCS BEL
6-29-25
2 PCS 48101 ALY
5-7-25
2 PCS 46127 JARVIS
</t>
        </r>
      </text>
    </comment>
    <comment ref="G19" authorId="0" shapeId="0" xr:uid="{AEE999F0-0649-2A45-A62F-D2B627C2CFA5}">
      <text>
        <r>
          <rPr>
            <sz val="10"/>
            <rFont val="SimSun"/>
            <charset val="134"/>
          </rPr>
          <t xml:space="preserve">IN 4PCS 7.19.25 DR#78880 SPC HACKET
</t>
        </r>
      </text>
    </comment>
    <comment ref="H19" authorId="0" shapeId="0" xr:uid="{A1496257-8E79-C54B-9771-235C66002788}">
      <text>
        <r>
          <rPr>
            <sz val="10"/>
            <rFont val="SimSun"/>
            <charset val="134"/>
          </rPr>
          <t>01.04.26
54838 2PCS JARVIS</t>
        </r>
      </text>
    </comment>
    <comment ref="G20" authorId="0" shapeId="0" xr:uid="{8EDDED82-409B-0443-BF98-2746F415EDAA}">
      <text>
        <r>
          <rPr>
            <sz val="10"/>
            <rFont val="SimSun"/>
            <charset val="134"/>
          </rPr>
          <t>IN 1PC 02.16.26 DR80753 SPC ALWIN
IN 2PCS 01.09.26 DR79951-53 SPC HACKET
IN 2PCS 12.26.25 DR79915-17 SPC HACKET
IN 4PCS 12.3.25 DR#79715 SPPC HACKET
IN 4PCS 9.22.25 DR#78703 LIPA A
IN 3PCS 9.3.25 DR#79070 SPC KUYA RONNIE
IN 1PC 8.14.25 DR#78603 LIPA A
IN 4PCS 7.19.25 DR#78880 SPC HACKET
IN 2PCS 6.21.25 DR#77761 SPC HACKET
IN 4PCS 3.6.25 DR#78769 SPC EMMAN
IN 4PCS 4.5.25 ST002508 BIÑAN HACKET
IN 3PCS 2.10.25 DR#77351 SPC KUYA EMMAN
----------------------------------------------
IN 4PCS 10-18-24 DR#76661 SPC KUYA HACKET
IN 2PCS 09/19/24 DR#76534 SPC KUYA HACKET
IN 4PCS 06/17/24 DR#75187 SPC MASTER
IN 4PCS 05/18/24 DR#75041 SPC KUYA BOYONG
IN 4PCS 5-17-24 DR#75040 SPC KUYA EMAN
IN  4PCS 04/10/24 DR#74900 SPC</t>
        </r>
      </text>
    </comment>
    <comment ref="H20" authorId="0" shapeId="0" xr:uid="{35DF889A-90B9-A548-9ABA-325E19B8D483}">
      <text>
        <r>
          <rPr>
            <sz val="10"/>
            <rFont val="SimSun"/>
            <charset val="134"/>
          </rPr>
          <t>02.12.26
55087 1PC JARVIS
1-2-26
2 PCS OUT 53788 ALY
12-12-25
2 PCS OUT 53128 MARIBEL
10-30-25
2 PCS 51829 MARIBEL
10-9-25
2 PCS 51267 MARIBEL
9-22-25
4 PCS 50786 JARVIS
8-14-25
4 PCS 49637 MARIBEL
8.9.25
49533 4PCS JARVIS
7-4-25
2 PCS 48346 ALY
6-9-25
2 PCS 47294 ALY 
5-24-25
4 PCS 46806 MARIBEL
5-1-25
2 PCS 45932 MARIBEL 
OUT 4PCS 4.5.25 DR#77559 SPC
3.31.25
44727 2pcs sale dhalia
2 PCS OUT 3-12-25 JO43920 ALY
1-31-25
42317 2PCS ALY
1 PC OUT 1/28/25 JO42243 MJEN 
08/06/24
36586 4PCS SALES BEL
6/21/2024 35324 2PCS BEL
OUT 05/27/24 34621 4PCS SALES BEL
OUT 04/26/24 33768 2PCS SALES JHONLY
OUT 04/24/24 33741 2PCS SALES ROSE</t>
        </r>
      </text>
    </comment>
    <comment ref="G21" authorId="0" shapeId="0" xr:uid="{D5C14BE2-0B07-214E-AE2E-16535E810630}">
      <text>
        <r>
          <rPr>
            <sz val="10"/>
            <rFont val="SimSun"/>
            <charset val="134"/>
          </rPr>
          <t>IN 2PCS 01.09.26 DR79951-53 SPC HACKET
IN 2PCS 12.18.25 DR#78693 LIPA A
IN 4PCS 12.3.25 DR#79715 SPPC HACKET
IN 4PCS 8.7.25 DR#78839 SPC HACKET
IN 2PCS 6.21.25 DR#77761 SPC HACKET
IN 2PCS 5.5.25 DR#77713 SPC ALWIN
IN 4PCS 5.01.25 DR#78021 LIPA A
IN 4PCS 09/19/24 DR#76534 SPC KUYA HACKET</t>
        </r>
      </text>
    </comment>
    <comment ref="H21" authorId="0" shapeId="0" xr:uid="{CE0D6EDC-44CB-804D-927A-D4AD86490654}">
      <text>
        <r>
          <rPr>
            <sz val="10"/>
            <rFont val="SimSun"/>
            <charset val="134"/>
          </rPr>
          <t>12-18-25
4 PCS 53382 MARIBEL
10-23-25
4 PCS 51628 JARVIS
7.26.25
48970 4PCS BEL
6-5-25
2 PS 47148 ALY
2.10.25
42791 4PCS DHALIA</t>
        </r>
      </text>
    </comment>
    <comment ref="G22" authorId="0" shapeId="0" xr:uid="{7BF54ECD-8B93-7643-AAB8-D16A693EA50E}">
      <text>
        <r>
          <rPr>
            <sz val="10"/>
            <rFont val="SimSun"/>
            <charset val="134"/>
          </rPr>
          <t>IN 2PCS 6.18.25 DR#77754 SPC HACKET
IN 2PCS 4.28.25 DR#77688 SPC HACKET
IN 4PCS 3.4.25 DR#77040 SPC HACKET
IN 4PCS 2.19.25 DR#77027 SPC
IN 4PCS 1-28-25 DR#77007 SPC KUYA HACKET</t>
        </r>
      </text>
    </comment>
    <comment ref="H22" authorId="0" shapeId="0" xr:uid="{3B63A708-9F9A-9848-9D5C-321E132DFF10}">
      <text>
        <r>
          <rPr>
            <sz val="10"/>
            <rFont val="SimSun"/>
            <charset val="134"/>
          </rPr>
          <t>6-16-25
2 PCS 47603 JARVIS
OUT 1PCS 4.21.25 DR#77605 LIPA A
4-19-25
45405 1PC ALY
4-8-25
4 PCS OUT JO44945 ALY
out 4pcs 2.8.25 DR#76988 lipa a</t>
        </r>
      </text>
    </comment>
    <comment ref="G23" authorId="0" shapeId="0" xr:uid="{DB20E981-81A6-A944-B605-055C2D15BD36}">
      <text>
        <r>
          <rPr>
            <sz val="10"/>
            <rFont val="SimSun"/>
            <charset val="134"/>
          </rPr>
          <t>IN 2PCS 01.20.26 DR79983 SPC RONNIE
IN 4PCS 7.19.25 DR#78880 SPC HACKET
IN 4PCS 7.7.25 DR#77798 SPC BRY
IN 2PCS 7.3.25 DR#78096 LIPA A
IN 2PCS 6.21.25 DR#77761 SPC HACKET
IN 4PCS 6.4.25 DR#78772 SPC HACKET
IN 5PCS 4.24.25 DR#776979 SPC HACKET
IN 1PC 4.12.25 DR#77534 LIPA A HACKET
IN 4PCS 4.5.25 ST002508 BIÑAN HACKET
IN 4PCS 06/14/24 DR#75208 SPC
IN 2PCS 5-24-24 DR#75158 SPC
IN 2PCS 03/14/24 DR#74868 SPC
4PCS 2-3-24 DR#74645 SPC</t>
        </r>
      </text>
    </comment>
    <comment ref="H23" authorId="0" shapeId="0" xr:uid="{497D7900-BC6C-824A-BCB2-531E3D6010C4}">
      <text>
        <r>
          <rPr>
            <sz val="10"/>
            <rFont val="SimSun"/>
            <charset val="134"/>
          </rPr>
          <t>01.19.26
54339 2PCS JARVIS
8.8.25
49483 2PCS BEL
8.2.25
49270 2PCS BEL
7-3-25
2 PCS 48343 ALY
6-25-25
4 PCS 47979 MARIBEL
6-7-25
47225 2PCS JARVIS
5-27-25
2 PCS 46883 JARVIS
OUT 2PCS 5.9.25 DR#77642 SPC
ROI
5-5-25
4 PCS 46028 MARIBEL
4-28-25
2PCS 45789 DALIA
OUT 4PCS 4.5.25 DR#77559 SPC
4.5.25
44907 2pcs rpse
OUT 4PCS 2.5.25 DR#76960 BIÑAN
OUT 05/20/24 34406 2PCS SALES LEN
OUT 2PCS 05/09/24 DR#75062 SPC MASTER</t>
        </r>
      </text>
    </comment>
    <comment ref="G24" authorId="0" shapeId="0" xr:uid="{AE6BDB5D-8A39-DD41-8CE5-764A6BC4C74D}">
      <text>
        <r>
          <rPr>
            <sz val="10"/>
            <rFont val="SimSun"/>
            <charset val="134"/>
          </rPr>
          <t>IN 2PCS 02.10.26 DR80737 SPC ALWIN
IN 2PCS 02.06.26 DR80191 LIPA A
IN 4PCS 10.27.25 DR#79689 SPC BRY
IN 4PCS 7.7.25 DR#77798 SPC BRY
IN 2PCS 6.21.25 DR#77761 SPC HACKET
IN 2PCS 4.28.25 DR#77688 SPC HACKET
IN 2PC 4.8.25 DR#77525 LIPA A
IN 2PCS 2.19.25 DR#77027 SPC
IN 4PCS 1-16-25 DR#76890 SPC KUYA EMMAN
-------------------------------------------------
IN 4PCS 11/09/24 DR#76594 SPC
IN 4PCS 10/13/24 DR#76649 SPC BRIAN
IN 1PCS 09/19/24 DR#76534 SPC KUYA HACKET
IN 4PCS 06/08/24 DR#75179 SPC KUYA MIKE
4PCS 2-3-24 DR#74645 SPC</t>
        </r>
      </text>
    </comment>
    <comment ref="H24" authorId="0" shapeId="0" xr:uid="{61A2B08C-8252-6B45-824F-BFBC8015EA03}">
      <text>
        <r>
          <rPr>
            <sz val="10"/>
            <rFont val="SimSun"/>
            <charset val="134"/>
          </rPr>
          <t>02.06.26
54903 4PCS BEL
7-19-25
4 PCS 48893 MARIBEL
6-23-25
4 PCS 47921 JARVIS
6.6.25
47211 2PCS BEL
6-2-25
2 PCS 47039 MARIBEL
3.12.25 4PCS DR#77150 SPC
2.9.25
42746 2pcs sales dhalia
12-21-24
40927 4PCS SALES BEL
11-03-2024 
39154 4pcs sales aly
09/28/24
37998 4PCS SALES BEL
OUT 1PC 09/09/24 DR#75402 LIPA A
OUT 03/13/24 2PCS DR#74712
2PCS 2-24-24 32168 LEN</t>
        </r>
      </text>
    </comment>
    <comment ref="G25" authorId="0" shapeId="0" xr:uid="{F34B3367-792C-A343-9BEB-6F2F9D59DD4A}">
      <text>
        <r>
          <rPr>
            <sz val="10"/>
            <rFont val="SimSun"/>
            <charset val="134"/>
          </rPr>
          <t xml:space="preserve">IN 2PCS 02.10.26 DR80737 SPC ALWIN
IN 4PCS 10.30.25 DR#79698 SPC BRY
IN 2PCS 7.16.25 DR#78558 LIPA A
IN 2PCS 6.18.25 DR#77754 SPC HACKET
IN 4PCS 3.6.25 DR#78769 SPC EMMAN
IN 2PCS 4.11.25 DR#77530 LIPA A
IN 4PCS 3.14.25 DR#77418 SPC HACKET
IN 4PCS 2.28.25 DR#77039 SPC HACKET
IN 4PCS 06/14/24 DR#75208 SPC
IN 1PCS 05/17/24 DR#73479 LIPA A
IN 4PCS 03/19/24 DR#74782  SPC </t>
        </r>
      </text>
    </comment>
    <comment ref="H25" authorId="0" shapeId="0" xr:uid="{491581DD-6DF9-844B-8B24-2A1F31D11B6D}">
      <text>
        <r>
          <rPr>
            <sz val="10"/>
            <rFont val="SimSun"/>
            <charset val="134"/>
          </rPr>
          <t>OUT 2PCS 02.07.26 DR80240 LIPA A
7-16-25
4 PCS 48780 ALY
6.19.25
47816 2PCS JARVIS
6.14.25
47390 2PCS BEL
4-11-25
4 PCS OUT JO45133 DALIA
4-4-25
2 PCS OUT JO44893 JARVIS
3.8.25 4PCS DR#77142 BIÑAN HACKET
OUT 4PCS 2.5.25 DR#76960 BIÑAN
5/17/2024 1PC 34411 BEL
OUT 05/14/24 34293 4PCS SALES MARLO</t>
        </r>
      </text>
    </comment>
    <comment ref="G26" authorId="0" shapeId="0" xr:uid="{A3872CFE-E06E-4C46-94B2-6AE2036AD674}">
      <text>
        <r>
          <rPr>
            <sz val="10"/>
            <rFont val="SimSun"/>
            <charset val="134"/>
          </rPr>
          <t xml:space="preserve">IN 4PCS 10.27.25 DR#79689 SPC BRY
IN 2PCS 7.1.25 DR#77783 SPC
IN 4PCS 6.4.25 DR#78772 SPC HACKET
IN 1PC 5.16.25 DR#78043 LIPA A MIKE
IN 1PCS 3.29.25 DR#77381 SPC MIKE
IN 1PCS 3.26.25 DR#77367 SMS HACKET
IN 2PCS 3.18.25 DR#77435 SPC MIKE
IN 4PCS 12-30-24 DR#76863 SPC KUYA RONNIE
IN 4PCS 12-04-24 DR#75738 SPC BRIAN
IN 4PCS 10/13/24 DR#76649 SPC BRIAN
IN 4PCS 03/19/24 DR#74782 SPC </t>
        </r>
      </text>
    </comment>
    <comment ref="H26" authorId="0" shapeId="0" xr:uid="{B10DAD46-9E36-F946-B1D7-152FEFEDE5D5}">
      <text>
        <r>
          <rPr>
            <sz val="10"/>
            <rFont val="SimSun"/>
            <charset val="134"/>
          </rPr>
          <t xml:space="preserve">
7.5.25
48411 4PCS BEL
6-7-25
47064 2PCS ALY
5-23-25
4 PCS 46632 ALY
4-27-25
1 PC 45807 JARVIS
4 PCS OUT 3-18-25 JO44245 MARIBEL
4pcs 12/20/24 jo40923 maribel
11/23/24
39971 4PCS SALES ALY
OUT 07/01/24 35578 4PCS SALES JARVIS</t>
        </r>
      </text>
    </comment>
    <comment ref="G27" authorId="0" shapeId="0" xr:uid="{CBD19CE1-B60F-BE41-B2BF-310DDD8F5A38}">
      <text>
        <r>
          <rPr>
            <sz val="10"/>
            <rFont val="SimSun"/>
            <charset val="134"/>
          </rPr>
          <t>IN 8PCS 12.3.25 DR#79715 SPPC HACKET
IN 4PCS 11.29.25 DR#79708 SPC BRY</t>
        </r>
      </text>
    </comment>
    <comment ref="G28" authorId="0" shapeId="0" xr:uid="{72A67D3D-B395-2549-9FD2-82AF21374813}">
      <text>
        <r>
          <rPr>
            <sz val="10"/>
            <rFont val="SimSun"/>
            <charset val="134"/>
          </rPr>
          <t xml:space="preserve">IN 1PCS 6.21.25 DR#77761 SPC HACKET
IN 4PCS 4.12.25 DR#77534 LIPA A HACKET
IN 3PCS 4.4.25 DR#77390 SPC HACKET
IN 1PC 09/12/24 DR#76532 SPC KUYA HACKET
IN 4PCS 05/18/24 DR#75040 SPC KUYA EMMAN
IN 4PCS 5-17-24 DR#75041 SPC
IN 1PC 05/11/24 DR#73478 LIPA A
IN 4PCS 03/19/24 DR#74782  SPC </t>
        </r>
      </text>
    </comment>
    <comment ref="H28" authorId="0" shapeId="0" xr:uid="{4DA02A70-A610-FC4B-A184-C455A3A8625D}">
      <text>
        <r>
          <rPr>
            <sz val="10"/>
            <rFont val="SimSun"/>
            <charset val="134"/>
          </rPr>
          <t xml:space="preserve">OUT 1PCS 6.12.25 DR#78321 LIPA A
4-8-25
4 PCS OUT JO44978 MARIBEL 
OUT 3.15.25 DR#77158 4PCS BINAN
OUT 4PCS 05/30/24 DR#75089 SPC KUYA HACKET
OUT 05/11/24 34227 1PCS SALES BEL
OUT 04/18/24 33536 4PCS SALES JHONLY
</t>
        </r>
      </text>
    </comment>
    <comment ref="G29" authorId="0" shapeId="0" xr:uid="{0D2B8141-A827-094C-B980-FB3B8A5F917F}">
      <text>
        <r>
          <rPr>
            <sz val="10"/>
            <rFont val="SimSun"/>
            <charset val="134"/>
          </rPr>
          <t xml:space="preserve">IN 4PCS 03.03.26 DR80785 SPC HACKET
IN 4PCS 12.3.25 DR#79715 SPPC HACKET
IN 4PCS 7.7.25 DR#77798 SPC BRY
IN 4PCS 3.4.25 DR#77040 SPC HACKET
IN 4PCS 3.5.25 DR#77045 SPC MIKE
IN 2PCS 09/22/24 DR#76092 LIPA A
IN 2PCS 06/11/24 DR#73491 LIPA A
IN 4PCS 03/19/24 DR#74782  SPC </t>
        </r>
      </text>
    </comment>
    <comment ref="H29" authorId="0" shapeId="0" xr:uid="{DF552569-4E2A-3842-B6A2-0755A510B6E4}">
      <text>
        <r>
          <rPr>
            <sz val="10"/>
            <rFont val="SimSun"/>
            <charset val="134"/>
          </rPr>
          <t>02.26.26
55514 4PCS ALY
OUT 4PCS 8.5.25 DR#78393 LIPA A
OUT 3PCS 6.28.25 DR#78340 SPC MIKE
4-24-25
2 PCS 45570 JARVIS
OUT 2PCS 4.5.25 DR#77558 BIÑAN HACKET
09/22/24
37856 2PCS SALES ALY
OUT 06/11/24 35041 2PCS SALES JARVIS
OUT 1PCS 05/09/24 DR#75062 SPC MASTER
OUT 03/28/24 33033 2PCS SALES BEL
OUT 03/27/24 33043 1PCS SALES LEN</t>
        </r>
      </text>
    </comment>
    <comment ref="G30" authorId="0" shapeId="0" xr:uid="{F80EB190-51AF-5348-92FB-5003319DF23B}">
      <text>
        <r>
          <rPr>
            <sz val="10"/>
            <rFont val="SimSun"/>
            <charset val="134"/>
          </rPr>
          <t>IN 4PCS 01.28.26 DR80182 LIPA A
IN 4PCS 01.22.26 DR79992 SPC RONNIE
IN 4PCS 7.19.25 DR#78880 SPC HACKET
IN 2PCS 6.30.25 DR#77781 SPC ALWIN
IN 2PCS 6.21.25 DR#77761 SPC HACKET
IN 4PCS 6.2.25 DR#78063 LIPA A
IN 2PCS 5.22.25 DR#77747 SPC RONNIE
IN 1PCS 4.24.25 DR#776979 SPC HACKET
IN 1PCS 3.4.25 DR#77040 SPC HACKET
IN 4PCS 10-18-24 DR#76661 SPC KUYA HACKET
IN 4PCS 10/13/24 DR#76649 SPC BRIAN
IN 4PCS 05/06/24 DR# SPC MASTER
4PCS 2-3-24 DR#74645 SPC</t>
        </r>
      </text>
    </comment>
    <comment ref="H30" authorId="0" shapeId="0" xr:uid="{47176924-4275-AE4A-B8AA-95AE3436D08D}">
      <text>
        <r>
          <rPr>
            <sz val="10"/>
            <rFont val="SimSun"/>
            <charset val="134"/>
          </rPr>
          <t>02.07.26
54907 4PCS BEL
01.26.26
54535 4PCS BEL
1-21-26
4 PCS 54414 MARIBEL
10.22.25
51610 4PCS BEL
6.27.25
48046 2PCS BEL
6.14.25
47384 2PCS BEL
6-2-25
4 PCS 47073 MARIBEL
OUT 5.16.25 2PCS DR#77959 SPC ROI
OUT 2PCS 4.5.25 DR#77558 BIÑAN HACKET
4PC OUT 1/2/25 JO41313 MARIBEL 
08/02/24
36470 4PCS SALES BEL
OUT 04/26/24 33791 4PCS SALES BEL</t>
        </r>
      </text>
    </comment>
    <comment ref="G31" authorId="0" shapeId="0" xr:uid="{2F243E5A-C16C-0A40-8822-0456782EC828}">
      <text>
        <r>
          <rPr>
            <sz val="10"/>
            <rFont val="SimSun"/>
            <charset val="134"/>
          </rPr>
          <t>IN 2PCS 12.26.25 DR79915-17 SPC HACKET
IN 3PCS 12.3.25 DR#79715 SPPC HACKET
IN 4PCS 2.20.25 DR#77030 SPC ALWIN</t>
        </r>
      </text>
    </comment>
    <comment ref="H31" authorId="0" shapeId="0" xr:uid="{1238D99A-FF68-C546-BCD5-F70C28295A60}">
      <text>
        <r>
          <rPr>
            <sz val="10"/>
            <rFont val="SimSun"/>
            <charset val="134"/>
          </rPr>
          <t xml:space="preserve">12-18-25
53367 2PCS jarvis
IN 2PCS 11.5.25 DR#79798 S.V SERVICE
9-9-25
1 PC 50405 JARVIS
</t>
        </r>
      </text>
    </comment>
    <comment ref="G32" authorId="0" shapeId="0" xr:uid="{D5CFDDB1-3D4C-D943-9F8D-112844635787}">
      <text>
        <r>
          <rPr>
            <sz val="10"/>
            <rFont val="SimSun"/>
            <charset val="134"/>
          </rPr>
          <t>IN 4PCS 02.26.26 DR80775 SPC RONNIE
IN 2PCS 02.04.26 DR80188 LIPA A
IN 4PCS 6.21.25 DR#77761 SPC HACKET
IN 4PCS 2.19.25 DR#77027 SPC</t>
        </r>
      </text>
    </comment>
    <comment ref="H32" authorId="0" shapeId="0" xr:uid="{54A766B5-AC33-C24D-BAE1-F03C2B39873F}">
      <text>
        <r>
          <rPr>
            <sz val="10"/>
            <rFont val="SimSun"/>
            <charset val="134"/>
          </rPr>
          <t>02.13.26
55090 2PCS JARVIS
12.7.25
53019 4PCS JARVIS
5-16-25
4 PCS 46385 ALY</t>
        </r>
      </text>
    </comment>
    <comment ref="G33" authorId="0" shapeId="0" xr:uid="{6F2811C5-5057-7A4B-9603-E34BC567ECFD}">
      <text>
        <r>
          <rPr>
            <sz val="10"/>
            <rFont val="SimSun"/>
            <charset val="134"/>
          </rPr>
          <t>IN 10PCS 06.02.26 DR80726-27 SPC HACKET
IN 4PCS 12.26.25 DR79915-17 SPC HACKET
IN 8PCS 12.3.25 DR#79715 SPPC HACKET
IN 4PCS 11.29.25 DR#79708 SPC BRY
IN 4PCS 4.12.25 DR#77534 LIPA A HACKET
IN 4PCS 2.12.25 DR#77016 SPC</t>
        </r>
      </text>
    </comment>
    <comment ref="H33" authorId="0" shapeId="0" xr:uid="{32F03CBF-701C-2445-BD5C-26909472EBA8}">
      <text>
        <r>
          <rPr>
            <sz val="10"/>
            <rFont val="SimSun"/>
            <charset val="134"/>
          </rPr>
          <t>02.02.26
54774 4PCS JARVIS
01.29.26
54659 4PCS MARLO
12-18-25
2 PCS 53348 ALY
12-10-25
4 PCS 53078 ALY
OUT 2PCS 5.30.25 DR#77999 STC
OUT 2PCS 5.24.25 DR#77983 LIPA A
OUT 4PCS 4.16.25 DR#77601 SPC HACKET</t>
        </r>
      </text>
    </comment>
    <comment ref="G34" authorId="0" shapeId="0" xr:uid="{7F0D5542-B565-9941-98AE-843B39DC2C80}">
      <text>
        <r>
          <rPr>
            <sz val="10"/>
            <rFont val="SimSun"/>
            <charset val="134"/>
          </rPr>
          <t>IN 4PCS 01.22.26 DR79992 SPC RONNIE
IN 2PCS 11.1.25 DR#79851 SPC HACKET
IN 4PCS 9.3.25 DR#79070 SPC KUYA RONNIE</t>
        </r>
      </text>
    </comment>
    <comment ref="H34" authorId="0" shapeId="0" xr:uid="{66529E76-2319-9540-8242-509E8C81B8CD}">
      <text>
        <r>
          <rPr>
            <sz val="10"/>
            <rFont val="SimSun"/>
            <charset val="134"/>
          </rPr>
          <t>12-8-25
4 PCS 53039 JARVIS
OUT 2PCS 9.22.25 DR#79271 LIPA A</t>
        </r>
      </text>
    </comment>
    <comment ref="G36" authorId="0" shapeId="0" xr:uid="{8CDFBC30-4C25-0E45-817C-4C451DEC2DE4}">
      <text>
        <r>
          <rPr>
            <sz val="10"/>
            <rFont val="SimSun"/>
            <charset val="134"/>
          </rPr>
          <t>IN 4PCS 11.3.25 DR#79855 SPC ROBIN
IN 2PCS 09/04/24 DR#76565 SPC MEET UP BRIAN</t>
        </r>
      </text>
    </comment>
    <comment ref="H36" authorId="0" shapeId="0" xr:uid="{12E89489-A648-F541-8C72-ECAAF4329AE1}">
      <text>
        <r>
          <rPr>
            <sz val="10"/>
            <rFont val="SimSun"/>
            <charset val="134"/>
          </rPr>
          <t>11-10-25
4 PCS 52166 JARVIS
OUT 2PCS SALES 09/04/24 37391 JARVIS</t>
        </r>
      </text>
    </comment>
    <comment ref="G37" authorId="0" shapeId="0" xr:uid="{A551EB84-DBBF-454B-9D19-58470A66F65F}">
      <text>
        <r>
          <rPr>
            <sz val="10"/>
            <rFont val="SimSun"/>
            <charset val="134"/>
          </rPr>
          <t>IN 4PCS 1-28-25 DR#77007 SPC KUYA HACKET</t>
        </r>
      </text>
    </comment>
    <comment ref="H37" authorId="0" shapeId="0" xr:uid="{034EFE56-6F90-BE48-9F76-A2AEC48FC6C2}">
      <text>
        <r>
          <rPr>
            <sz val="10"/>
            <rFont val="SimSun"/>
            <charset val="134"/>
          </rPr>
          <t xml:space="preserve">
</t>
        </r>
      </text>
    </comment>
    <comment ref="G39" authorId="0" shapeId="0" xr:uid="{3D98311D-0B41-F846-808E-B16E26EBFD54}">
      <text>
        <r>
          <rPr>
            <sz val="10"/>
            <rFont val="SimSun"/>
            <charset val="134"/>
          </rPr>
          <t>IN 4PCS 01.06.26 DR80160 LIPA A
IN 4PCS 5.22.25 DR#77747 SPC RONNIE
IN 4PCS 3.14.25 DR#77416 SPC HACKET</t>
        </r>
      </text>
    </comment>
    <comment ref="H39" authorId="0" shapeId="0" xr:uid="{77D1005F-6440-6844-A460-479728994C32}">
      <text>
        <r>
          <rPr>
            <sz val="10"/>
            <rFont val="SimSun"/>
            <charset val="134"/>
          </rPr>
          <t>OUT 4PCS 12.29.25 DR80079 LIPA A ROI
4-7-25
4 PCS OUT JO44982 JARVIS</t>
        </r>
      </text>
    </comment>
    <comment ref="G40" authorId="0" shapeId="0" xr:uid="{856B944A-2A79-A742-9A59-814B751C34E1}">
      <text>
        <r>
          <rPr>
            <sz val="10"/>
            <rFont val="SimSun"/>
            <charset val="134"/>
          </rPr>
          <t>IN 2PCS 10.27.25 DR#79689 SPC BRY
IN 2PCS 8.19.25 DR#79031 SPC HACKET
IN 2PCS 7.7.25 DR#77798 SPC BRY
IN 4PCS 3.4.25 DR#77040 SPC HACKET
IN 2PCS 2.28.25 DR#77039 SPC HACKET
IN 2PCS 2.18.25 DR#77025 SPC
IN 1PC 11/25/24 DR#75722 SPC KUYA EMMAN
IN 4PCS 07/10/24 DR#75231 SPC KUYA HACKET
IN 2PCS 07/02/03 DR#75222 SPC
IN 4PCS 05/18/24 DR#75041 SPC
IN 4PCS 04/13/24 DR#SP0021 SPC KUYA EMAN</t>
        </r>
      </text>
    </comment>
    <comment ref="H40" authorId="0" shapeId="0" xr:uid="{1E832E25-36CC-4545-A56F-7E8B72A7C862}">
      <text>
        <r>
          <rPr>
            <sz val="10"/>
            <rFont val="SimSun"/>
            <charset val="134"/>
          </rPr>
          <t>8-13-25
4 PCS 49642 JARVIS
6-26-25
2 PCS 48013 JARVIS
OUT 2PCS 5.9.25 DR#77642 SPC
ROI
OUT 2PCS 4.24.25 DR#77611 BIÑAN
4 PCS OUT 2-14-25 JO42898 MARIBEL 
OUT 2PCS 11/7/2024
JO39338 SALES JARVIS
OUT 07/02/24 35636 2PCS SALES BEL
OUT 06//08/24 34981 4PCS SALES JARVIS
OUT 4PCS 04/20/24 DR#74784 LIPA A</t>
        </r>
      </text>
    </comment>
    <comment ref="G41" authorId="0" shapeId="0" xr:uid="{94389E41-36A9-4E46-A2C4-C57DBF9EE7EB}">
      <text>
        <r>
          <rPr>
            <sz val="10"/>
            <rFont val="SimSun"/>
            <charset val="134"/>
          </rPr>
          <t>IN 2PCS 03.03.26 DR80785 SPC HACKET
IN 4PCS 01.09.26 DR79951-53 SPC HACKET
IN 1PC 10.15.25 DR#78731 LIPA A
IN 2PCS 8.18.25 DR#79029 SPC EMMAN
IN 4PCS 8.7.25 DR#78839 SPC HACKET
IN 1PCS 6.21.25 DR#77762 SPC HACKET
IN 3PCS 5.10.25 DR#77721 SPC HACKET
IN 4PCS 2.19.25 DR#77027 SPC</t>
        </r>
      </text>
    </comment>
    <comment ref="H41" authorId="0" shapeId="0" xr:uid="{78D1B66E-D206-0740-87F0-CBBFEFE32E70}">
      <text>
        <r>
          <rPr>
            <sz val="10"/>
            <rFont val="SimSun"/>
            <charset val="134"/>
          </rPr>
          <t>02.28.26
55584 2PCS ALY
10-15-25
1 PC 51444 JARVIS
9-13-25
4 PCS 50555 JARVIS
8-15-25
2 PCS 49673 MARIBEL
7-22-25
4 PCS 48944 JARVIS
4.21.25 
45471 4PCS BEL</t>
        </r>
      </text>
    </comment>
    <comment ref="G42" authorId="0" shapeId="0" xr:uid="{5E133480-D5D8-5147-9BD3-830D1630DB32}">
      <text>
        <r>
          <rPr>
            <sz val="10"/>
            <rFont val="SimSun"/>
            <charset val="134"/>
          </rPr>
          <t>IN 2PCS 12.26.25 DR79915-17 SPC HACKET
IN 1PC 10.1.25 DR#78713 LIPA A HACKET
IN 1PCS 8.7.25 DR#78839 SPC HACKET
IN 1PCS 8.5.25 DR#78835 SPC HACKET
IN 2PCS 6.3.25 DR#78768 SPC HACKET
IN 2PCS 10/13/24 DR#76649 SPC BRIAN
IN 4PCS 08/09/24 DR#76516 SPC KUYA HACKET
IN 4PCS 08/02/24 DR# SPC KUYA HACKET
4PCS 2-7-24 DR#74650;74801 SPC</t>
        </r>
      </text>
    </comment>
    <comment ref="H42" authorId="0" shapeId="0" xr:uid="{DDCA8484-510F-F745-AC0B-229AD296C150}">
      <text>
        <r>
          <rPr>
            <sz val="10"/>
            <rFont val="SimSun"/>
            <charset val="134"/>
          </rPr>
          <t xml:space="preserve">12-24-25
2 PCS OUT 53279 HANNA
OUT 1PCS 8.5.25 DR#78835 SPC HACKET
OUT 2PCS 7.30.25  DR#78386 LIPA A
OUT 1-18-25 2PCS JO#41713 HANA OFFICE SALES
OUT 2PCS 10/12/24 DR#75438 LIPA A
OUT 4PCS 08/27/24 DR#75387 SPC KUYA HACKET
OUT 2PCS 07/27/24 DR#75356 SPC SERVICE
07/08/24
35795 2PCS SALES MARLO
</t>
        </r>
      </text>
    </comment>
    <comment ref="G43" authorId="0" shapeId="0" xr:uid="{5367208A-4DAF-9845-9924-73F68858704D}">
      <text>
        <r>
          <rPr>
            <sz val="10"/>
            <rFont val="SimSun"/>
            <charset val="134"/>
          </rPr>
          <t>IN 4PCS 12.3.25 DR#79715 SPPC HACKET</t>
        </r>
      </text>
    </comment>
    <comment ref="H43" authorId="0" shapeId="0" xr:uid="{D4B8BCB2-A892-8E46-ABBF-081B60999446}">
      <text>
        <r>
          <rPr>
            <sz val="10"/>
            <rFont val="SimSun"/>
            <charset val="134"/>
          </rPr>
          <t>02.11.26
54021 4PCS ALY</t>
        </r>
      </text>
    </comment>
    <comment ref="G44" authorId="0" shapeId="0" xr:uid="{F9E44AA1-FA5C-E348-B821-98B462136CE0}">
      <text>
        <r>
          <rPr>
            <sz val="10"/>
            <rFont val="SimSun"/>
            <charset val="134"/>
          </rPr>
          <t>IN 2PCS 01.16.26 DR80170 LIPA A
IN 3PCS 8.11.25 DR#79006-07 SPC EMMAN
IN 4PCS 8.7.25 DR#78839 SPC HACKET
IN 4PCS 6.3.25 DR#78768 SPC HACKET
IN 4PCS 1-28-25 DR#77007 SPC KUYA HACKET</t>
        </r>
      </text>
    </comment>
    <comment ref="H44" authorId="0" shapeId="0" xr:uid="{3D5BD274-A7B0-0C48-80E1-EFF1B2A6C9BE}">
      <text>
        <r>
          <rPr>
            <sz val="10"/>
            <rFont val="SimSun"/>
            <charset val="134"/>
          </rPr>
          <t xml:space="preserve">01.16.26
54252 4PCS ALY
OUT 1PCS 12.6.25 DR#80056 BINAN LALAMOVE
8.8.25
49482 4PCS BEL
7.26.25
49036 4PCS BEL
5-16-25
4 PCS 46405 MARIBEL 
</t>
        </r>
      </text>
    </comment>
    <comment ref="G45" authorId="0" shapeId="0" xr:uid="{E380C5C3-77CB-2F44-89CE-377530DF707D}">
      <text>
        <r>
          <rPr>
            <sz val="10"/>
            <rFont val="SimSun"/>
            <charset val="134"/>
          </rPr>
          <t>IN 4PCS 2.19.25 DR#77027 SPC
IN 4PCS 1-28-25 DR#77007 SPC KUYA HACKET</t>
        </r>
      </text>
    </comment>
    <comment ref="H45" authorId="0" shapeId="0" xr:uid="{E15A8ABC-0A86-B943-B605-E3F4914A12A5}">
      <text>
        <r>
          <rPr>
            <sz val="10"/>
            <rFont val="SimSun"/>
            <charset val="134"/>
          </rPr>
          <t>OUT 3.15.25 DR#77158 4PCS BINAN
4 PCS OUT 2-10-25 JO42791 DALIA</t>
        </r>
      </text>
    </comment>
    <comment ref="G46" authorId="0" shapeId="0" xr:uid="{F0D9C19E-3E9E-CD4A-BB96-F5BC581C9539}">
      <text>
        <r>
          <rPr>
            <sz val="10"/>
            <rFont val="SimSun"/>
            <charset val="134"/>
          </rPr>
          <t>IN 3PCS 02.10.26 DR80737 SPC ALWIN
IN 4PCS 10.14.25 DR#78951 SV ROBIN
IN 4PCS 7.19.25 DR#78880 SPC HACKET
IN 4PCS 7.7.25 DR#77798 SPC BRY
IN 4PCS 6.30.25 DR#78090 LIPA A
IN 4PCS 3.5.25 DR#77045 SPC MIKE
IN 4PCS 2.19.25 DR#77027 SPC</t>
        </r>
      </text>
    </comment>
    <comment ref="H46" authorId="0" shapeId="0" xr:uid="{29F0CB53-79AA-3A48-B615-7F0D2F4DC60C}">
      <text>
        <r>
          <rPr>
            <sz val="10"/>
            <rFont val="SimSun"/>
            <charset val="134"/>
          </rPr>
          <t xml:space="preserve">01.23.26
54502 4PCS JARVIS
OUT 4PCS 8.23.25 DR#78429 LIPA A
7-12-25
 4 PCS 48611 JARVIS
6-30-25
4 PCS OUT 48137 JARVIS
6.14.25
47387 4PCS BEL
4 PCS OUT 2-22-25 JO43256 MARIBEL </t>
        </r>
      </text>
    </comment>
    <comment ref="G47" authorId="0" shapeId="0" xr:uid="{CB291BE5-BE21-AA43-A64F-3962D4D20D7C}">
      <text>
        <r>
          <rPr>
            <sz val="10"/>
            <rFont val="SimSun"/>
            <charset val="134"/>
          </rPr>
          <t>IN 4PCS 02.20.26 DR80489 BIÑAN
IN 1PCS 12.3.25 DR#79715 SPPC HACKET
IN 4PCS 6.3.25 DR#78768 SPC HACKET
IN 2PCS 4.28.25 DR#78011 LIPA A
1PCS 10/23/24 DR#76675 SPC KUYA HAC KET
IN 4PCS 09/19/24 DR#76534 SPC KUYA HACKET
4PCS 2-3-24 DR#74645 SPC</t>
        </r>
      </text>
    </comment>
    <comment ref="H47" authorId="0" shapeId="0" xr:uid="{0382647C-B1DA-104D-91BB-CBE98F63CC5C}">
      <text>
        <r>
          <rPr>
            <sz val="10"/>
            <rFont val="SimSun"/>
            <charset val="134"/>
          </rPr>
          <t>OUT 2PCS 02.20.26 DR80871 SPC SERVICE
11.16.25
52381 1PC ALY
4-28-25
4 PCS 45786 DALIA
4-23-25
2 pcs 45545 MARIBEL 
OUT 1PCS 09/27/24 DR#75417 LIPA A 
OUT 4PCS 03/28/24 STC KUYA HACKET</t>
        </r>
      </text>
    </comment>
    <comment ref="G48" authorId="0" shapeId="0" xr:uid="{A4FB52B4-3EFF-2247-ADA4-4AD498B41E79}">
      <text>
        <r>
          <rPr>
            <sz val="10"/>
            <rFont val="SimSun"/>
            <charset val="134"/>
          </rPr>
          <t>IN 2PCS 01.09.26 DR79951-53 SPC HACKET
IN 2PCS 8.19.25 DR#79031 SPC HACKET
IN 2PCS 6.4.25 DR#78772 SPC HACKET
IN 2PCS 6.3.25 DR#78768 SPC HACKET
IN 4PCS 1-28-25 DR#77007 SPC KUYA HACKET</t>
        </r>
      </text>
    </comment>
    <comment ref="H48" authorId="0" shapeId="0" xr:uid="{DB797AB7-39A2-0B48-91CE-0CB49546A025}">
      <text>
        <r>
          <rPr>
            <sz val="10"/>
            <rFont val="SimSun"/>
            <charset val="134"/>
          </rPr>
          <t xml:space="preserve">OUT 2PCS 6.18.25 DR#78324 SPC HACKET
OUT 2PCS 5.21.25 DR#77975 SPC ADWIN
</t>
        </r>
      </text>
    </comment>
    <comment ref="G49" authorId="0" shapeId="0" xr:uid="{949DC44D-D6E8-FF4C-999E-7087041BDFD6}">
      <text>
        <r>
          <rPr>
            <sz val="10"/>
            <rFont val="SimSun"/>
            <charset val="134"/>
          </rPr>
          <t>IN 4PCS 7.7.25 DR#77798 SPC BRY
IN 4PCS 6.3.25 DR#78768 SPC HACKET
IN 4PCS 10/25/24 DR#76678 SPC KUYA MIKE</t>
        </r>
      </text>
    </comment>
    <comment ref="H49" authorId="0" shapeId="0" xr:uid="{5A45BE3B-E2EF-BB4B-9BD7-D4C21C81D35D}">
      <text>
        <r>
          <rPr>
            <sz val="10"/>
            <rFont val="SimSun"/>
            <charset val="134"/>
          </rPr>
          <t>OUT 4PCS 6.6.25 DR#78311 LIPA A
OUT 4PCS 2.6.25 DR#76972 BIÑAN</t>
        </r>
      </text>
    </comment>
    <comment ref="G52" authorId="0" shapeId="0" xr:uid="{63299623-26C4-3F4E-BD7E-C2FF4366D3D4}">
      <text>
        <r>
          <rPr>
            <sz val="10"/>
            <rFont val="SimSun"/>
            <charset val="134"/>
          </rPr>
          <t>IN 4PCS 02.17.26 DR80484 BIÑAN
IN 2PCS 02.12.26 DR80200 LIPA A
IN 4PCS 12.26.25 DR79915-17 SPC HACKET
IN 4PCS 9.3.25 DR#79070 SPC KUYA RONNIE
IN 1PCS 5.5.25 DR#77713 SPC ALWIN
IN 1PCS 4.24.25 DR#776979 SPC HACKET
IN 4PCS 3.29.25 DR#77381 SPC MIKE
IN 4PCS 3.14.25 DR#77418 SPC HACKET
IN 4PCS 08/09/24 DR#76516 SPC KUYA HACKET</t>
        </r>
      </text>
    </comment>
    <comment ref="H52" authorId="0" shapeId="0" xr:uid="{E8B1CC86-2694-4E40-A864-9DD1FF298BEB}">
      <text>
        <r>
          <rPr>
            <sz val="10"/>
            <rFont val="SimSun"/>
            <charset val="134"/>
          </rPr>
          <t xml:space="preserve">02.17.26
55193 4PCS ALY
02.12.26
55028 4PCS ALY
01.31.26
54679 2PCS MARLO
12-23-25
4 PCS 53554 JARVIS
OUT 4PCS 8.13.25 DR#78407 SPC BRY
5.3.25
45978 1PC BEL
4.21.25
45417 1PC BEL
3.23.25
44359 4PCS DAHLIA
OUT 2PCS 2.20.25 DR#77120 SPC KUYA ALWIN
---------------------------------------------
09/12/24
37548 2PCS SALES BEL
</t>
        </r>
      </text>
    </comment>
    <comment ref="G53" authorId="0" shapeId="0" xr:uid="{1C6E34D7-AC48-9B49-B255-2BB1E7A4D1DB}">
      <text>
        <r>
          <rPr>
            <sz val="10"/>
            <rFont val="SimSun"/>
            <charset val="134"/>
          </rPr>
          <t>IN4PCS 02.18.26 DR80762 SPC HACKET
IN 2PCS 5.9.25 DR#77716 SPC ROI
IN 3PCS 08/09/24 DR#76516 SPC KUYA HACKET</t>
        </r>
      </text>
    </comment>
    <comment ref="H53" authorId="0" shapeId="0" xr:uid="{046D7105-60FB-334A-9D31-52954F1A1363}">
      <text>
        <r>
          <rPr>
            <sz val="10"/>
            <rFont val="SimSun"/>
            <charset val="134"/>
          </rPr>
          <t xml:space="preserve">5-7-25
2 PCS 46107 MARLO </t>
        </r>
      </text>
    </comment>
    <comment ref="G54" authorId="0" shapeId="0" xr:uid="{891F7056-8BE0-7940-8E68-250BE226B5C6}">
      <text>
        <r>
          <rPr>
            <sz val="10"/>
            <rFont val="SimSun"/>
            <charset val="134"/>
          </rPr>
          <t>IN 4PCS 02.26.26 DR80775 SPC RONNIE
IN 1PC 09/12/24 DR#76532 SPC KUYA HACKET
IN 4PCS 08/02/24 DR# SPC KUYA HACKET
IN 4PCS 07/10/24 DR#75231 SPC KUYA HACKET
IN 4PCS 06/22/24 DR#75191 SPC KUYA ADWIN</t>
        </r>
      </text>
    </comment>
    <comment ref="H54" authorId="0" shapeId="0" xr:uid="{7E643DB0-70DF-B441-8951-16C62A789185}">
      <text>
        <r>
          <rPr>
            <sz val="10"/>
            <rFont val="SimSun"/>
            <charset val="134"/>
          </rPr>
          <t xml:space="preserve">OUT 4PCS 09/28/24 DR#75419 SPC
08/29/24
37192 1PC SALES JARVIS
OUT 4PCS 07/17/24 DR#75148 LIPA A
OUT 06/27/27 35502 4PCS SALES MAM JEN </t>
        </r>
      </text>
    </comment>
    <comment ref="G55" authorId="0" shapeId="0" xr:uid="{1772D367-4649-EC45-A496-C779695039D2}">
      <text>
        <r>
          <rPr>
            <sz val="10"/>
            <rFont val="SimSun"/>
            <charset val="134"/>
          </rPr>
          <t>IN 2PCS 12.28.25 DR#80151 LIPA A
IN 2PCS 11.30.25 DR#78676 LIPA A
IN 4PCS 7.19.25 DR#78880 SPC HACKET
2PCS 7-14-25 DR78554 LIPA a
IN 2PCS 6.21.25 DR#77762 SPC HACKET
IN 1PCS 6.3.25 DR#78768 SPC HACKET
IN 4PCS 4.28.25 DR#77688 SPC HACKET</t>
        </r>
      </text>
    </comment>
    <comment ref="H55" authorId="0" shapeId="0" xr:uid="{2BC6E312-6B8F-9E49-98AD-A8260CC9499C}">
      <text>
        <r>
          <rPr>
            <sz val="10"/>
            <rFont val="SimSun"/>
            <charset val="134"/>
          </rPr>
          <t xml:space="preserve">12.28.25
53686 2pcs jarvis
11-30-25
5 PCS 52246 HANA
11-1-25
1 PC 51936 JARVIS
7-14-25
4 PCS 48753 JARVIS
6.27.25
48020 1PC JARVIS
6.15.25
47565 1PCS KAREN
6-4-25
2 PCS 47107 ALY 
5-9-25
1 PC 46223 MARIBEL
</t>
        </r>
      </text>
    </comment>
    <comment ref="G56" authorId="0" shapeId="0" xr:uid="{86466A34-02EA-7547-8EFB-B3B28408C010}">
      <text>
        <r>
          <rPr>
            <sz val="10"/>
            <rFont val="SimSun"/>
            <charset val="134"/>
          </rPr>
          <t>IN 4PCS 7.7.25 DR#77798 SPC BRY
IN 4PCS 6.21.25 DR#77762 SPC HACKET</t>
        </r>
      </text>
    </comment>
    <comment ref="H56" authorId="0" shapeId="0" xr:uid="{B1FF7899-9FD6-E84F-A7FD-564CBF6A88D5}">
      <text>
        <r>
          <rPr>
            <sz val="10"/>
            <rFont val="SimSun"/>
            <charset val="134"/>
          </rPr>
          <t xml:space="preserve">OUT 1PC 03.03.26 DR80886 SPC LALAMOVE 
6-23-25
4 PCS 47927 JARVIS
</t>
        </r>
      </text>
    </comment>
    <comment ref="G59" authorId="0" shapeId="0" xr:uid="{57DB7C3F-4920-C445-BEDC-58F75F926EF2}">
      <text>
        <r>
          <rPr>
            <sz val="10"/>
            <rFont val="SimSun"/>
            <charset val="134"/>
          </rPr>
          <t>IN 4PCS 10.27.25 DR#79689 SPC BRY
IN 4PCS 6.20.25 DR#78083 LIPA A
IN 4PCS 08/09/24 DR#76516 SPC KUYA HACKET</t>
        </r>
      </text>
    </comment>
    <comment ref="H59" authorId="0" shapeId="0" xr:uid="{59FDEBDD-A629-E840-AAEF-9EA4F3061309}">
      <text>
        <r>
          <rPr>
            <sz val="10"/>
            <rFont val="SimSun"/>
            <charset val="134"/>
          </rPr>
          <t xml:space="preserve">OUT 4PCS 10.3.25 DR#79286 LIPA A
6-18-25
4 PCS 47681 MARIBEL
</t>
        </r>
      </text>
    </comment>
    <comment ref="G61" authorId="0" shapeId="0" xr:uid="{0B8EA523-6562-3442-A3A5-1344C4F711AA}">
      <text>
        <r>
          <rPr>
            <sz val="10"/>
            <rFont val="SimSun"/>
            <charset val="134"/>
          </rPr>
          <t>IN 4PCS 5.3.25 DR#77715 SPC SERVICE</t>
        </r>
      </text>
    </comment>
    <comment ref="H61" authorId="0" shapeId="0" xr:uid="{268626FE-C7F1-D649-940B-2A4F8AECA1C1}">
      <text>
        <r>
          <rPr>
            <sz val="10"/>
            <rFont val="SimSun"/>
            <charset val="134"/>
          </rPr>
          <t xml:space="preserve">5-12-25
4 pcs 46245 ALY </t>
        </r>
      </text>
    </comment>
    <comment ref="G62" authorId="0" shapeId="0" xr:uid="{EBD94A5A-4008-5846-B898-6CA0D65BDADA}">
      <text>
        <r>
          <rPr>
            <sz val="10"/>
            <rFont val="SimSun"/>
            <charset val="134"/>
          </rPr>
          <t xml:space="preserve">IN 4PCS 06/15/24 DR#75210 SPC KUYA MIKE
</t>
        </r>
      </text>
    </comment>
    <comment ref="G63" authorId="0" shapeId="0" xr:uid="{2DBF5FD2-80F5-5848-9E3E-494AA8B28BB8}">
      <text>
        <r>
          <rPr>
            <sz val="10"/>
            <rFont val="SimSun"/>
            <charset val="134"/>
          </rPr>
          <t>IN 2PCS 12.3.25 DR#79715 SPPC HACKET
IN 4PCS 10.27.25 DR#79689 SPC BRY</t>
        </r>
      </text>
    </comment>
    <comment ref="H63" authorId="0" shapeId="0" xr:uid="{C3149646-E948-6644-833A-421FA5285072}">
      <text>
        <r>
          <rPr>
            <sz val="10"/>
            <rFont val="SimSun"/>
            <charset val="134"/>
          </rPr>
          <t xml:space="preserve">11-28-25
2 PCS 52706 MARIBEL
</t>
        </r>
      </text>
    </comment>
    <comment ref="G65" authorId="0" shapeId="0" xr:uid="{218D3977-D7DB-A44B-A816-EF5C6102ED6F}">
      <text>
        <r>
          <rPr>
            <sz val="10"/>
            <rFont val="SimSun"/>
            <charset val="134"/>
          </rPr>
          <t>IN 2PCS 7.19.25 DR#78881 SPC EMMAN
IN 4PCS 5-24-24 DR#75158 SPC</t>
        </r>
      </text>
    </comment>
    <comment ref="H65" authorId="0" shapeId="0" xr:uid="{367A1E26-9E43-B84C-A581-211A70AC77F3}">
      <text>
        <r>
          <rPr>
            <sz val="10"/>
            <rFont val="SimSun"/>
            <charset val="134"/>
          </rPr>
          <t xml:space="preserve">12.01.25
52764 4pcs rose
6-26-25
2 PCS 48005 MARIBEL
</t>
        </r>
      </text>
    </comment>
    <comment ref="G66" authorId="0" shapeId="0" xr:uid="{23A594C0-56B3-6A47-8CC4-0D2AC888F632}">
      <text>
        <r>
          <rPr>
            <sz val="10"/>
            <rFont val="SimSun"/>
            <charset val="134"/>
          </rPr>
          <t>IN 2PCS 2.19.25 DR#77027 SPC
IN 4PCS 05/13/24 DR#73479 LIPA A</t>
        </r>
      </text>
    </comment>
    <comment ref="H66" authorId="0" shapeId="0" xr:uid="{D3C5755C-FE24-8B43-B7E4-844D2E559132}">
      <text>
        <r>
          <rPr>
            <sz val="10"/>
            <rFont val="SimSun"/>
            <charset val="134"/>
          </rPr>
          <t>2 PCS OUT 2-14-25 JO42845 DALIA</t>
        </r>
      </text>
    </comment>
    <comment ref="G69" authorId="0" shapeId="0" xr:uid="{23DFC223-A146-E84C-98CB-C6001E6744AF}">
      <text>
        <r>
          <rPr>
            <sz val="10"/>
            <rFont val="SimSun"/>
            <charset val="134"/>
          </rPr>
          <t>IN 1PC 4.25.25 DR#77682 SPC SERVICE
IN 3PCS 4.12.25 DR#77534 LIPA A HACKET
IN 4PCS 1-28-25 DR#77007 SPC KUYA HACKET</t>
        </r>
      </text>
    </comment>
    <comment ref="H69" authorId="0" shapeId="0" xr:uid="{F112296C-394E-5B4D-98D9-93548539974C}">
      <text>
        <r>
          <rPr>
            <sz val="10"/>
            <rFont val="SimSun"/>
            <charset val="134"/>
          </rPr>
          <t xml:space="preserve">
4 PCS OUT 3-8-25 JO43790 JARVIS</t>
        </r>
      </text>
    </comment>
    <comment ref="G70" authorId="0" shapeId="0" xr:uid="{F84F468B-E8B8-FE49-B5A9-74A84D79AC7C}">
      <text>
        <r>
          <rPr>
            <sz val="10"/>
            <rFont val="SimSun"/>
            <charset val="134"/>
          </rPr>
          <t>IN 4PCS 01.20.26 DR79983 SPC RONNIE
IN 1PCS 11.30.25 DR#78676 LIPA A
IN 4PCS 7.19.25 DR#78881 SPC EMMAN
IN 4PCS 7.11.25 DR#78552 LIPA A
IN 4PCS 7.7.25 DR#77798 SPC BRY
IN 4PCS DR#78088 6.28.25 LIPA A
IN 2PCS 6.17.25 DR#78796 SPC
IN 5PCS 6.3.25 DR#78768 SPC HACKET
IN 4PCS 4.12.25 DR#77534 LIPA A HACKET
IN 4PCS 3.4.25 DR#77040 SPC HACKET
IN 2PCS 3.5.25 DR#77045 SPC MIKE
IN 4PCS 2.23.25 DR#77068 LIPA A
---------------------------------------------
IN 1PCS 11/09/24 DR#76594 SPC
IN 4PCS 10/13/24 DR#76649 SPC BRIAN
IN 2PCS 09/18/24 DR#76088 LIPA A
IN 4PCS 06/14/24 DR#75208 SPC
IN 4PCS 5-24-24 DR#73482 LIPA A
IN  4PCS 04/10/24 DR#74900 SPC
IN 4PCS 04/01/24 DR#73440 LIPA A</t>
        </r>
      </text>
    </comment>
    <comment ref="H70" authorId="0" shapeId="0" xr:uid="{5EFCC054-EE46-6C41-9545-504068B29B80}">
      <text>
        <r>
          <rPr>
            <sz val="10"/>
            <rFont val="SimSun"/>
            <charset val="134"/>
          </rPr>
          <t>11-30-25
4 PCS 52801 ALY
11-26-25
1 PC 52635 MARIBEL
7-11-25
4 PCS 48525 JARVIS
7-10-25
4 PCS 48561 JARVIS
6-28-25
4 PCS 48081 MARIBEL
6-16-25
4 PCS 47647 JARVIS
6-9-25
4 PCS 47289 MARIBEL
5-23-25
1 PC 46438 HANNA
3.25.25
44378 4PCS ALY
4 PCS OUT 3-21-25 JO44293 DALIA
OUT 4PCS 3.11.25 DR#77148 LIPA A
2-23-24 4 PCS OUT JO43313 DALIA
4 PC OUT 1/30/25 JO41719 OFFICE HANNA
OUT 1PCS 11/6/2024
JO39328 SALES ALY
09/18/24
37759 4PCS SALES MARLO
09/01/24
37311 2pcs sales bel
5/24/2024 34542 4PCS LEN
OUT 05/15/24 34333 4PCS SALES MARLO
OUT 04/01/24 33089 4PCS SALES JARVIS</t>
        </r>
      </text>
    </comment>
    <comment ref="G71" authorId="0" shapeId="0" xr:uid="{E0EFFA7C-07D8-374F-8D85-EE55754003A6}">
      <text>
        <r>
          <rPr>
            <sz val="10"/>
            <rFont val="SimSun"/>
            <charset val="134"/>
          </rPr>
          <t>IN 4PCS 9.3.25 DR#79070 SPC KUYA RONNIE
IN 3PCS 6.3.25 DR#78768 SPC HACKET
IN 4PCS 3.18.25 DR#77434 SPC HACKET</t>
        </r>
      </text>
    </comment>
    <comment ref="H71" authorId="0" shapeId="0" xr:uid="{19F41B6E-7950-2C4C-9849-5E6E6F159C1A}">
      <text>
        <r>
          <rPr>
            <sz val="10"/>
            <rFont val="SimSun"/>
            <charset val="134"/>
          </rPr>
          <t xml:space="preserve">8.9.25
49504 4PCS ALY
5-23-25
1 PC 46649 MARLO
OUT 2PCS 5.18.25 DR#77967 LIPA A
</t>
        </r>
      </text>
    </comment>
    <comment ref="G72" authorId="0" shapeId="0" xr:uid="{7386EB11-58C6-9248-89D8-DEDC25E8A266}">
      <text>
        <r>
          <rPr>
            <sz val="10"/>
            <rFont val="SimSun"/>
            <charset val="134"/>
          </rPr>
          <t>IN 4PCS 11.22.25 DR#78671 LIPA A
IN 4PCS 1-16-25 DR#76890 SPC KUYA EMMAN
---------------------------------------------
IN 4PCS 5-24-24 DR#75158 SPC
IN 4PCS 04/21/24 DR#73456 LIPA A 
IN 4PCS 04/13/24 DR#SP0021 SPC KUYA EMAN</t>
        </r>
      </text>
    </comment>
    <comment ref="H72" authorId="0" shapeId="0" xr:uid="{C48ADC4B-94FB-8E4A-ABEE-08A1BE74C934}">
      <text>
        <r>
          <rPr>
            <sz val="10"/>
            <rFont val="SimSun"/>
            <charset val="134"/>
          </rPr>
          <t>10-17-25
4 PCS 51435 MARIBEL
OUT 4PCS 12/19/24 JO40834 MARIBEL
OUT 04/21/24 33664 4PCS SALES BEL
OUT 04/17/24 33573 4PCS SALES ROSE</t>
        </r>
      </text>
    </comment>
    <comment ref="G73" authorId="0" shapeId="0" xr:uid="{E64C7D26-1402-3744-A1F4-17ED7CC4AD5F}">
      <text>
        <r>
          <rPr>
            <sz val="10"/>
            <rFont val="SimSun"/>
            <charset val="134"/>
          </rPr>
          <t xml:space="preserve">
IN 4PCS 07/10/24 DR#75231 SPC KUYA HACKET</t>
        </r>
      </text>
    </comment>
    <comment ref="G74" authorId="0" shapeId="0" xr:uid="{D08EFE3F-0ABD-B945-ACE2-EBC1AE5F5A59}">
      <text>
        <r>
          <rPr>
            <sz val="10"/>
            <rFont val="SimSun"/>
            <charset val="134"/>
          </rPr>
          <t>IN 4PCS 10.31.25 DR#79853-54  HACKET
IN 4PCS 08/09/24 DR#76516 SPC KUYA HACKET</t>
        </r>
      </text>
    </comment>
    <comment ref="H74" authorId="0" shapeId="0" xr:uid="{43C7E1ED-05E8-AE49-8CF2-4B6F6E4BA825}">
      <text>
        <r>
          <rPr>
            <sz val="10"/>
            <rFont val="SimSun"/>
            <charset val="134"/>
          </rPr>
          <t>OUT 4PC 5.5.25 DR#77638 SPC EMMAN</t>
        </r>
      </text>
    </comment>
    <comment ref="G75" authorId="0" shapeId="0" xr:uid="{3FD55A86-6C0D-054C-BFDF-ED6AE6DAA01E}">
      <text>
        <r>
          <rPr>
            <sz val="10"/>
            <rFont val="SimSun"/>
            <charset val="134"/>
          </rPr>
          <t>IN 2PCS 8.11.25 DR#79006-07 SPC EMMAN
IN 4PCS 4.7.25 DR#77397 MIKE
IN 4PCS 09/20/24 REF#75708 STC KUYA MIKE
IN 4PCS 5-17-24 DR#75040 SPC</t>
        </r>
      </text>
    </comment>
    <comment ref="H75" authorId="0" shapeId="0" xr:uid="{C39D35D3-415B-CE49-954B-B250A431EA2B}">
      <text>
        <r>
          <rPr>
            <sz val="10"/>
            <rFont val="SimSun"/>
            <charset val="134"/>
          </rPr>
          <t>7-22-25
4 PCS 48946 JARVIS 
10/01/24
38055 4PCS SALES MARLO
OUT 4PCS 09/17/24 DR75408 LIPA A</t>
        </r>
      </text>
    </comment>
    <comment ref="G76" authorId="0" shapeId="0" xr:uid="{1ABCEDEF-B750-8444-A03F-4A66E2F7ABA4}">
      <text>
        <r>
          <rPr>
            <sz val="10"/>
            <rFont val="SimSun"/>
            <charset val="134"/>
          </rPr>
          <t>in 2PCS  3.22.25 SI#0432MOTOZENTRUM</t>
        </r>
      </text>
    </comment>
    <comment ref="H76" authorId="0" shapeId="0" xr:uid="{E46860C3-FEED-4741-923D-21B1F0795D78}">
      <text>
        <r>
          <rPr>
            <sz val="10"/>
            <rFont val="SimSun"/>
            <charset val="134"/>
          </rPr>
          <t xml:space="preserve">2PCS 3.30.25 44695 ALY
</t>
        </r>
      </text>
    </comment>
    <comment ref="G77" authorId="0" shapeId="0" xr:uid="{58815D32-245D-714E-9178-6AFC28CAC11B}">
      <text>
        <r>
          <rPr>
            <sz val="10"/>
            <rFont val="SimSun"/>
            <charset val="134"/>
          </rPr>
          <t>IN 2PCS 7.7.25 DR#0636 MOTOZENTRUM</t>
        </r>
      </text>
    </comment>
    <comment ref="H77" authorId="0" shapeId="0" xr:uid="{88D58B03-A189-4540-A7A5-BA95005AAFB3}">
      <text>
        <r>
          <rPr>
            <sz val="10"/>
            <rFont val="SimSun"/>
            <charset val="134"/>
          </rPr>
          <t>OUT 2PCS 7.7.25 DR#78350 BINAN</t>
        </r>
      </text>
    </comment>
    <comment ref="G78" authorId="0" shapeId="0" xr:uid="{5639AF06-4B59-E644-8107-2C813F687A2B}">
      <text>
        <r>
          <rPr>
            <sz val="10"/>
            <rFont val="SimSun"/>
            <charset val="134"/>
          </rPr>
          <t>IN 4PCS 5.20.25 DR#77802 BINAN HACKET
4PCS 10/23/24 DR#76675 SPC KUYA HAC KET
IN 4PCS 08/11/24 DR#76519 SPC MASTER
IN 4PCS 06/14/24 DR#75208 SPC
IN 4PCS 03/21/24 DR#74875 SPC</t>
        </r>
      </text>
    </comment>
    <comment ref="H78" authorId="0" shapeId="0" xr:uid="{6C02E599-8C90-7F41-9DBF-DEC2B553A224}">
      <text>
        <r>
          <rPr>
            <sz val="10"/>
            <rFont val="SimSun"/>
            <charset val="134"/>
          </rPr>
          <t>4-14-25
4 PCS OUT JO 45337 JARVIS
OUT 4PCS 07/15/24 DR#75143 LIPA A
OUT 04/11/24 33350 4PCS SALES BEL</t>
        </r>
      </text>
    </comment>
    <comment ref="G79" authorId="0" shapeId="0" xr:uid="{B3506F11-E3BB-AA41-ACE6-74791647248D}">
      <text>
        <r>
          <rPr>
            <sz val="10"/>
            <rFont val="SimSun"/>
            <charset val="134"/>
          </rPr>
          <t>IN 4PCS 12.26.25 DR79915-17 SPC HACKET
IN 4PCS 06/17/24 DR#75187 SPC MASTER</t>
        </r>
      </text>
    </comment>
    <comment ref="H79" authorId="0" shapeId="0" xr:uid="{516D994A-E365-1F43-9058-9191324ECA9E}">
      <text>
        <r>
          <rPr>
            <sz val="10"/>
            <rFont val="SimSun"/>
            <charset val="134"/>
          </rPr>
          <t xml:space="preserve">12-9-25
4 PCS 53062 MARIBEL
</t>
        </r>
      </text>
    </comment>
    <comment ref="G80" authorId="0" shapeId="0" xr:uid="{6FFEC90E-0385-5F4C-9D31-DF36092A6E68}">
      <text>
        <r>
          <rPr>
            <sz val="10"/>
            <rFont val="SimSun"/>
            <charset val="134"/>
          </rPr>
          <t xml:space="preserve">IN 4PCS 01.09.26 DR79951-53 SPC HACKET
IN 2PCS 5.5.25 DR#77704 SPC EMMAN
IN 4PCS 4.12.25 DR#77660 SPC HACKET
IN 4PCS 11/25/24 DR#75722 SPC KUYA EMMAN
4PCS 10/23/24 DR#76675 SPC KUYA HAC KET
IN 4PCS 06/17/24 DR#75187 SPC MASTER
IN 4PCS 03/19/24 DR#74872 SPC </t>
        </r>
      </text>
    </comment>
    <comment ref="H80" authorId="0" shapeId="0" xr:uid="{E654C068-D142-1D45-B685-973DBDED82A0}">
      <text>
        <r>
          <rPr>
            <sz val="10"/>
            <rFont val="SimSun"/>
            <charset val="134"/>
          </rPr>
          <t>7.7.25
48463 4PCS JARVIS
4.30.25
45922 2PCS JARVIS
OUT 4PCS 1-17-25 DR#76918 SPC KUYA HACKET
----------------------------------------------
12-28-2024 SALES
41181 4PCS JARVIS
OUT 4PCS 11/22/24 JO39794 ALY
OUT 4PCS 05/06/24 DR#75058 SPC KUYA ALDWIN</t>
        </r>
      </text>
    </comment>
    <comment ref="G86" authorId="0" shapeId="0" xr:uid="{AFC9BF64-00A3-3C48-BB07-70871C88AFFC}">
      <text>
        <r>
          <rPr>
            <sz val="10"/>
            <rFont val="SimSun"/>
            <charset val="134"/>
          </rPr>
          <t xml:space="preserve">4PCS 5-23-22 STF#6383 SPC
2PCS 5-11-22 STf#6319 SPC
8PC 04-11-2022 ST006192 SPC
</t>
        </r>
      </text>
    </comment>
    <comment ref="H86" authorId="0" shapeId="0" xr:uid="{EAA7CDE2-5B69-B44A-B745-29BDCEC087F0}">
      <text>
        <r>
          <rPr>
            <sz val="10"/>
            <rFont val="SimSun"/>
            <charset val="134"/>
          </rPr>
          <t>4pcs 5-26-22 stf#1795 SPC
4PCS 5-18-22 JO#15455 SALES
4PC 05-03-2022 JO15161 SALES
2PC 04-27-2022 JO15008 SALES
2PC 12-06-2021 ST001526 SPC
2PC 12-03-2021 ST001522 LIPA A
1PC 12-01-2021 ST001518 LIPA A
2PCS - 11/11/2021 ST001477 SPC
4PCS - 11/03/2021 JO11664 JARVIS
1PC - 11/2/2021 LIPA A
4PCS - 10/31/2021 JO11540 MARLO
2PCS - 10/22/2021 JO11399 MARIBEL</t>
        </r>
      </text>
    </comment>
    <comment ref="G87" authorId="0" shapeId="0" xr:uid="{77844AB0-C58B-5A43-82F2-8B5185333388}">
      <text>
        <r>
          <rPr>
            <sz val="10"/>
            <rFont val="SimSun"/>
            <charset val="134"/>
          </rPr>
          <t>4PCS 4-6-22 STF#6169 SPC</t>
        </r>
      </text>
    </comment>
    <comment ref="H87" authorId="0" shapeId="0" xr:uid="{124E485D-8D95-C542-8304-553B7F494201}">
      <text>
        <r>
          <rPr>
            <sz val="10"/>
            <rFont val="SimSun"/>
            <charset val="134"/>
          </rPr>
          <t xml:space="preserve">2PCS 6-4-22 JO#15805 SALES
2PCS 6-1-22 JO#15742 SALES
4PC 04-01-2022 ST001705 LIPA A
2PCS 2-11-22 STF#1631 SPC
2pcs 1-23-22 STF#1604 A
2PCS 1-4-21 STF#1569 A
2PCS 12-29-21 STF#1566 A
2PCS - 11/2/2021 LIPA A
4PCS - 10/23/2021 JO11418 JARVIS
</t>
        </r>
      </text>
    </comment>
    <comment ref="I87" authorId="0" shapeId="0" xr:uid="{4467B5EC-35DD-6549-BF41-F675DEC9C2B2}">
      <text>
        <r>
          <rPr>
            <sz val="10"/>
            <rFont val="SimSun"/>
            <charset val="134"/>
          </rPr>
          <t>DOT 2022</t>
        </r>
      </text>
    </comment>
    <comment ref="G88" authorId="0" shapeId="0" xr:uid="{86AEF7CF-AE4B-DE4B-A133-46A60AAC6F99}">
      <text>
        <r>
          <rPr>
            <sz val="10"/>
            <rFont val="SimSun"/>
            <charset val="134"/>
          </rPr>
          <t>1PC  7-13-22 STF#6626 SPC
4PCS 4-6-22 STF#6169 SPC</t>
        </r>
      </text>
    </comment>
    <comment ref="H88" authorId="0" shapeId="0" xr:uid="{28AA509D-D029-B14F-973F-639B80B241BF}">
      <text>
        <r>
          <rPr>
            <sz val="10"/>
            <rFont val="SimSun"/>
            <charset val="134"/>
          </rPr>
          <t>2PCS 9-30-22 STF#1997 SPC
2pc 8-31-22 jo#17751 aLY
1PC 6-21-22 JO16175 SALES</t>
        </r>
      </text>
    </comment>
    <comment ref="I88" authorId="0" shapeId="0" xr:uid="{B34C791D-CF9F-3A4F-88CB-787DD765B3E3}">
      <text>
        <r>
          <rPr>
            <sz val="10"/>
            <rFont val="SimSun"/>
            <charset val="134"/>
          </rPr>
          <t>DOT 2022</t>
        </r>
      </text>
    </comment>
    <comment ref="G89" authorId="0" shapeId="0" xr:uid="{DB9D5CEE-2FBD-A54F-9F8D-BF4E1FDBBA49}">
      <text>
        <r>
          <rPr>
            <sz val="10"/>
            <rFont val="SimSun"/>
            <charset val="134"/>
          </rPr>
          <t>2pcs 5-25-22 STf#1946 LIPA A
6PCS 4-6-22 STF#6169 SPC
1PC 01-12-2022 ST005760 SPC
4PCS 12-23-21 ST005696 SPC</t>
        </r>
      </text>
    </comment>
    <comment ref="H89" authorId="0" shapeId="0" xr:uid="{100948B7-DAD8-0E47-B7C8-4B72C5B82CB2}">
      <text>
        <r>
          <rPr>
            <sz val="10"/>
            <rFont val="SimSun"/>
            <charset val="134"/>
          </rPr>
          <t>2PCS 5-25-22 JO#15601 SALES
4PCS 05-20-2022 JO15480 SALES
4PCS 5-11-22 STF#1776 SPC
1PC 2-11-22 STF#1631 SPC
2PCS 12-27-21 STF#1561 A</t>
        </r>
      </text>
    </comment>
    <comment ref="G90" authorId="0" shapeId="0" xr:uid="{F9DEA88C-80D8-1F44-80EC-CC843131D4CE}">
      <text>
        <r>
          <rPr>
            <sz val="10"/>
            <rFont val="SimSun"/>
            <charset val="134"/>
          </rPr>
          <t>4PCS 1-16-23 STF#7515 SPC
3pcs 1-6-23 stf#7459 SPC
3PCS  11-9-22 STF#7217 SPC
4PCS 10-26-22 STF#7159 SPC
16PCS 10-12-22 STF#7093 SPC
1PC 6-18-22 STF#1983 LIPA A
3PCS 5-20-22 STF#1934 LIPA A
4PC 04-11-2022 ST006192 SPC
4PCS 4-6-22 STF#6169 SPC
8PCS 2-2-22 STF#5859 8PC SPC
2PCS 1-29-22 STF#5833 SPC
4PCS 1-17-22 STF#5778 SPC
4PCS 01-05-2022 ST005730 SPC
4PCS 12-23-21 ST005696 SPC</t>
        </r>
      </text>
    </comment>
    <comment ref="H90" authorId="0" shapeId="0" xr:uid="{8CAEDD21-15A5-5642-AFE3-FC46177A7D7C}">
      <text>
        <r>
          <rPr>
            <sz val="10"/>
            <rFont val="SimSun"/>
            <charset val="134"/>
          </rPr>
          <t>4PCS 2-20-23 JO#21839  BEL
1pc 2-4-23 STF#2264 SPC
2pcs 2-3-23 JO#21246 JOJO
1PC 1-16-23 JO#20965 BEL
2PCS 1-15-23 JO#20961 BEL
2PCS 1-15-23 JO#20962 BEL
2pcs 12-24-22 JO#20410 ALY
5PCS 12-15-22 JO#20192 BEL
4PCS 11-28-22 JO#19824 BEL
2PCS 11-23-22 JO#19652 JOJO
2PCS 11-4-22 JO#18960 2PCS JOJO
2PCS 10-24-22 JO#18988 SALES
1PC 6-18-22 JO16106 SALES
2PCS 6-18-22 JO16116 SALES
2pcs 6-16-22 STF#1827 SPC
2PCS 5-25-22 JO#15567 SALES
2PC 05-19-2022 JO15357 SALES
2PC 05-19-2022 JO15358 SALES
2PC 05-19-2022 JO15359 SALES
1PC 5-18-22 JO#15445 SALES
4PC 03-14-2022 ST001674 SPC
2PC 03-09-2022 ST001666 SPC
2PC 02-24-22 ST001649 SPC
2PC 01-29-2022 JO13265 ALY4pcs 4pc 01-26-22 stf#16007 spc
4PCS 01-13-2022 JO#12915 JARVIS
4PCS 12-27-21 JO#12633 JARVIS</t>
        </r>
      </text>
    </comment>
    <comment ref="I90" authorId="0" shapeId="0" xr:uid="{4C304B73-E9AF-114A-B551-F43AFBDA20A5}">
      <text>
        <r>
          <rPr>
            <sz val="10"/>
            <rFont val="SimSun"/>
            <charset val="134"/>
          </rPr>
          <t>DOT 2021</t>
        </r>
      </text>
    </comment>
    <comment ref="G91" authorId="0" shapeId="0" xr:uid="{5C8BA1CD-D90B-F045-96EC-AE232574E242}">
      <text>
        <r>
          <rPr>
            <sz val="10"/>
            <rFont val="SimSun"/>
            <charset val="134"/>
          </rPr>
          <t xml:space="preserve">
4PCS 12-16-22 STF#7389 SPC
2PCS 10-26-22 STF#7159 SPC
1PC 10-17-22 STF#7111 SPC
8PCS 10-12-22 STF#7093 SPC
2PCS 9-15-22 STF#6925 SPC
1PC 8-6-22 STF#6739 SPC
2PC 04-22-2022 ST006234 SPC
8PC 04-11-2022 ST006192 SPC
4PCS 4-6-22 STF#6169 SPC
2PCS 12-20-21 STF#556 STC
4PCS 11-11-21 STF#5511 SPC</t>
        </r>
      </text>
    </comment>
    <comment ref="H91" authorId="0" shapeId="0" xr:uid="{F8B07C83-DABD-AB4B-B55B-86DD485F28EE}">
      <text>
        <r>
          <rPr>
            <sz val="10"/>
            <rFont val="SimSun"/>
            <charset val="134"/>
          </rPr>
          <t xml:space="preserve">4PCS 12-20-22 JO#20287 ALY
9PCS 12-2-22 STF#2107 SPC1PC 11-22-22 STF#2022 SITE A
1PC 10-24-22 JO#18994 SALES
1PC 10-23-22 JO18994 1PC MARIBEL
1PC 10-14-22 JO#18781 SALES
2PCS 9-30-22 STF#1997 SPC
2PCS 9-9-22 JO#17892 ALY
2PCS 8-27-22 STF#1945 SITE A
1PC 7-30-22 JO17022 JARVIS
4PC 05-08-2022 JO15284 SALES
2PC 04-19-22 JO14811 SALES
4pcs 4-6-22 JO#14449 MARLO
2PC 03-26-2022 ST001696 SPC
2PC 02-17-2022 JO13573 SALES
2PC 02-17-2022 JO#13573 SALES
2PCS 12-22-21 JO#12550 MARIBEL
4PCS 11-13-21 JO#11901 JARVIS
2pc 11-10-21 JO#11826 SALES
2PCS 11/05/2021 JO#11743 JARVIS
3PCS - 11/04/2021 SPC
</t>
        </r>
      </text>
    </comment>
    <comment ref="I91" authorId="0" shapeId="0" xr:uid="{527C08FA-40C2-A34F-A766-50868D6E686C}">
      <text>
        <r>
          <rPr>
            <sz val="10"/>
            <rFont val="SimSun"/>
            <charset val="134"/>
          </rPr>
          <t>DOT 2022</t>
        </r>
      </text>
    </comment>
    <comment ref="G92" authorId="0" shapeId="0" xr:uid="{ED893AB1-F068-464C-AD58-818FEB9D6D55}">
      <text>
        <r>
          <rPr>
            <sz val="10"/>
            <rFont val="SimSun"/>
            <charset val="134"/>
          </rPr>
          <t>2PCS 11-25-22 STF#7284 SPC</t>
        </r>
      </text>
    </comment>
    <comment ref="H92" authorId="0" shapeId="0" xr:uid="{BE53D1D1-6EF7-844C-B0CB-CE58FBAB0C3C}">
      <text>
        <r>
          <rPr>
            <sz val="10"/>
            <rFont val="SimSun"/>
            <charset val="134"/>
          </rPr>
          <t>OUT 11-25-22 JO#19717 2PCS BATELEC
4PCS 10-12-22 STF#2011 SPC
2PCS 2-4-22 jo#13328 JARVIS</t>
        </r>
      </text>
    </comment>
    <comment ref="I92" authorId="0" shapeId="0" xr:uid="{EC85A696-C258-AE43-B25E-2F544C559E18}">
      <text>
        <r>
          <rPr>
            <sz val="10"/>
            <rFont val="SimSun"/>
            <charset val="134"/>
          </rPr>
          <t>DOT 2021</t>
        </r>
      </text>
    </comment>
    <comment ref="G93" authorId="0" shapeId="0" xr:uid="{BA2905B9-935A-424F-BC10-9D320FED8570}">
      <text>
        <r>
          <rPr>
            <sz val="10"/>
            <rFont val="SimSun"/>
            <charset val="134"/>
          </rPr>
          <t xml:space="preserve">
2PCS 12-16-23 DR#74533 SPC
2PCS 4-12-23 STF#2389 SPC
4PCS 12-12-22 JO#7369 SPC
4PCS 12-3-22 STF#7323 SPC
2PCS 7-26-22 STF#6695 SPC
8PCS 4-6-22 STF#6169 SPC
4PC 03-14-2022 ST001818 LIPA A
2PC 01-26-2022 ST005816 SPC
4PCS 01-05-2022 ST005730 SPC
4PCS 12-22-21 STF#5691 SPC
2PCS 11-27-2021 ST001634 LIPA A
4PCS 11-02-2021 ST001599 LIPA A</t>
        </r>
      </text>
    </comment>
    <comment ref="H93" authorId="0" shapeId="0" xr:uid="{9353EFF9-4921-B643-A5F7-4046B03EF812}">
      <text>
        <r>
          <rPr>
            <sz val="10"/>
            <rFont val="SimSun"/>
            <charset val="134"/>
          </rPr>
          <t>2PCS 12-15-23 JO#30311 MARLO
2pcs 4-12-23 JO#24312 MARIBEL
4PCS 1-5-23 JO#20672 MARLO
4PC 12-10-22 JO20084 MARIBEL
2pcs 8-3-22 JO#1902 SPC
4PC 04-30-2022 JO14980 SALES
4PC 04-11-2022 JO14670 SALES
4PC 02-23-2022 JO13706 SALES
OUT 01-24-2022 JO#13113 BEL
OUT 01-24-2022 JO#13121 PAUL
OUT 12-22-21 STF#5691 4PC SPC
OUT 11-29-21 STF#1512 2PC A
4PCS 11-27-2021 JO#12132 BEL
4PCS - 10/30/2021 JO11593 MARIBEL
4PCS - 10/20/2021 JO11327 ELRICK</t>
        </r>
      </text>
    </comment>
    <comment ref="G94" authorId="0" shapeId="0" xr:uid="{76479B30-B90C-394E-A869-F890E4F5EB26}">
      <text>
        <r>
          <rPr>
            <sz val="10"/>
            <rFont val="SimSun"/>
            <charset val="134"/>
          </rPr>
          <t>8pcs 2-25-23 STF#7745 SPC
4PCS 1-3-22 STF#7447 SPC
4PCS 12-3-22 STF#7323 SPC
4PC 03-09-22 ST006036 SPC
4PCS 3-1-22 STF#5993 SPC
4PC 12-09-2021 ST005634 SPC</t>
        </r>
      </text>
    </comment>
    <comment ref="H94" authorId="0" shapeId="0" xr:uid="{8B827DCF-1517-464B-BCF5-77FADD83EF23}">
      <text>
        <r>
          <rPr>
            <sz val="10"/>
            <rFont val="SimSun"/>
            <charset val="134"/>
          </rPr>
          <t>2PCS 6-8-23 STF#2496 SPC
4PCS 5-23-23 jo#25498 BEL
1PC 5-22-23 STF#2468 STC
1PC 3-17-23 JO#22683 JARVIS
2pcs 1-19-23 S=JO#21073 ALY
2PCS 1-5-23 JO#20614 BEL
4PCS 12-20-22 JO#20294 JARVIS
4pcs 6-4-22 STF#1815 LIPA A
4PCS 4-6-22 JO#14478 OFFICE
4PCS 2-28-22 JO#13776 ALY</t>
        </r>
      </text>
    </comment>
    <comment ref="I94" authorId="0" shapeId="0" xr:uid="{54BA6EC3-F8BA-E247-AAA7-22A9A9B61F85}">
      <text>
        <r>
          <rPr>
            <sz val="10"/>
            <rFont val="SimSun"/>
            <charset val="134"/>
          </rPr>
          <t>DOT 2021</t>
        </r>
      </text>
    </comment>
    <comment ref="G95" authorId="0" shapeId="0" xr:uid="{FA01DC40-48C7-4A4D-BDFC-62CDD1B87C66}">
      <text>
        <r>
          <rPr>
            <sz val="10"/>
            <rFont val="SimSun"/>
            <charset val="134"/>
          </rPr>
          <t>4PCS 4-4-23 STF#7953 SPC
2PCS 3-22-23 STF#7886 SPC
2pcs 3/13/2023 sft lipa A
4PCS 3-7-23 STF#7800 SPC
4PCS 12-9-22 STF#7357 SPC
4PCS 12-3-22 STF#7323 SPC
2pcs 6-21-22 STF#6513 SPC
4pcs 6-1-22 stf#1953 site a
8PCS 4-6-22 STF#6169 SPC</t>
        </r>
      </text>
    </comment>
    <comment ref="H95" authorId="0" shapeId="0" xr:uid="{093C98F2-F8B3-7946-B56D-ED826C8630A3}">
      <text>
        <r>
          <rPr>
            <sz val="10"/>
            <rFont val="SimSun"/>
            <charset val="134"/>
          </rPr>
          <t xml:space="preserve">4PCS 4-5-23 JO#24147 HANNHA
4pcs 3-30-23 JO#23724 ROSE
4PCS 3/13/2023 22348 BEL
4pcs 3-9-23 JO#22265 MARLO
2PCS 1-21-23 STF#2226 LIPA A
2pcs 1-20-23 stf#2225 LIPA A
2pcs 12-22-22 jo20382 maribel
4pcs 12-5-22JO#200553 BEL
1PC 8-3-22 JO#1902 SPC
1PC 08-03-22 OJ#17097 SALES
4PCS 6-1-22 JO#15744 SALES
4PCS 6-1-22 JO#157694 SALES
4PCS 5-26-22 STF#1795 SPC
4PCS - 11/04/2021 JO#11686 MARIBEL
4PCS - 10/31/2021 LIPA A
</t>
        </r>
      </text>
    </comment>
    <comment ref="G96" authorId="0" shapeId="0" xr:uid="{620E8FC5-B9C8-5249-8C73-7C970C5C4F21}">
      <text>
        <r>
          <rPr>
            <sz val="10"/>
            <rFont val="SimSun"/>
            <charset val="134"/>
          </rPr>
          <t xml:space="preserve">4PCS - 4-14-21 STF#4667 SPC
</t>
        </r>
      </text>
    </comment>
    <comment ref="H96" authorId="0" shapeId="0" xr:uid="{9C05A65A-81E2-4F4B-88CE-021DA7F24B13}">
      <text>
        <r>
          <rPr>
            <sz val="10"/>
            <rFont val="SimSun"/>
            <charset val="134"/>
          </rPr>
          <t>4PCS - 10/28/2021 JO11506 ALY</t>
        </r>
      </text>
    </comment>
    <comment ref="G97" authorId="0" shapeId="0" xr:uid="{F7D863D8-D2BB-2844-9556-61FD237B4D2E}">
      <text>
        <r>
          <rPr>
            <sz val="10"/>
            <rFont val="SimSun"/>
            <charset val="134"/>
          </rPr>
          <t>1PC 1-31-23 STF#7600 SPC
4pcs 12-17-22 STF#7396 SPC
4PC 04-23-2022 ST001882 LIPA A
2PC 04-19-2022 ST006220 SPC
4PCS 4-6-22 STF#6169 SPC
4PCS - 11/20/2021 ST005552 SPC</t>
        </r>
      </text>
    </comment>
    <comment ref="H97" authorId="0" shapeId="0" xr:uid="{8F2DE78C-ED94-9E44-8C08-7D77D5976E56}">
      <text>
        <r>
          <rPr>
            <sz val="10"/>
            <rFont val="SimSun"/>
            <charset val="134"/>
          </rPr>
          <t>1PC 1-31-23 JO#21382 ALY
2PC 1-15-23 ST002214 LIPA A
2PCS 1-3-22 JO#20573 BEL
2PCS 6-15-22 STF#1822 SPC
2PCS 5-26-22 JO#15614 SALES
2PC 05-17-2022 ST001783 SPC
2PC 05-06-2022 ST001771 LIPA A
4PC 04-23-2022 JO14917 SALES
2PC 04-18-2022 JO14798 SALES
2PCS 1-11-22 STF#1584 SPC
2PCS 1-4-21 STF#1569 A
4PCS - 10/27/2021 JO11525 JARVIS</t>
        </r>
      </text>
    </comment>
    <comment ref="I97" authorId="0" shapeId="0" xr:uid="{9AEC8067-53BA-874A-A481-7421B3ADCD60}">
      <text>
        <r>
          <rPr>
            <sz val="10"/>
            <rFont val="SimSun"/>
            <charset val="134"/>
          </rPr>
          <t>DOT 2022</t>
        </r>
      </text>
    </comment>
    <comment ref="G98" authorId="0" shapeId="0" xr:uid="{5F74DB5F-BCB3-1F4E-BB59-D86F87E9163B}">
      <text>
        <r>
          <rPr>
            <sz val="10"/>
            <rFont val="SimSun"/>
            <charset val="134"/>
          </rPr>
          <t>4pcs 1-14-22 stf#1713 A</t>
        </r>
      </text>
    </comment>
    <comment ref="H98" authorId="0" shapeId="0" xr:uid="{A831E41A-1387-3245-8AD2-02CE1921E070}">
      <text>
        <r>
          <rPr>
            <sz val="10"/>
            <rFont val="SimSun"/>
            <charset val="134"/>
          </rPr>
          <t>4PCS 1-17-22 STF#1594 STC
4PCS 12-6-21 STF#1526  SPC
4PCS 1-4-21 STF#1569 A
4PC 12-11-2021 JO#12356 SALES
4PC 12-06-2021 ST001526 SPC
2PCS - 10/29/2021 JO11564 MARIBEL</t>
        </r>
      </text>
    </comment>
    <comment ref="G99" authorId="0" shapeId="0" xr:uid="{B73B3DB8-AF5B-3E48-B94C-9CCD7EA1DAB3}">
      <text>
        <r>
          <rPr>
            <sz val="10"/>
            <rFont val="SimSun"/>
            <charset val="134"/>
          </rPr>
          <t>2PC 1-21-23 ST000932 STC
2pcs 1-20-23 STF#7538 SPC
4PCS 12-2-22 STF#7317 SPC
2PC 04-16-2022 ST006204 SPC
2PC 04-11-2022 ST006192 SPC
4PCS 4-6-22 STF#6169 SPC
4PCS 10-18-21 STF#5407 SPC</t>
        </r>
      </text>
    </comment>
    <comment ref="H99" authorId="0" shapeId="0" xr:uid="{0B314433-E3F7-0C46-B6B3-10F371B22474}">
      <text>
        <r>
          <rPr>
            <sz val="10"/>
            <rFont val="SimSun"/>
            <charset val="134"/>
          </rPr>
          <t>4PCS 1-22-23 JO#21115 ALY
2PCS 5-21-22 STF#1788 SPC
2PC 05-20-2022 JO1548 SALES
2PC 04-14-2022 JO14761 SALES
2PC 04-08-2022 JO14608 SALES
2PC 03-26-2022 ST001696 SPC
2PC 03-10-2022 ST001668 LIPA A
2PCS 2-11-22 STF#1631 SPC
2pcs 1-31-22 stf#1614 spc
12PCS 12-29-21 STF#1565 SPC
1PC - 11/19/2021 ST001492 SPC
1PC 11-13-21 JO#11872  SALES MARLO</t>
        </r>
      </text>
    </comment>
    <comment ref="G100" authorId="0" shapeId="0" xr:uid="{CA056736-02B8-2E47-81D3-C2071E8F71DD}">
      <text>
        <r>
          <rPr>
            <sz val="10"/>
            <rFont val="SimSun"/>
            <charset val="134"/>
          </rPr>
          <t xml:space="preserve">
4PCS 4-6-22 STF#6169 SPC
2PC 12-06-2021 ST001647  LIPA A
2PC 12-06-2021 ST005623 SPC
2PC 12-04-2021 ST001644 LIPA A
4PCS 11-9-21 STF#5495  SPC</t>
        </r>
      </text>
    </comment>
    <comment ref="H100" authorId="0" shapeId="0" xr:uid="{1EA34B52-6C6A-FA45-BB81-CF6EE1AC4BD6}">
      <text>
        <r>
          <rPr>
            <sz val="10"/>
            <rFont val="SimSun"/>
            <charset val="134"/>
          </rPr>
          <t>2PCS 7-5-22 STF#1861 SPC
2PCS 6-15-22 STF#1822 SPC
4PCS 5-26-22 STF#1795 SPC
4PC 12-06-2021 JO#12255 MARIBEL 
2PC 12-04-21 JO#12249 JARVIS
4PC 12-01-2021 JO#12225 BEL
1PC 11-13-21 JO#11872 MARLO
2PCS - 11/2/2021 JO11659 JARVIS</t>
        </r>
      </text>
    </comment>
    <comment ref="G101" authorId="0" shapeId="0" xr:uid="{37E20EB9-972C-0649-B491-38C7068C9BF6}">
      <text>
        <r>
          <rPr>
            <sz val="10"/>
            <rFont val="SimSun"/>
            <charset val="134"/>
          </rPr>
          <t>4PCS 5-12-23 STF#2420  LIPA A
4PCS 3-2-23 STF#2341 LIPA A
4pcs 2-25-23 STF#7745 SPC
4PCS 1-30-23 STF#7593 SPC
4PCS 12-12-22 JO#7369 SPC
4PCS 12-1-22 STF#7312 SPC</t>
        </r>
      </text>
    </comment>
    <comment ref="H101" authorId="0" shapeId="0" xr:uid="{4125DA07-C095-B146-B5BE-F1D738923D74}">
      <text>
        <r>
          <rPr>
            <sz val="10"/>
            <rFont val="SimSun"/>
            <charset val="134"/>
          </rPr>
          <t>4pcs 5-12-23 JO#25245 JARVIS
1PC 3-24-23 JO#23353 JARVIS
1pc 3-20-23 JO#22739 JARVIS
4pcs 2-25-23 JO#21991 BEL
2PCS 2-22-23 STF#2305 SPC
2PCS 2-3-23 STF#2263 LIPA A
1PC 1-9-23 STF#2202 SPC
2PCS 1-4-22 STF#2187 SPC
1PC 12-27-22 JO#20475 BEL
1PC 12-11-22 JO#2097 ALY</t>
        </r>
      </text>
    </comment>
    <comment ref="G102" authorId="0" shapeId="0" xr:uid="{A932AEB5-352E-994E-8256-6180FE6DF4C4}">
      <text>
        <r>
          <rPr>
            <sz val="10"/>
            <rFont val="SimSun"/>
            <charset val="134"/>
          </rPr>
          <t>4pcs 1-26-22 STF#5812 SPC
4PCS - 10/24/2021 ST001580 LIPA A</t>
        </r>
      </text>
    </comment>
    <comment ref="H102" authorId="0" shapeId="0" xr:uid="{681CBC24-BFB4-7E49-A93E-EE6F326BC34F}">
      <text>
        <r>
          <rPr>
            <sz val="10"/>
            <rFont val="SimSun"/>
            <charset val="134"/>
          </rPr>
          <t xml:space="preserve">2PCS 7-6-22 STF#1864 SPC
4PCS 1-29-22 STF#1610 SPC
2PC 01-22-2022 JO#13076 BEL
</t>
        </r>
      </text>
    </comment>
    <comment ref="I102" authorId="0" shapeId="0" xr:uid="{D7BBBBF4-C571-A742-8168-7CFBA605F862}">
      <text>
        <r>
          <rPr>
            <sz val="10"/>
            <rFont val="SimSun"/>
            <charset val="134"/>
          </rPr>
          <t>DOT 2021</t>
        </r>
      </text>
    </comment>
    <comment ref="G104" authorId="0" shapeId="0" xr:uid="{3979B794-79F6-BD45-9E49-A30FB5AED963}">
      <text>
        <r>
          <rPr>
            <sz val="10"/>
            <rFont val="SimSun"/>
            <charset val="134"/>
          </rPr>
          <t>2PCS 2-4-23 STF#7621 SPC
4PCS 1-16-23 STF#7515 SPC
2PCS 12-16-22 STF#7389 SPC
8PCS 10-12-22 STF#7093 SPC</t>
        </r>
      </text>
    </comment>
    <comment ref="H104" authorId="0" shapeId="0" xr:uid="{87755DF8-1BE0-A94C-BE4D-00D8D5D3A0BA}">
      <text>
        <r>
          <rPr>
            <sz val="10"/>
            <rFont val="SimSun"/>
            <charset val="134"/>
          </rPr>
          <t>2PCS 2-4-23 JO#21481 ALY
2PCS 1-22-23 JO#21117 ALY
2PCS 1-21-23 JO21070 BEL
4PCS 1-9-23 STF#2201 LIPA A
4PCS 12-3-22 STF#2112 SPC
2PCS 11-29-22 JO#19863 ALY</t>
        </r>
      </text>
    </comment>
    <comment ref="G105" authorId="0" shapeId="0" xr:uid="{A42F9062-328F-EE44-8259-686F4A40F89B}">
      <text>
        <r>
          <rPr>
            <sz val="10"/>
            <rFont val="SimSun"/>
            <charset val="134"/>
          </rPr>
          <t>4PCS 3-22-23 STF#7886 SPC
4PCS 12-2-22 STF#7317 SPC</t>
        </r>
      </text>
    </comment>
    <comment ref="H105" authorId="0" shapeId="0" xr:uid="{49466FD4-83D4-C740-AF16-02ADE374D0AF}">
      <text>
        <r>
          <rPr>
            <sz val="10"/>
            <rFont val="SimSun"/>
            <charset val="134"/>
          </rPr>
          <t>1PC 6-8-23 STF#2496 SPC
2PCS 4-15-23 JO#24624 BEL
1PC 4-5-23 JO#23400 HANNAH
2PCS 12-21-22 STF#2164 SPC</t>
        </r>
      </text>
    </comment>
    <comment ref="G106" authorId="0" shapeId="0" xr:uid="{C2CCA1F1-EF66-8F47-8D18-6C7123AF4D57}">
      <text>
        <r>
          <rPr>
            <sz val="10"/>
            <rFont val="SimSun"/>
            <charset val="134"/>
          </rPr>
          <t>4PCS 2-5-23 STF#7632 SPC
4PCS 1-14-23 STF#7511 SPC
4PCS 12-19-22 STF#7403 SPC
4pcs 12-17-22 STF#7396 SPC
4PC 03-19-2022 ST001832 LIPA A
2PCS 1-17-22 STF#5778 SPC
4PCS - 11/20/2021 ST005552 SPC
4PCS  11-11-21 STF#5511  SPC</t>
        </r>
      </text>
    </comment>
    <comment ref="H106" authorId="0" shapeId="0" xr:uid="{62C089BA-2C1D-3D42-97E4-47A5BA8B11ED}">
      <text>
        <r>
          <rPr>
            <sz val="10"/>
            <rFont val="SimSun"/>
            <charset val="134"/>
          </rPr>
          <t>4PCS 2-5-23 JO#21484 ALY
4PCS 2-1-23 STF#2256 SPC
4PCS 1-5-23 STF#2190 SPC
4PC 12-17-22 JO20251 MARLO
4PC 03-22-2022 JO14140 SALES
4PC 02-15-2022 JO13547 JARVIS
2PCS 12-30-21 STF#1567 SPC
4PCS 12-22-21 JO#12577 MARIBEL</t>
        </r>
      </text>
    </comment>
    <comment ref="G108" authorId="0" shapeId="0" xr:uid="{678D3A0A-D247-804E-9062-4F74ACB98827}">
      <text>
        <r>
          <rPr>
            <sz val="10"/>
            <rFont val="SimSun"/>
            <charset val="134"/>
          </rPr>
          <t xml:space="preserve">
4PCS 3-22-23 STF#7886 SPC
4pcs 12-17-22 STF#7396 SPC
4PCS 12-2-22 STF#7317 SPC
4PCS 5-28-22 STf#1950 LIPA A
4PCS 4-6-22 STF#6169 SPC</t>
        </r>
      </text>
    </comment>
    <comment ref="H108" authorId="0" shapeId="0" xr:uid="{96974E5D-DB98-2B49-B791-6ED3A15A1DA3}">
      <text>
        <r>
          <rPr>
            <sz val="10"/>
            <rFont val="SimSun"/>
            <charset val="134"/>
          </rPr>
          <t xml:space="preserve">3PCS 10-6-23 DR#73905 SPC
1PC 6-30-23 STF#2526 LIPA A
4PCS 1-28-23 JO21296 MARIBEL
4PCS 5-28-22 JO#15671 SALES
4PC 04-24-2022 JO14849 SALES
4PC 02-15-2022 JO13546 jarvis
4pcs 12-24-21 stf#1560 spc
4PCS - 11/02/2021 LIPA A
4PCS - 10/19/2021 SPC </t>
        </r>
      </text>
    </comment>
    <comment ref="G110" authorId="0" shapeId="0" xr:uid="{72768687-FC65-1E45-BF23-F63A997B3D8D}">
      <text>
        <r>
          <rPr>
            <sz val="10"/>
            <rFont val="SimSun"/>
            <charset val="134"/>
          </rPr>
          <t>4PCS 4-25-22 STF#1886 LIPA A
4PCS 4-21-22 STF#6226 SPC
4PCS 4-6-22 STF#6169 SPC</t>
        </r>
      </text>
    </comment>
    <comment ref="H110" authorId="0" shapeId="0" xr:uid="{458260F0-EDCD-8C49-A47D-F6B1DFC30948}">
      <text>
        <r>
          <rPr>
            <sz val="10"/>
            <rFont val="SimSun"/>
            <charset val="134"/>
          </rPr>
          <t xml:space="preserve">3PCS 6-15-22 STF#1822 SITE A
4PC 05-06-2022 ST001771 LIPA A
1PC 05-05-2022 JO15202 SALES
4PC 04-18-2022 JO14799 SALES
</t>
        </r>
      </text>
    </comment>
    <comment ref="I110" authorId="0" shapeId="0" xr:uid="{99CC3098-8923-E443-A73A-3E9DA99121E9}">
      <text>
        <r>
          <rPr>
            <sz val="10"/>
            <rFont val="SimSun"/>
            <charset val="134"/>
          </rPr>
          <t>DOT 2022</t>
        </r>
      </text>
    </comment>
    <comment ref="G111" authorId="0" shapeId="0" xr:uid="{89946EC1-03D4-5746-A9A1-85492A58FE49}">
      <text>
        <r>
          <rPr>
            <sz val="10"/>
            <rFont val="SimSun"/>
            <charset val="134"/>
          </rPr>
          <t>4PCS 3-22-23 STF#7886 SPC</t>
        </r>
      </text>
    </comment>
    <comment ref="H111" authorId="0" shapeId="0" xr:uid="{66796602-1428-6C4C-93FD-E6938CCD9842}">
      <text>
        <r>
          <rPr>
            <sz val="10"/>
            <rFont val="SimSun"/>
            <charset val="134"/>
          </rPr>
          <t>4PCS 4-22-23 STF#2416 SPC</t>
        </r>
      </text>
    </comment>
    <comment ref="G112" authorId="0" shapeId="0" xr:uid="{C52C62C8-1C07-6345-B231-0F9D8AB86753}">
      <text>
        <r>
          <rPr>
            <sz val="10"/>
            <rFont val="SimSun"/>
            <charset val="134"/>
          </rPr>
          <t>4PCS 12-1-22 STF#7309 SPC</t>
        </r>
      </text>
    </comment>
    <comment ref="H112" authorId="0" shapeId="0" xr:uid="{674E4376-3C89-424A-BE9D-E64C3A85698C}">
      <text>
        <r>
          <rPr>
            <sz val="10"/>
            <rFont val="SimSun"/>
            <charset val="134"/>
          </rPr>
          <t>4pcs 12-30-22 JO#20565 BEL</t>
        </r>
      </text>
    </comment>
    <comment ref="G113" authorId="0" shapeId="0" xr:uid="{9F0B5022-61B6-CA40-99B4-6F1630D0E094}">
      <text>
        <r>
          <rPr>
            <sz val="10"/>
            <rFont val="SimSun"/>
            <charset val="134"/>
          </rPr>
          <t>1pc 3-15-23 STF#7845 SPC
2PCS 6-22-22 STF#6519 SPC
4PCS 12-22-21 STF#5691 SPC</t>
        </r>
      </text>
    </comment>
    <comment ref="H113" authorId="0" shapeId="0" xr:uid="{AFB18092-A254-944B-B73C-1A5C0D99BFAD}">
      <text>
        <r>
          <rPr>
            <sz val="10"/>
            <rFont val="SimSun"/>
            <charset val="134"/>
          </rPr>
          <t>1PC 3-15-23 JO#22395 BEL
2PCS 10-12-22 STF#2011 SPC
2PCS 7-5-22 STF#1858 SITE A
2PCS 6-4-22 STF#1815 LIPA A
4PC 12-11-2021 JO#12362 SALES</t>
        </r>
      </text>
    </comment>
    <comment ref="I113" authorId="0" shapeId="0" xr:uid="{1001A274-1A50-7045-A9AE-6938B84B7A28}">
      <text>
        <r>
          <rPr>
            <sz val="10"/>
            <rFont val="SimSun"/>
            <charset val="134"/>
          </rPr>
          <t>DOT 2021</t>
        </r>
      </text>
    </comment>
    <comment ref="G114" authorId="0" shapeId="0" xr:uid="{53931785-0881-C24A-B7D4-51605F57AF60}">
      <text>
        <r>
          <rPr>
            <sz val="10"/>
            <rFont val="SimSun"/>
            <charset val="134"/>
          </rPr>
          <t>2PCS 2-9-22 STF#5894 SPC</t>
        </r>
      </text>
    </comment>
    <comment ref="H114" authorId="0" shapeId="0" xr:uid="{D344115B-1CAA-8D4B-9B2F-D25F22191A50}">
      <text>
        <r>
          <rPr>
            <sz val="10"/>
            <rFont val="SimSun"/>
            <charset val="134"/>
          </rPr>
          <t>2PCS 2-9-22 JO#13397 JARVIS
4PCS  12-6-21 STF#1528 SPC</t>
        </r>
      </text>
    </comment>
    <comment ref="G115" authorId="0" shapeId="0" xr:uid="{99016673-B0C5-9749-926E-EBAEE6BD2DD9}">
      <text>
        <r>
          <rPr>
            <sz val="10"/>
            <rFont val="SimSun"/>
            <charset val="134"/>
          </rPr>
          <t>1PC 10-26-22 STF#7162 SPC
3PCS - 11/2/2021 ST001599 LIPA A</t>
        </r>
      </text>
    </comment>
    <comment ref="H115" authorId="0" shapeId="0" xr:uid="{756D6107-9F67-4543-A9E7-E95F8AEC6928}">
      <text>
        <r>
          <rPr>
            <sz val="10"/>
            <rFont val="SimSun"/>
            <charset val="134"/>
          </rPr>
          <t>1PC 10-27-22 JO#19025 MARLO
3PC 12-06-2021 ST001526 SPC
4PCS 11-30-21 JO#12159 ELRICK</t>
        </r>
      </text>
    </comment>
    <comment ref="G116" authorId="0" shapeId="0" xr:uid="{26568F33-1D10-8045-A18D-8B6920F237DC}">
      <text>
        <r>
          <rPr>
            <sz val="10"/>
            <rFont val="SimSun"/>
            <charset val="134"/>
          </rPr>
          <t>4pcs 2-3-23 STF#2312 LIPA A
4PCS 1-16-23 STF#7515 SPC</t>
        </r>
      </text>
    </comment>
    <comment ref="H116" authorId="0" shapeId="0" xr:uid="{3A97CD9E-22EE-C142-BF52-B612BDA6DEB8}">
      <text>
        <r>
          <rPr>
            <sz val="10"/>
            <rFont val="SimSun"/>
            <charset val="134"/>
          </rPr>
          <t>4PCS 2-18-23 JO#21806 BEL
4PCS 2-2-23 STF#2259 LIPA A</t>
        </r>
      </text>
    </comment>
    <comment ref="G117" authorId="0" shapeId="0" xr:uid="{7375F054-0A51-CA46-86CA-B69FEDDCC154}">
      <text>
        <r>
          <rPr>
            <sz val="10"/>
            <rFont val="SimSun"/>
            <charset val="134"/>
          </rPr>
          <t>4PCS 12-1-22 STF#7309 SPC
2PC 11-25-21 ST001631 LIPA A</t>
        </r>
      </text>
    </comment>
    <comment ref="H117" authorId="0" shapeId="0" xr:uid="{C3E99166-CEAB-8F42-B18A-974FB2DEC589}">
      <text>
        <r>
          <rPr>
            <sz val="10"/>
            <rFont val="SimSun"/>
            <charset val="134"/>
          </rPr>
          <t>4PCS 3-10-23 JO#2228 ROSE
2PC 11-25-21 JO#12008 ELRICK</t>
        </r>
      </text>
    </comment>
    <comment ref="G118" authorId="0" shapeId="0" xr:uid="{6B33AC3E-C157-4E44-BEF3-39ECED738EF5}">
      <text>
        <r>
          <rPr>
            <sz val="10"/>
            <rFont val="SimSun"/>
            <charset val="134"/>
          </rPr>
          <t>1PC 8-24-23 DR#74162 SPC
4pcs 12-17-22 STF#7396 SPC
4PCS 12-3-22 STF#7323 SPC</t>
        </r>
      </text>
    </comment>
    <comment ref="H118" authorId="0" shapeId="0" xr:uid="{57C3299A-DC3B-2449-BD33-6FAA783B0681}">
      <text>
        <r>
          <rPr>
            <sz val="10"/>
            <rFont val="SimSun"/>
            <charset val="134"/>
          </rPr>
          <t>4PCS 8-25-23 JO#27752 MARLO
4PCS 1-18-23 JO#21007 MARLO
2PCS - 11/19/2021 ST001492 SPC</t>
        </r>
      </text>
    </comment>
    <comment ref="G119" authorId="0" shapeId="0" xr:uid="{651949B0-C66D-CF43-B157-63B77367407B}">
      <text>
        <r>
          <rPr>
            <sz val="10"/>
            <rFont val="SimSun"/>
            <charset val="134"/>
          </rPr>
          <t>4PCS 3-22-23 STF#7886 SPC
4PCS 12-1-22 STF#7312 SPC</t>
        </r>
      </text>
    </comment>
    <comment ref="H119" authorId="0" shapeId="0" xr:uid="{BFBDB389-399B-5541-90FD-636CE7AE9E1F}">
      <text>
        <r>
          <rPr>
            <sz val="10"/>
            <rFont val="SimSun"/>
            <charset val="134"/>
          </rPr>
          <t>2pc 4-23-23 st002420 spc
2PC 4-14-23 JO24601 2PC MARLO
4pcs 2-25-23 STF#2310 SPC</t>
        </r>
      </text>
    </comment>
    <comment ref="G120" authorId="0" shapeId="0" xr:uid="{2B0794C8-7B3E-AB43-9AAD-275BF315C51E}">
      <text>
        <r>
          <rPr>
            <sz val="10"/>
            <rFont val="SimSun"/>
            <charset val="134"/>
          </rPr>
          <t>2PCS 12-9-22 STF#7357 SPC
4PCS 12-1-22 STF#7309 SPC</t>
        </r>
      </text>
    </comment>
    <comment ref="H120" authorId="0" shapeId="0" xr:uid="{B6B2DD5E-92BB-5849-9B24-56899765A1A1}">
      <text>
        <r>
          <rPr>
            <sz val="10"/>
            <rFont val="SimSun"/>
            <charset val="134"/>
          </rPr>
          <t>1PC 8-31-23 DR#72245 SPC
1PC  7-3-23 STF#2532 SPC
1PC 4-1-23 JO23789 JARVIS
4PCS 12-12-22 JO#20113 ALY
2PCS 12-6-22 JO#200568 MARLO</t>
        </r>
      </text>
    </comment>
    <comment ref="G121" authorId="0" shapeId="0" xr:uid="{3541A74A-4662-B74F-A9E9-6B4D84378F41}">
      <text>
        <r>
          <rPr>
            <sz val="10"/>
            <rFont val="SimSun"/>
            <charset val="134"/>
          </rPr>
          <t>4PCS 5-25-22 STF#6397 SPC
4PCS 4-18-22 STF#1874 LIPA A</t>
        </r>
      </text>
    </comment>
    <comment ref="H121" authorId="0" shapeId="0" xr:uid="{12533980-FA3E-FE44-B61E-43C522B6F94E}">
      <text>
        <r>
          <rPr>
            <sz val="10"/>
            <rFont val="SimSun"/>
            <charset val="134"/>
          </rPr>
          <t>4PCS 5-26-22 JO#15580 SALES
4PC 04-18-2022 JO14800 SALES
4PCS 2-28-22 JO#13776 PAUL
2PCS 1-11-22 STF#1584 SPC
2PCS 1-4-21 STF#1569 A</t>
        </r>
      </text>
    </comment>
    <comment ref="G122" authorId="0" shapeId="0" xr:uid="{20AA18F6-F0F9-4648-A4AF-3852234F1290}">
      <text>
        <r>
          <rPr>
            <sz val="10"/>
            <rFont val="SimSun"/>
            <charset val="134"/>
          </rPr>
          <t>4pcs 2-25-23 STF#7745 SPC</t>
        </r>
      </text>
    </comment>
    <comment ref="H122" authorId="0" shapeId="0" xr:uid="{E18CBE1B-190A-CC4D-B07C-231621B41A3B}">
      <text>
        <r>
          <rPr>
            <sz val="10"/>
            <rFont val="SimSun"/>
            <charset val="134"/>
          </rPr>
          <t>4pcs 1-6-24 DR#73359 SPC OLD DOT</t>
        </r>
      </text>
    </comment>
    <comment ref="I122" authorId="0" shapeId="0" xr:uid="{939B86AD-65E3-2C46-A857-4B6254788BDE}">
      <text>
        <r>
          <rPr>
            <sz val="10"/>
            <rFont val="SimSun"/>
            <charset val="134"/>
          </rPr>
          <t>2022</t>
        </r>
      </text>
    </comment>
    <comment ref="H123" authorId="0" shapeId="0" xr:uid="{2D268C95-BA07-7542-95D8-545CBCB8B7D7}">
      <text>
        <r>
          <rPr>
            <sz val="10"/>
            <rFont val="SimSun"/>
            <charset val="134"/>
          </rPr>
          <t>2PCS 4-4-22 STF#1707 LIPA A
2PCS 1-6-22 JO#12728 MARLO</t>
        </r>
      </text>
    </comment>
    <comment ref="G124" authorId="0" shapeId="0" xr:uid="{CCA3DC08-43A2-734D-BDAB-DCA53EB2A818}">
      <text>
        <r>
          <rPr>
            <sz val="10"/>
            <rFont val="SimSun"/>
            <charset val="134"/>
          </rPr>
          <t>2PC 6-20-22 ST006508 SPC
4PCS 01-05-2022 ST005730 SPC
4PC 12-09-2021 ST005634 SPC</t>
        </r>
      </text>
    </comment>
    <comment ref="H124" authorId="0" shapeId="0" xr:uid="{9070332F-6130-194E-8FB0-6007B681CC7E}">
      <text>
        <r>
          <rPr>
            <sz val="10"/>
            <rFont val="SimSun"/>
            <charset val="134"/>
          </rPr>
          <t>4 PC 6-20-22 JO16135 SALES
2PCS 5-26-22 STF#1795 SPC
4PCS 1-4-22 JO#12781 JARVIS</t>
        </r>
      </text>
    </comment>
    <comment ref="I124" authorId="0" shapeId="0" xr:uid="{0D62C012-C65C-6649-AA02-B0347C9B004F}">
      <text>
        <r>
          <rPr>
            <sz val="10"/>
            <rFont val="SimSun"/>
            <charset val="134"/>
          </rPr>
          <t>DOT 2021</t>
        </r>
      </text>
    </comment>
    <comment ref="G125" authorId="0" shapeId="0" xr:uid="{32A62528-B0B3-2243-94F1-8A35D8E8402F}">
      <text>
        <r>
          <rPr>
            <sz val="10"/>
            <rFont val="SimSun"/>
            <charset val="134"/>
          </rPr>
          <t xml:space="preserve">4PC 11-27-2021 ST001632 LIPA A
</t>
        </r>
      </text>
    </comment>
    <comment ref="H125" authorId="0" shapeId="0" xr:uid="{5294093A-D668-6B46-8348-D2B241A541D8}">
      <text>
        <r>
          <rPr>
            <sz val="10"/>
            <rFont val="SimSun"/>
            <charset val="134"/>
          </rPr>
          <t>2PC 01-20-2022 ST001599 SPC
2PCS 11-27-2021 JO#12084 JARVIS
4PCS 11-19-21 JO#11975 SALES</t>
        </r>
      </text>
    </comment>
    <comment ref="G126" authorId="0" shapeId="0" xr:uid="{A878A738-0AFF-064D-9D8B-17F696BFCD9E}">
      <text>
        <r>
          <rPr>
            <sz val="10"/>
            <rFont val="SimSun"/>
            <charset val="134"/>
          </rPr>
          <t>2PCS - 11/2/2021 ST001599 LIPA A</t>
        </r>
      </text>
    </comment>
    <comment ref="H126" authorId="0" shapeId="0" xr:uid="{F7628B02-F899-4D4A-BB46-C031EDB79C8E}">
      <text>
        <r>
          <rPr>
            <sz val="10"/>
            <rFont val="SimSun"/>
            <charset val="134"/>
          </rPr>
          <t>4PCS 2-4-22 JO#13353 PAUL
1PC 1-11-22 STF#1584 SPC</t>
        </r>
      </text>
    </comment>
    <comment ref="G127" authorId="0" shapeId="0" xr:uid="{1B5268D8-B775-FC40-B588-C1D140B9BFDF}">
      <text>
        <r>
          <rPr>
            <sz val="10"/>
            <rFont val="SimSun"/>
            <charset val="134"/>
          </rPr>
          <t>4PCS 3-22-23 STF#7886 SPC
4PC 12-09-2021 ST005634 SPC</t>
        </r>
      </text>
    </comment>
    <comment ref="H127" authorId="0" shapeId="0" xr:uid="{DCA7DFAB-68DB-884A-9B16-ECD2A398450A}">
      <text>
        <r>
          <rPr>
            <sz val="10"/>
            <rFont val="SimSun"/>
            <charset val="134"/>
          </rPr>
          <t>4pcs 1-10-24 DR#73374 SPC
4PCS 01-14-2022 ST001589 LIPA A</t>
        </r>
      </text>
    </comment>
    <comment ref="I127" authorId="0" shapeId="0" xr:uid="{B5CA8684-9CAE-5D4F-B3CC-9560ADF47FEF}">
      <text>
        <r>
          <rPr>
            <sz val="10"/>
            <rFont val="SimSun"/>
            <charset val="134"/>
          </rPr>
          <t xml:space="preserve">2022
</t>
        </r>
      </text>
    </comment>
    <comment ref="G128" authorId="0" shapeId="0" xr:uid="{801C5E51-5A10-6947-AB44-20E7026BA040}">
      <text>
        <r>
          <rPr>
            <sz val="10"/>
            <rFont val="SimSun"/>
            <charset val="134"/>
          </rPr>
          <t>4PCS 1-30-23 STF#7594 SPC</t>
        </r>
      </text>
    </comment>
    <comment ref="H128" authorId="0" shapeId="0" xr:uid="{EEBBCFE8-7394-A14A-BD09-FFA9C8C6B471}">
      <text>
        <r>
          <rPr>
            <sz val="10"/>
            <rFont val="SimSun"/>
            <charset val="134"/>
          </rPr>
          <t>4pcs 1-6-24 DR#73359 SPC OLD DOT</t>
        </r>
      </text>
    </comment>
    <comment ref="I128" authorId="0" shapeId="0" xr:uid="{A81A38DC-0995-EE48-95FA-27652129B5E4}">
      <text>
        <r>
          <rPr>
            <sz val="10"/>
            <rFont val="SimSun"/>
            <charset val="134"/>
          </rPr>
          <t>2021</t>
        </r>
      </text>
    </comment>
    <comment ref="H129" authorId="0" shapeId="0" xr:uid="{34D1AB75-2D7E-E34E-AFC6-B9283CAFDD77}">
      <text>
        <r>
          <rPr>
            <sz val="10"/>
            <rFont val="SimSun"/>
            <charset val="134"/>
          </rPr>
          <t xml:space="preserve">2pcs 6-18-22 stf#1829 stc
2PC 05-06-2022 ST001770 SPC
</t>
        </r>
      </text>
    </comment>
    <comment ref="I129" authorId="0" shapeId="0" xr:uid="{BE93789F-45B9-074A-A2AB-5004A4515B76}">
      <text>
        <r>
          <rPr>
            <sz val="10"/>
            <rFont val="SimSun"/>
            <charset val="134"/>
          </rPr>
          <t>DOT 2020</t>
        </r>
      </text>
    </comment>
    <comment ref="G131" authorId="0" shapeId="0" xr:uid="{7C3262DE-C2C0-2B44-B00B-7A3523041626}">
      <text>
        <r>
          <rPr>
            <sz val="10"/>
            <rFont val="SimSun"/>
            <charset val="134"/>
          </rPr>
          <t>8PCS 4-6-22 STF#6169 SPC
4PCS 01-05-2022 ST005730 SPC
4PC 12-09-2021 ST005634 SPC</t>
        </r>
      </text>
    </comment>
    <comment ref="H131" authorId="0" shapeId="0" xr:uid="{DCAFC713-993A-3F47-8869-2A45C9894E7A}">
      <text>
        <r>
          <rPr>
            <sz val="10"/>
            <rFont val="SimSun"/>
            <charset val="134"/>
          </rPr>
          <t>1PC 6-15-22 STF#1822 SPC
1PC 5-26-22 STF#1795 SPC
2PCS 4-21-22 STF#1739 SPC
4pcs 4-16-22 stf#1733 SPC
2PCS 2-2-22 JO#13221 JARVIS
2PC 02-01-2022 JO13219 JARVIS
4PCS 1-21-22 JO#12990 JARVIS</t>
        </r>
      </text>
    </comment>
    <comment ref="I131" authorId="0" shapeId="0" xr:uid="{E4745BCB-4F82-DE4B-AD5B-989806BC89DB}">
      <text>
        <r>
          <rPr>
            <sz val="10"/>
            <rFont val="SimSun"/>
            <charset val="134"/>
          </rPr>
          <t>DOT 2021</t>
        </r>
      </text>
    </comment>
    <comment ref="G132" authorId="0" shapeId="0" xr:uid="{3CF785B6-5F68-E443-8502-E315F16A7F70}">
      <text>
        <r>
          <rPr>
            <sz val="10"/>
            <rFont val="SimSun"/>
            <charset val="134"/>
          </rPr>
          <t>5pcs MOTOZENTRUM
3PCS MAD WHEELS
2PC 05-14-2022 ST006339 SPC
8PCS 4-6-22 STF#6169 SPC</t>
        </r>
      </text>
    </comment>
    <comment ref="H132" authorId="0" shapeId="0" xr:uid="{5ABD0E5D-A1D0-9947-8D5A-6DB68EF523F4}">
      <text>
        <r>
          <rPr>
            <sz val="10"/>
            <rFont val="SimSun"/>
            <charset val="134"/>
          </rPr>
          <t xml:space="preserve">4PC 7-3-22 JO16434 JARVIS
4PCS 5-29-22 JO#15555 SALES
4PC 05-21-2022 JO15465 SALES
2PC 05-05-2022 JO14949 SALES
4PC 04-29-2022 JO15028 SALES
</t>
        </r>
      </text>
    </comment>
    <comment ref="I132" authorId="0" shapeId="0" xr:uid="{CC506665-E34A-FB4F-A3C5-614265EE510F}">
      <text>
        <r>
          <rPr>
            <sz val="10"/>
            <rFont val="SimSun"/>
            <charset val="134"/>
          </rPr>
          <t xml:space="preserve">
dot 2021</t>
        </r>
      </text>
    </comment>
    <comment ref="G133" authorId="0" shapeId="0" xr:uid="{4FE89C33-52EB-0F43-B388-CEA23AE249CC}">
      <text>
        <r>
          <rPr>
            <sz val="10"/>
            <rFont val="SimSun"/>
            <charset val="134"/>
          </rPr>
          <t>4PCS 4-4-23 STF#7953 SPC
4PCS 3-22-23 STF#7886 SPC</t>
        </r>
      </text>
    </comment>
    <comment ref="H133" authorId="0" shapeId="0" xr:uid="{FE49C44C-D451-FD46-B999-E4FE3A0AB802}">
      <text>
        <r>
          <rPr>
            <sz val="10"/>
            <rFont val="SimSun"/>
            <charset val="134"/>
          </rPr>
          <t>4PCS 9-25-23 DR#72289 LIPA A
4PCS 3-25-23 STF#2364 SPC</t>
        </r>
      </text>
    </comment>
    <comment ref="G134" authorId="0" shapeId="0" xr:uid="{B1157BA6-FF0D-E142-A2EE-C5239D6AF866}">
      <text>
        <r>
          <rPr>
            <sz val="10"/>
            <rFont val="SimSun"/>
            <charset val="134"/>
          </rPr>
          <t xml:space="preserve">4pc 02-26-2022 ST005982 SPC
 </t>
        </r>
      </text>
    </comment>
    <comment ref="H134" authorId="0" shapeId="0" xr:uid="{A46E378C-C27A-8141-BF2F-29F8E02473F7}">
      <text>
        <r>
          <rPr>
            <sz val="10"/>
            <rFont val="SimSun"/>
            <charset val="134"/>
          </rPr>
          <t xml:space="preserve">2PC 03-26-2022 ST001696 SPC
2PC 02-26-2022 JO13774 SALES
</t>
        </r>
      </text>
    </comment>
    <comment ref="H135" authorId="0" shapeId="0" xr:uid="{F49A8448-D086-834E-B928-7FA1E26B7E0C}">
      <text>
        <r>
          <rPr>
            <sz val="10"/>
            <rFont val="SimSun"/>
            <charset val="134"/>
          </rPr>
          <t>2PCS 5-21-22 STF#1788 SPC
4PCS - 11/3/2021 JO11609 PAUL</t>
        </r>
      </text>
    </comment>
    <comment ref="G137" authorId="0" shapeId="0" xr:uid="{459095BA-3407-0B45-93FD-800802EFDF94}">
      <text>
        <r>
          <rPr>
            <sz val="10"/>
            <rFont val="SimSun"/>
            <charset val="134"/>
          </rPr>
          <t>4pcs 2-21-24 DR# SPC
1pc 2-17-24 DR#73406 LIPA A
100PCS 12-28-23 DR#81643 DYMANS</t>
        </r>
      </text>
    </comment>
    <comment ref="H137" authorId="0" shapeId="0" xr:uid="{F27A1C8F-5C47-1048-8919-5A8351C0DDAB}">
      <text>
        <r>
          <rPr>
            <sz val="10"/>
            <rFont val="SimSun"/>
            <charset val="134"/>
          </rPr>
          <t>4pcs 2-22-24 32153 BEL
OUT 2-17-2024
JO#31969 4PCS SALES MARLO 
OUT 2-11-24 JO#31819 4PCS SLAES
OUT 2-8-24 DR#74664-65 20PCS  SPC
OUT 2-3-24 DR#74658-59 4PCS SPC
OUT 1-28-24 JO#31453 4PCS SALES
OUT 01-23-2024
31291 2PCS SALES MARIBEL
OUT 01-20-2024
31232 2PCS SALES
OUT 1-17-24 DR#73388 17PCS SPC
OUT 01-13-2024
31000 4PCS SALES JOHNLY
OUT 01-08-2024
30898 4PCS SALES
20PCS 1-8-24 DR#73367 SPC
8pcs 1-2-23 DR#73998 LIPA A
8pcs 1-2-23 DR#73997 SPC</t>
        </r>
      </text>
    </comment>
    <comment ref="G138" authorId="0" shapeId="0" xr:uid="{EE2A2213-3981-F641-85E9-371F96F65E31}">
      <text>
        <r>
          <rPr>
            <sz val="10"/>
            <rFont val="SimSun"/>
            <charset val="134"/>
          </rPr>
          <t>IN 2PCS 05/31/24 DR#73485 LIPA A
IN 4PCS 05/25/24 DR#75162 SPC KUYA HACKET
IN 1PCS 05/20/24 DR#73481 LIPA A
IN 4PCS 04/22/24 DR#SP0050 SPC
100PCS 12-28-23 DR#81643 DYMANS</t>
        </r>
      </text>
    </comment>
    <comment ref="H138" authorId="0" shapeId="0" xr:uid="{379425E2-7E88-B84F-93DD-9C472D541DC7}">
      <text>
        <r>
          <rPr>
            <sz val="10"/>
            <rFont val="SimSun"/>
            <charset val="134"/>
          </rPr>
          <t>OUT 05/31/24 34735 2PCS SALES BEL
OUT 05/28/24 34655 2PCS SALES BEL
OUT 05/27/24 34625 2PCS SALES  BEL
OUT 05/22/24 34512 1PCS SALES JARVIS
OUT 4PCS 05/20/24 DR#75074 SPC KUYA BOYONG
OUT 05/11/24 34242 4PCS SALES JARVIS
OUT 8PCS 04/15/24 DR#74774 SPC
OUT 8PCS 3/10/24 DR#74703 SPC PICK UP MASTER
2PCS 2-24-24 32147 MARLO
4pcs 2-15-24 31925 SALES
4PCS 2-14-24 31875 SALES
OUT 2-8-24 DR#74664-65 20PCS  SPC
OUT 2-3-24 DR#74658-59 4PCS SPC
OUT 1-17-24 DR#73388 8PCS SPC
20PCS 1-8-24 DR#73367 SPC
2PCS 1-6-24 JO#30857 JOHNKLY
8pcs 1-2-23 DR#73998 LIPA A
8pcs 1-2-23 DR#73997 SPC</t>
        </r>
      </text>
    </comment>
    <comment ref="G139" authorId="0" shapeId="0" xr:uid="{1CDD99C2-7534-4949-88E1-40CEFD1CF413}">
      <text>
        <r>
          <rPr>
            <sz val="10"/>
            <rFont val="SimSun"/>
            <charset val="134"/>
          </rPr>
          <t>20PCS 12-28-23 DR#81643 DYMANS</t>
        </r>
      </text>
    </comment>
    <comment ref="H139" authorId="0" shapeId="0" xr:uid="{9380EB81-E131-234F-AE3A-AAF180F04759}">
      <text>
        <r>
          <rPr>
            <sz val="10"/>
            <rFont val="SimSun"/>
            <charset val="134"/>
          </rPr>
          <t>OUT 05/09/24 34171 4PC SALES LEN
OUT 03/18/24 32736 2PCS SALES LEN
OUT 01-13-2024
31061 2PCS SALES MARLO
4pcs 1-2-23 DR#73998 LIPA A
8pcs 1-2-23 DR#73997 SPC</t>
        </r>
      </text>
    </comment>
    <comment ref="G140" authorId="0" shapeId="0" xr:uid="{2367B084-B3B0-5844-A722-1A0E6A024A3C}">
      <text>
        <r>
          <rPr>
            <sz val="10"/>
            <rFont val="SimSun"/>
            <charset val="134"/>
          </rPr>
          <t>IN 4PCS 03/18/24 DR#73431 LIPA A
IN 9PCS 2/27/2024 DR#74840 SPC
150PCS 12-28-23 DR#81643 DYMANS</t>
        </r>
      </text>
    </comment>
    <comment ref="H140" authorId="0" shapeId="0" xr:uid="{DCB5C2F8-4652-D34F-9AF3-00271B446F55}">
      <text>
        <r>
          <rPr>
            <sz val="10"/>
            <rFont val="SimSun"/>
            <charset val="134"/>
          </rPr>
          <t>2PCS 4/5/2024 DR#74756 SPC
OUT 04/04/24 33206 1PC SALES LEN
OUT 03/21/24 32865 2PCS SALES MARLO
OUT 03/12/24 4PCS SALES 32625 MARLO
OUT 2PCS 03/15/24 DR#74724 SPC
OUT 3/09/24 32583 4PCS SALES MARLO
OUT 03/06/24 32503 2PCS SALES JARVIS
OUT 2/28/24 32282 1PCS SALES LEN
OUT 2/26/24 32214 3PCS SALES
2PCS 2-25-24 32242 MARLO
4pcs 2-23-24 32155 4PCS SALES
OUT 2-22-24 DR#74685 12PCS SPC MASTER
7PCS 2-21-24 DR#74684 SPC KUYA ADWIN
2pcs 2-20-24 32095 MARLO
5PCS 2-17-24 DR#74676 SPC
3pcs 2-14-24 31908 SALES
4PCS 2-10-24 31817 SALES
4pc 2-7-24 JO#31742 SALES
2/5/2024 31685 2PC SALES
out 2-4-24jo#31673 4pcs sales
OUT 2-3-24 DR#74658-59 4PCS SPC
1/29/2024 31444 4PCS SALES
OUT 1-28-24 JO#31460 2PCS SALES
OUT 1-17-24 DR#73388 16PCS SPC
20PCS 1-8-24 DR#73367 SPC
6pcs 1-4-24 DR#23351-52 SPC
8pcs 1-2-23 DR#73998 LIPA A
8pcs 1-2-23 DR#73997 SPC</t>
        </r>
      </text>
    </comment>
    <comment ref="G141" authorId="0" shapeId="0" xr:uid="{4F330E8C-91EA-A746-BB44-1CC9367ABFE2}">
      <text>
        <r>
          <rPr>
            <sz val="10"/>
            <rFont val="SimSun"/>
            <charset val="134"/>
          </rPr>
          <t>4PCS - 11-16-21 STF#5527 SPC</t>
        </r>
      </text>
    </comment>
    <comment ref="H141" authorId="0" shapeId="0" xr:uid="{BADFE4C6-4457-B94B-B376-572CF75B1546}">
      <text>
        <r>
          <rPr>
            <sz val="10"/>
            <rFont val="SimSun"/>
            <charset val="134"/>
          </rPr>
          <t>3pcs 1-6-24 DR#73359 SPC OLD DOT
1PC 7-25-23 JO#26969 JARVIS
1PC 11-4-22 STF#2051 SPC
3PCS 6-15-22 STF#1822 SPC
8PC 03-21-2022 ST006088 SPC
4PCS 12-27-21 STF#1563 SPC
4PC 12-06-2021 ST001526 SPC
2PCS - 11-12-21 JO#11871 SALES
2PCS - 11-04-21 STF#1466  SPC</t>
        </r>
      </text>
    </comment>
    <comment ref="G142" authorId="0" shapeId="0" xr:uid="{D8F4C3C7-25D2-8C4E-BF5F-9B592FC74AB9}">
      <text>
        <r>
          <rPr>
            <sz val="10"/>
            <rFont val="SimSun"/>
            <charset val="134"/>
          </rPr>
          <t>IN 3PCS 6.12.25 DR#115296 DRAKESTER
IN 4PCS 09/21/24 DR#76538 SPC KUYA HACKET
4PCS 2-12-24 DR#74812-13 SPC</t>
        </r>
      </text>
    </comment>
    <comment ref="H142" authorId="0" shapeId="0" xr:uid="{40BC4AEA-1241-954F-9297-D4D905C62B50}">
      <text>
        <r>
          <rPr>
            <sz val="10"/>
            <rFont val="SimSun"/>
            <charset val="134"/>
          </rPr>
          <t>OUT 1PCS 1.3.26. DR80084 SPC HACKET
OUT 1PCS 12.13.25 DR#80066 SPC ROBIN
8.21.25
49852 2PCS JARVIS
OUT 3PCS 6.13.25 DR#78322 LIPA A
OUT 03/08/24 32540 2PCS SALES LEN
OUT 03/06/24 32441 4PCS SALES OFFICE</t>
        </r>
      </text>
    </comment>
    <comment ref="G143" authorId="0" shapeId="0" xr:uid="{3126C27C-EEA4-DD45-92DF-1261116D6F0A}">
      <text>
        <r>
          <rPr>
            <sz val="10"/>
            <rFont val="SimSun"/>
            <charset val="134"/>
          </rPr>
          <t>IN 12PCS 9.6.25 DR#132500 DRAKESTER
IN 2PCS 9.5.25 DR#78626 LIPA A
IN 2PCS 8.29.25 DR#130739 DRAKESTER</t>
        </r>
      </text>
    </comment>
    <comment ref="H143" authorId="0" shapeId="0" xr:uid="{31E098F0-DBC7-B346-B494-A93511A8F06B}">
      <text>
        <r>
          <rPr>
            <sz val="10"/>
            <rFont val="SimSun"/>
            <charset val="134"/>
          </rPr>
          <t xml:space="preserve">OUT 1PCS 1.3.26. DR80084 SPC HACKET
OUT 6PCS 9.6.25 DR#78448 SPC RONNIE
9-5-25
4 PCS 50258 ALY
</t>
        </r>
      </text>
    </comment>
    <comment ref="G144" authorId="0" shapeId="0" xr:uid="{2A5CA881-A360-E847-A81C-C46188375C81}">
      <text>
        <r>
          <rPr>
            <sz val="10"/>
            <rFont val="SimSun"/>
            <charset val="134"/>
          </rPr>
          <t>IN 20PCS 01.09.26 DR79951-53 SPC HACKET
IN 12PCS 11.29.25 DR#149609 DRAKESTER (2,890)
IN 1PCS 10.8.25 DR#78720 LIPA A
IN 4PCS 8.7.25 DR#78839 SPC HACKET
IN 2PCS 3.10.25 DR#77088 LIPA A
IN 2PCS 12-10-24 DR#083900 DRAKESTER
IN 6PCS 10/26/24 DR#76680 SPC MASTER
IN 8PCS 10/13/24 DR#76646-48 SPC KUYA HACKET
IN 2PCS 10/08/24 DR#76101 LIPA A
IN 4PCS 07/29/24 DR#064476 DRAKESTER (LIPA A)
IN 4PCS 07/29/24 DR#064475 DRAKESTER (STC)
IN 2PCS 07/10/24 DR#75231 SPC KUYA HACKET
IN 2PCS 07/08/24 DR#75229 SPC KUYA DANCRIS
IN 4PCS 05/25/24 DR#75162 SPC KUYA HACKET
IN 04/24/24 DR#73459 LIPA A
8PCS 2-12-24 DR#74812-13 SPC
2PCS 12-30-23 DR#73321 LIPA A
8PCS 12-10-23 DR# SPC
4PCS 7-7-23 SPC</t>
        </r>
      </text>
    </comment>
    <comment ref="H144" authorId="0" shapeId="0" xr:uid="{AAC8ED67-EB71-FC4F-BD57-CE4F7C92983A}">
      <text>
        <r>
          <rPr>
            <sz val="10"/>
            <rFont val="SimSun"/>
            <charset val="134"/>
          </rPr>
          <t>02.11.26
55081 2PCS JARVIS
02.07.26
54944 4PCS JARVIS
OUT 4PCS 12.26.25 DR#80076 A RAYLEY
12-5-25
2 PCS 52907 MARIBEL
OUT 1PCS 10.8.25 DR#79297 SPC ROBIN
OUT 4PCS 7.28.25 DR#78383 LIPA A
2 PCS OUT 3-10-25 JO43879 JARVIS
OUT 4PCS 2.5.25 DR#76961 BIÑAN
11/2724  2PCS OUT JO40126 ROSE AN 
10/23/24
38730 2PCS SALES ROSE
10/14/24
38482 4PCS SALES BEL
10/08/24
38311 2PCS SALES ROSE
10/05/24
38179 4PCS SALES DAHLIA
OUT 4PCS 07/30/24 DR#75358-59 LIPA A
OUT 4PCS 07/30/24 REF#75671 STC MASTER
OUT 2PCS 07/08/24 DR#75133 LIPA A
OUT 2PCS 07/01/24 DR#75125 LIPA A
OUT 04/24/24 33713 4PCS SALES JHONLY
OUT 04/19/24 33627 2PCS SALES BEL
OUT 03/08/24 32540 2PCS SALES LEN
OUT 03/06/24 32441 4PCS SALES OFFICE
OUT 02-17-2024
31998 4PCS SALES MARIBEL
4PCS 12-30-23 JO#30665 JOHNLY
2PCS 12-24-23 JO#30503 JARVIS
4PCS 12-10-23 JO#30157 JARVIS
4pcs 7-9-23 JO#26623 BEL</t>
        </r>
      </text>
    </comment>
    <comment ref="G145" authorId="0" shapeId="0" xr:uid="{7DC64B9E-773A-0A47-B430-329FA54F2D69}">
      <text>
        <r>
          <rPr>
            <sz val="10"/>
            <rFont val="SimSun"/>
            <charset val="134"/>
          </rPr>
          <t xml:space="preserve">IN 3PCS 5.21.25 DR#111072 DRAKESTER
IN 4PCS 3.22.25 DR#77442 SPC MIKE
IN 3PCS 2.21.25 DR#095108 DRAKESTER
IN 4PCS 1-30-25 DR#091423 DRAKESTER
----------------------------------------------
IN 4PCS 12-10-24 DR#083900 DRAKESTER
4PCS 12-02-24 DR#75732 SPC KUYA MIKE
IN 4PCS 10/26/24 DR#76680 SPC MASTER
IN 8PCS 10/13/24 DR#76646-48 SPC KUYA HACKET
IN 2PCS 09/02/24 DR#76082 LIPA A
IN 8PCS 07/29/24 DR#064476 DRAKESTER (LIPA A)
IN 8PCS 07/29/24 DR#06447 DRAKESTER
IN 8PCS 07/29/24 DR#064475 DRAKESTER (STC)
IN 4PCS 07/10/24 DR#75231 SPC KUYA HACKET
IN 4PCS 04/20/24 DR#73455 LIPA A
IN 2/29/24 4PCS SALES 
4PCS 12-12-23 DR#74523 SPC
4PCS 11-29-23 DR#74502 SPC
4PCS 11-13-23 DR#74403 SPC
4PCS 7-7-23 SPC </t>
        </r>
      </text>
    </comment>
    <comment ref="H145" authorId="0" shapeId="0" xr:uid="{411C8025-5140-D642-B21F-F3EA8566DFA1}">
      <text>
        <r>
          <rPr>
            <sz val="10"/>
            <rFont val="SimSun"/>
            <charset val="134"/>
          </rPr>
          <t>6-18-25
2 PCS 47693 MARLO
5-30-25
2 PCS 46993 ALY
5.13.25
46249 2PCS ALY
4.26.25
45758 4PCS MARLO
3.15.25
44161 2PCS DHALIA
OUT 1PCS 1.14.25 DR#77156 LIPA A
OUT 3PCS  2.8.25 DR#76977 LIPA A
4 PC OUT 1/23/25 JO42055 MARIBEL 
12-29-24
41202 4PCS SALES ALY
OUT 4PCS 11/20/24 JO39902 MAM JEN 
4PCS 10-18-24 DR#75453 SPC KUYA HACKET
09/29/24
38045 2PCS SALES ALY
OUT 2PCS 09/28/24 DR#75420 LIPA A
08/26/24
37098 2PCS SALES DAHLIA
08/17/24
36828 4PCS DAHLIA
OUT 8PCS 07/30/24 DR#75358-59 LIPA A
OUT 8PCS 07/30/24 REF#75671 STC MASTER
OUT 4PCS 07/19/24 DR#75150 SPC
OUT 04/22/24 33683 4PCS SALES JARVIS
OUT 2/28/24 32270 4PCS SALES MARLO
OUT 12-23-2023
30460 4PCS SALES JARVIS
2pcs 12-15-23 JO#30291 JACKO
4PCS 11-18-23 DR#74273 SPC
1PC 9-21-23 DR#72284 SPC
2PCS 7-13-23 JO#26707 BEL
1PC 7-13-23 JO#26695 MARLO</t>
        </r>
      </text>
    </comment>
    <comment ref="G146" authorId="0" shapeId="0" xr:uid="{7CB96CF3-223D-BB40-AAFF-A40F8DC64E2F}">
      <text>
        <r>
          <rPr>
            <sz val="10"/>
            <rFont val="SimSun"/>
            <charset val="134"/>
          </rPr>
          <t xml:space="preserve">IN 4PCS 02.20.26 DR80489 BIÑAN
IN 30PCS 11.29.25 DR#149608 DRAKESTER (1,990)
IN 3PCS 10.31.25 DR#143700 DRAKESTER (0625)
IN 4PCS 10.14.25 DR#78951 SV ROBIN
IN 4PCS 8.8.25 DR#126473 DRAKESTER
IN 4PCS 8.7.25 DR#78839 SPC HACKET
IN 4PCS 7.10.25 DR#120776 DRAKESTER
IN 2PCS 7.5.25 DR#119880 DRAKESTER
IN 2PCS 6.21.25 DR#77762 SPC HACKET
IN 2PCS 6.19.25 DR#116640 DRAKESTER
</t>
        </r>
      </text>
    </comment>
    <comment ref="H146" authorId="0" shapeId="0" xr:uid="{0160FBB5-1351-884A-B053-FD09C985E52A}">
      <text>
        <r>
          <rPr>
            <sz val="10"/>
            <rFont val="SimSun"/>
            <charset val="134"/>
          </rPr>
          <t xml:space="preserve">02.21.26
55358 2PCS BEL
OUT 4PCS 02.20.26 DR80871 SPC SERVICE
01.18.26
54345 4PCS ALY
OUT 8PCS 1.3.26. DR80084 SPC HACKET
OUT 14PCS 12.3.25 DR#80047 SPC HACKET
OUT 4PCS 12.2.25 DR#80045 LIPA A ROI
OUT 4PCS 10.20.25 DR#79774 LIPA A
OUT 4PCS 10.9.25 DR#79300 LIPA A
9-12-25
2 PCS 50475 ALY
9.1.25
50117 4PCS BEL
8-15-25
1 pc 49667 aly
OUT 4PCS 7.7.25 DR#78348 SPC ADWIN
6.21.25
47830 2PCS MARLO
</t>
        </r>
      </text>
    </comment>
    <comment ref="G147" authorId="0" shapeId="0" xr:uid="{265EAFB3-29F0-2E41-80E4-6566883A18EB}">
      <text>
        <r>
          <rPr>
            <sz val="10"/>
            <rFont val="SimSun"/>
            <charset val="134"/>
          </rPr>
          <t xml:space="preserve">IN 4PCS 6.18.25 DR#77754 SPC HACKET
IN 2PCS 6.12.25 DR#115295 DRAKESTER
IN 4PCS 4.16.25 DR#77543 LIPA A
IN 4PCS 09/21/24 DR#76538 SPC KUYA HACKET
IN 2PCS 08/27/24 DR#76078 LIPA A
4pcs 1-22-24 DR#74620 SPC
2PC 12-29-23 DR#73321 LIPA A
4PCS 11-13-23 DR#74403 SPC
4PCS 7-7-23 SPC </t>
        </r>
      </text>
    </comment>
    <comment ref="H147" authorId="0" shapeId="0" xr:uid="{A16D0CFC-E334-7243-965F-807BA5C4F56E}">
      <text>
        <r>
          <rPr>
            <sz val="10"/>
            <rFont val="SimSun"/>
            <charset val="134"/>
          </rPr>
          <t>OUT 4PCS 02.18.26 DR80865-68 SPC HACKET
OUT 2PCS 7.10.25 DR#78359 SPC RONNIE
OUT 2PCS 6.4.25 DR#78306 SPC SERVICE
OUT 4PCS 09/27/24 DR#75417 LIPA A
08/26/24
37098 2PCS SALES DAHLIA
08/06/24
36566 4PCS SALES BEL
2PCS 12-29-23 JO#30579 ROSE
4PCS 12-8-23 JO#30063 BEL
4PCS 7-15-23 JO#26738 BEL</t>
        </r>
      </text>
    </comment>
    <comment ref="G148" authorId="0" shapeId="0" xr:uid="{FE350994-F7AD-6440-ADD4-46E8BF8F7BF9}">
      <text>
        <r>
          <rPr>
            <sz val="10"/>
            <rFont val="SimSun"/>
            <charset val="134"/>
          </rPr>
          <t>IN 4PCS 12-30-24 DR#76863 SPC KUYA RONNIE
IN 3PC 12-26-24 DR#76156 LIPA A
IN 4PCS 11/25/24 DR#75722 SPC KUYA EMMAN
IN 4PCS 09/21/24 DR#76538 SPC KUYA HACKET</t>
        </r>
      </text>
    </comment>
    <comment ref="H148" authorId="0" shapeId="0" xr:uid="{DC178F9A-5186-5844-A291-9131C70EEF37}">
      <text>
        <r>
          <rPr>
            <sz val="10"/>
            <rFont val="SimSun"/>
            <charset val="134"/>
          </rPr>
          <t xml:space="preserve">4PC OUT 1/15/25 JO41789 JARVIS
12-26-24
41073 5pcs sales aly
2PCS 12/23/24 JO40996 MARIBEL
10/31/24 2PCS DR#75461 LIPA A
10/18/2024	38516 2PCS SALES
</t>
        </r>
      </text>
    </comment>
    <comment ref="G149" authorId="0" shapeId="0" xr:uid="{B2D4D402-6791-1940-BB74-C624D9C2EDB4}">
      <text>
        <r>
          <rPr>
            <sz val="10"/>
            <rFont val="SimSun"/>
            <charset val="134"/>
          </rPr>
          <t>IN 4PCS 12.3.25 DR#79715 SPPC HACKET
IN 4PCS 10.10.25 DR#139168 DRAKESTER
IN 4PCS 9.29.25 DR#79620 SPC HACKET
IN 2PC 4.8.25 DR#77525 LIPA A
IN 2PCS 1-22-25 DR#76899 SPC KUYA EMMAN</t>
        </r>
      </text>
    </comment>
    <comment ref="H149" authorId="0" shapeId="0" xr:uid="{D77FF66F-07C1-F04A-BC4A-0202210AAED7}">
      <text>
        <r>
          <rPr>
            <sz val="10"/>
            <rFont val="SimSun"/>
            <charset val="134"/>
          </rPr>
          <t>02.28.26
55559 4PCS BEL
OUT 4PCS 11.20.25 DR#80023 SPC ROBIN
9-29-25
4 PCS 50965 MARLO
OUT 4PCS 7.21.25 DR#78372 LIPA A BRY
5.14.25 2PCS DR#77649 SPC HACKET</t>
        </r>
      </text>
    </comment>
    <comment ref="G150" authorId="0" shapeId="0" xr:uid="{75E4931C-41F1-9B48-9CFE-BC8727605439}">
      <text>
        <r>
          <rPr>
            <sz val="10"/>
            <rFont val="SimSun"/>
            <charset val="134"/>
          </rPr>
          <t xml:space="preserve">IN 4PCS 12-10-24 DR#083900 DRAKESTER
IN 4PCS 10/26/24 DR#76680 SPC MASTER
IN 4PCS 07/29/24 DR#064476 DRAKESTER (LIPA A)
IN 4PCS 07/18/24 DR# SPC KUYA HACKET
4PCS 11-26-23 DR#74447 SPC
4PCS 7-7-23 SPC </t>
        </r>
      </text>
    </comment>
    <comment ref="H150" authorId="0" shapeId="0" xr:uid="{8F19211F-209B-444D-93F9-54C8C517B8BC}">
      <text>
        <r>
          <rPr>
            <sz val="10"/>
            <rFont val="SimSun"/>
            <charset val="134"/>
          </rPr>
          <t>4PCS 2.25.25 DR#77127 BIÑAN HACKET
4PC OUT 1/11/25 JO41646 JARVIS
OUT 4PCS 12/6/24 JO40350 ALY
OUT 4PCS 07/30/24 DR#75358-59 LIPA A
OUT 4PCS 04/25/24 DR#74791 SPC MASTER
OUT 2-8-24 DR#74664-65 4PCS  SPC</t>
        </r>
      </text>
    </comment>
    <comment ref="G152" authorId="0" shapeId="0" xr:uid="{1DEDF20B-A7CD-0442-8ADE-0796AABF44BA}">
      <text>
        <r>
          <rPr>
            <sz val="10"/>
            <rFont val="SimSun"/>
            <charset val="134"/>
          </rPr>
          <t xml:space="preserve">IN 4PCS 02.06.26 DR80191 LIPA A
IN 12PCS 01.09.26 DR79951-53 SPC HACKET
IN 4PCS 01.07.26 DR80161 LIPA A
IN 2PCS 12.26.25 DR79915-17 SPC HACKET
IN 6PCS 11.29.25 DR#149609 DRAKESTER (3,090)
IN 4PCS 10.31.25 DR#143700 DRAKESTER (1225)
IN 2PCS 10.30.25 DR#78748 LIPA A
IN 4PCS 9.22.25 DR#135338 DRAKESTER
IN 2PCS 9.15.25 DR#78639 LIPA A
IN 10PCS 9.6.25 DR#132500 DRAKESTER
IN 4PCS 8.29.25 DR#130720 DRAKESTER
IN 2PCS 8.7.25 DR#78839 SPC HACKET
IN 2PCS 6.19.25 DR#77758 SPC ALWIN
IN 2PCS 6.12.25 DR#115295 DRAKESTER
IN 2PCS 5.21.25 DR#111072 DRAKESTER
IN 3PCS 12-30-24 DR#76863 SPC KUYA RONNIE
IN 8PCS 10/13/24 DR#76646-48 SPC KUYA HACKET
IN 4PCS 10/12/24 DR#76641 SPC KUYA HACKET
IN 4PCS 07/29/24 DR#064476 DRAKESTER (LIPA A)
IN 4PCS 07/18/24 DR# SPC KUYA HACKET
1pc 2-28-24 dr#73414 LIPA A
2PCS 1-2-23 DR#74546 SPC
4PCS 11-26-23 DR#74447 SPC
4PCS 7-7-23 SPC </t>
        </r>
      </text>
    </comment>
    <comment ref="H152" authorId="0" shapeId="0" xr:uid="{E27FFE6C-7681-E94B-BFB9-CB3F8429A6F8}">
      <text>
        <r>
          <rPr>
            <sz val="10"/>
            <rFont val="SimSun"/>
            <charset val="134"/>
          </rPr>
          <t>02.14.26
55099 1pc aly
02.06.26
54953 4PCS JARVIS
2.5.26
54891 1PC ROSE
54892 1PC ROSE
1-20-26
1PC 54383 JARVIS
01.07.26
53946 4PCS JARVIS
12.16.25
53323 2PCS MARLO
12.2.25
52863 2PCS ALY
11-10-25
4 PCS 52169 JARVIS
10-30-25
2 PCS 51868 ALY
9.26.25
50905 4pcs bel
9-15-25
2 PCS 50525 MARIBEL
9-14-25
4 PCS 50562 ALY
OUT 4PCS 9.6.25 DR#78448 SPC RONNIE
9-5-25
4 PCS 50253 ALY
OUT 4PCS 8.12.25 DR#78402 SPC MEET UP
8-6-25
2 PCS 49431 MARIBEL
OUT 2PCS 6.18.25 DR#78328 LIPA A
OUT 2PCS 5.21.25 DR#77744 STC 
5-1-25
2 PCS 45963 JARVIS
OUT 2PCS 2.20.25 DR#77120 SPC ALWIN
4 PCS OUT 2-14-25 JO42923  MARIBEL
2PC 12/16/24 JO 40694 ROSE
OUT 1PC 11/28/24 JO40155 JARVIS
OUT 4PCS 11/02/24 DR#75466 SPC KUYA HACKET
10/05/24
38194 4PCS SALE BEL
OUT 4PCS 07/30/24 DR#75358-59 LIPA A
OUT 2/28/24 32311 1PCS SALES MARLO
4PCS 2-19-24 32061 bel
2pc 2-7-24 JO#31718  SALES
2pcs 12-30-23 JO#30700 BEL
1PC 7-16-23 JO#26758 MARLO</t>
        </r>
      </text>
    </comment>
    <comment ref="G153" authorId="0" shapeId="0" xr:uid="{6F689CE3-BA70-9345-B03C-67CE40865855}">
      <text>
        <r>
          <rPr>
            <sz val="10"/>
            <rFont val="SimSun"/>
            <charset val="134"/>
          </rPr>
          <t xml:space="preserve">IN 12PCS 01.09.26 DR79951-53 SPC HACKET
IN 4PCS 11.29.25 DR#149609 DRAKESTER (3,190)
IN 14PCS 9.22.25 DR#135338 DRAKESTER
IN 4PCS 9.20.25 DR#78702 LIPA A
IN 6PCS 9.6.25 DR#132500 DRAKESTER
IN 2PCS 9.3.25 DR#79070 SPC KUYA RONNIE
IN 2PCS 8.30.25 DR#78618 LIPA A
IN 5PCS 8.29.25 DR#130720 DRAKESTER
IN 4PCS 8.8.25 DR#126479 DRAKESTER
IN 6PCS 8.7.25 DR#78839 SPC HACKET
IN 5PCS 6.19.25 DR#116640 DRAKESTER
IN 8PCS 6.12.25 DR#115295 DRAKESTER
IN 12PCS 6.11.25 DR#78785 SPC BRIAN 
IN 8PCS 5.14.25 DR#77728 SPC HACKET
IN 1PCS 5.5.25 DR#77713 SPC ALWIN
IN 1PC 4.4.25 DR#77391 SPC SERVICE
IN 4PCS 3.22.25 ST002492 BINAN
IN 2PCS 1-31-25 DR#77010 SPC
---------------------------------------------
6PCS 11/12/24 DR#75706 SPC
IN 2PCS 10/26/24 DR#76680 SPC MASTER
IN 2PCS 10/13/24 DR#76646-48 SPC KUYA HACKET
IN 6PCS 09/21/24 DR#76538 SPC KUYA HACKET
IN 2PCS 07/18/24 DR# SPC KUYA HACKET
IN 2PCS 07/08/24 DR#75229 SPC KUYA DANCRIS
IN 4PCS 06/06/24 DR#75177 SPC KUYA HACKET
IN 2PCS 06/06/24 DR#73487 LIPA A
IN 8PCS 05/25/24 DR#75162 SPC KUYA HACKET
IN 4PCS 03/09/24 DR#73423 LIPA A
2PCS 12-10-23 DR# SPC
4PCS 11-26-23 DR#74447 SPC
3pcs 10-10-23 DR#74227 SPC
1PC  10-10-23 DR#74219 SPC
4PCS 7-7-23 SPC </t>
        </r>
      </text>
    </comment>
    <comment ref="H153" authorId="0" shapeId="0" xr:uid="{B54FADCD-8CC2-E048-877E-DCD874D1F7CA}">
      <text>
        <r>
          <rPr>
            <sz val="10"/>
            <rFont val="SimSun"/>
            <charset val="134"/>
          </rPr>
          <t>02.17.26
55231 2PCS JARVIS
12-17-25
4 PCS 53335 JARVIS
11-15-25
1 PC 52342 JARVIS
11-5-25
2 PCS 52009 JARVIS 
OUT 4PCS 11.03.25 DR#79793 BIÑAN ROBIN
9-29-25
2 PCS 50715 ROSE
9-26-25
4 PCS 50905 MARIBEL
9-23-25
1 PC 50851 ROSE
9-20-25
2 PCS 50549 ROSE
2 PCS 50758 ROSE
9.18.25
50544 2PCS ROSE
9-13-25
4 PCS 50490 MARIBEL
9-10-25
2 PCS 50443 ROSE
9-6-25
2 PCS 50147 OFFICE
2 PCS 50331 OFFICE
2 PCS 50332 OFFICE
8-29-25
2 PCS 50065 ROSE
2 PCS 50067 ROSE
8-28-25
2 PCS 49850 ROSE
OUT 2PCS 8.26.25 DR#78431 LIPA A
8-25-25
2 PCS 49847 ROSE
8.7.25
49429 2PCS JARVIS
8-6-25
2 PCS 49431 MARIBEL
8-4-25
2 PCS 49323 ROSE
7-23-25
2 PCS 48828 ROSE
7-10-25 
2 PCS 48504 ROSE
7-8-25
1 PC 48339 ROSE
6-28-25
1 PC 48054 ROSE
6-23-25
1 PC 47867 ROSE
OUT 4PCS 6.18.25 DR#78327 SPC HACKET
6.14.25
47542 2PCS ROSE
6.14.25
47543 2PCS ROSE
OUT 4PCS 6.13.25 DR#78322 LIPA A
6-11-25
2 PCS 47332 ROSE
6-4-25
2 PCS 47152 ROSE
6-1-25
2PCS 47020 JARVIS 
5-23-25
2 PCS 46640 ALY
5-20-25
1 PC 46581 ROSE
5-16-25
1 PC 45858 OFFICE
5-7-25
1 PC 46133 ROSE
4.4.25
44901 3pcs rose
3.22.25
44368 2PCS ROSE
1 PC OUT 3-7-25 JO43599 DALIA
2 PCS OUT 3-7-25 JO43813 ROSE
2 PC OUT 2-8-25 JO42663 ROSE
2pc out 1/5/25 jo41412 dalia
11-04-2024
39146 4pcs sales jarvis 
OUT 2PCS  10/30/24
JO38921 JARVIS
10/09/24
38322 2PCS SALES JARVIS
10/05/24
38199 2PCS SALES BEL
08/30/24
37188 2PCS SALES DAHLIA
OUT 07/11/24 35905 2PCS SALES BEL
OUT 2PCS 06/24/24 35390 2PCS SALES BEL
OUT 06/06/24 34858 4PCS SALES LEN
OUT 05/31/24 34724 2PCS SALES BEL
OUT 4PCS 05/28/24 DR#75087 LIPA A BRIAN
OUT 3/09/24 32583 4PCS SALES MARLO
OUT 2/27/24 32255 4PCS SALES
OUT 2-8-24 DR#74664-65 4PCS  SPC
2pcs 2-2-24 JO#31612 JARVIS
2PCS 12-4-23 JO#29966 BEL
4PCS 10-18-23 JO#28932 ROSE
2PCS 8-2-23 DR#73898 SPC
2PCS 7-28-23 DR#73887 LIPA A</t>
        </r>
      </text>
    </comment>
    <comment ref="G154" authorId="0" shapeId="0" xr:uid="{B025EC5A-CE04-654F-9CDB-BE8268EFE577}">
      <text>
        <r>
          <rPr>
            <sz val="10"/>
            <rFont val="SimSun"/>
            <charset val="134"/>
          </rPr>
          <t>IN 2PCS 12.3.25 DR#79716 SPPC HACKET
IN 4PCS 12-04-24 DR#75738 SPC BRIAN
IN 4PCS 09/21/24 DR#76538 SPC KUYA HACKET</t>
        </r>
      </text>
    </comment>
    <comment ref="H154" authorId="0" shapeId="0" xr:uid="{62656EDB-A8EB-AF41-BE75-8F9C0C148213}">
      <text>
        <r>
          <rPr>
            <sz val="10"/>
            <rFont val="SimSun"/>
            <charset val="134"/>
          </rPr>
          <t xml:space="preserve">
11-24-25
2 PCS 52579 MARLO
4PCS OUT 11/28/24 JO40135 ALY</t>
        </r>
      </text>
    </comment>
    <comment ref="G155" authorId="0" shapeId="0" xr:uid="{E4692CCB-A5BA-2842-A332-CD716461BBB7}">
      <text>
        <r>
          <rPr>
            <sz val="10"/>
            <rFont val="SimSun"/>
            <charset val="134"/>
          </rPr>
          <t xml:space="preserve">IN 1PCS 02.26.26 DR80774 SPC RONNIE
IN 30PCS 11.29.25 DR#149608 DRAKESTER (2,290)
IN 5PCS 9.6.25 DR#132500 DRAKESTER
IN 4PCS 8.8.25 DR#126479 DRAKESTER
IN 4PCS 8.7.25 DR#78839 SPC HACKET
IN 2PCS 7.5.25 DR#119880 DRAKESTER
IN 2PCS 5-2-25 DR#77702 SPC HACKET
IN 2PC 4.8.25 DR#77525 LIPA A
IN 1PCS 3.22.25 DR#77442 SPC MIKE
IN 2PCS 2.18.25 DR#77025 SPC
IN 1PCS 2.12.25 DR#77016 SPC
IN 3PCS 2.11.25 DR#093357 DRAKESTER
IN 4PCS 10-26-24 DR#76857 SPC KUYA BOYONG
IN 2PCS 12-20-24 DR#76152 LIPA A
IN 1PCS 10/13/24 DR#76649 SPC BRIAN
IN 3PCS 10/13/24 DR#76646-48 SPC KUYA HACKET
IN 4PCS 08/28/24 DR#68763 DRAKESTER
IN 2PCS 07/29/24 DR#064476 DRAKESTER (LIPA A)
IN 4PCS 07/29/24 DR#06447 DRAKESTER
IN 6PCS 07/29/24 DR#064475 DRAKESTER (STC)
IN PCS 07/08/24 DR#75229 SPC KUYA DANCRIS
IN 2PCS 06/24/24 DR#73497 LIPA A
IN 4PCS 05/25/24 DR#75162 SPC KUYA HACKET
IN 1PCS 03/14/24 DR#74868 SPCS
4PCS 2-12-24 DR#74812-13 SPC
4PCS 12-26-23 DR#74539 SPC
4PCS 7-7-23 SPC </t>
        </r>
      </text>
    </comment>
    <comment ref="H155" authorId="0" shapeId="0" xr:uid="{50E70E90-B03D-1840-8355-C4B45607B58F}">
      <text>
        <r>
          <rPr>
            <sz val="10"/>
            <rFont val="SimSun"/>
            <charset val="134"/>
          </rPr>
          <t>02.25.26
55416 4PCS JARVIS
12.22.25
53457 1PC BEL
12-11-25
4 PCS 53101 ALY
OUT 18PCS 12.3.25 DR#80047 SPC HACKET
OUT 4PCS 12.2.25 DR#80045 LIPA A ROI
OUT 1PCS 10.14.25 DR#79757 SPC RONNIE
OUT 5PCS 9.9.25 DR#79252 SPC HACKET
8-15-25
2 PCS 49703 MARLO
OUT 1PC 8.15.25 DR#78411 SPC SERVICE
OUT 4PCS 7.12.25 DR#78362 LIPA A
6.20.25
47837 2PCS ALY
OUT 2PCS 5.9.25 DR#77641 SPC ROI
4 PCS OUT 3-13-25 JO44102 MARLO
1PCS 2.25.25 DR#77127 BIÑAN HACKET
OUT 1PC 2.4.25 DR#76969 STC
4 PC OUT 1/25/25 JO42097 MARLO
2pcs 12/20/24 jo40826 aly
1PC 12/19/24 JO40886 MARLO
OUT 2PC 12/15/24 JO40734 DALIA
OUT 1PC 11/21/24 JO39924 MARIBEL
10/13/24
38416 1PC SALES ALY
10/02/24
38146 1PC SALES ALY
09/15/24
37630 4PCS SALES MARLO
09/01/24
37304 2pcs sales jarvis
08/26/24
37111 4PCS SALES JARVIS
OUT 2PCS 07/30/24 DR#75358-59 LIPA A
OUT 6PCS 07/30/24 REF#75671 STC MASTER
OUT 2PCS 06/24/24 35406 2PCS SALES BEL
OUT 4PCS 05/28/24 DR#75087 LIPA A BRIAN
OUT 05/22/24 34515 2PCS SALES JARVIS
OUT 04/11/24 33394 2PCS SALESJARVIS
OUT 03/16/24 32774 4PCS SALES JARVIS
4PCS 1-13-2024 JO31045 JARVIS
2PCS 11-17-23 JO#29550 BEL
2PCS 9-10-23 JO#28060 BEL</t>
        </r>
      </text>
    </comment>
    <comment ref="G156" authorId="0" shapeId="0" xr:uid="{79790C51-BBF6-8848-B1C9-28C56567BC72}">
      <text>
        <r>
          <rPr>
            <sz val="10"/>
            <rFont val="SimSun"/>
            <charset val="134"/>
          </rPr>
          <t xml:space="preserve">IN 3PCS 01.30.26 DR161960 DRAKESTER
IN 4PCS 10.31.25 DR#143700 DRAKESTER (1225)
IN 2PCS 8.29.25 DR#130720 DRAKESTER
IN 3PCS 8.18.25 DR#79029 SPC EMMAN
IN 4PCS 8.8.25 DR#126473 DRAKESTER
IN 4PCS 8.7.25 DR#78839 SPC HACKET
IN 2PCS 8.5.25 DR#78835 SPC HACKET
IN 1PCS 6.12.25 DR#115296 DRAKESTER
IN 2PCS 6.12.25 DR#115295 DRAKESTER
IN 4PCS 6.11.25 DR#78785 SPC BRIAN 
IN 2PCS 5.21.25 DR#111072 DRAKESTER
IN 4PCS 5-2-25 DR#77702 SPC HACKET
IN 4PCS 3.22.25 DR#77442 SPC MIKE
4PCS 3-2-25 DR#77077 LIPA A
IN 1PCS 2.21.25 DR#095108 DRAKESTER
3PCS 12-19-24 DR085367 DRAKESTER
IN 1PCS 12-10-24 DR#083900 DRAKESTER
IN 1PCS 12-07-24 DR#75744 SPC 
8PCS 11/12/24 DR#75706 SPC
1PC 11-11 -24 DR76120 LIPA A
3PCS DR#76597
IN 4PCS 08/28/24 DR#68763 DRAKESTER
IN 4PCS 07/29/24 DR#064476 DRAKESTER (LIPA A)
IN 4PCS 07/29/24 DR#06447 DRAKESTER
IN 4PCS 07/29/24 DR#064475 DRAKESTER (STC)
IN 4PCS 06/25/24 DR#75196 SPC KUYA MIKE
4PCS 2-12-24 DR#74812-13 SPC
8PCS 12-26-23 DR#74539 SPC
4PCS 11-13-23 DR#74403 SPC
4PCS 7-25-23 DR#73252 LIPA A
4PCS 7-7-23 SPC </t>
        </r>
      </text>
    </comment>
    <comment ref="H156" authorId="0" shapeId="0" xr:uid="{E148B8BB-9A20-7746-AE28-67AE3B5FAE7B}">
      <text>
        <r>
          <rPr>
            <sz val="10"/>
            <rFont val="SimSun"/>
            <charset val="134"/>
          </rPr>
          <t>OUT 4PCS 02.10.26 DR80245 SPC SERVICE
1-9-26
2PCS 54007 MARLO
OUT 1PC 12.4.25 DR#80051 LIPA A
10-24-2025
4PCS DR#79779 SPC
10-5-25
2 PCS 51156 ALY
9-13-25
2 PCS 50533 ALY
8-25-25
2 PCS 49975 MARIBEL
8-15-25
4 PCS 49701 MARLO
8.8.25
49469 1PC MARLO
8.7.25
49397 2PCS ALY
7-28-25
2 PCS 49100 JARVIS
OUT 2PCS 7.26.25 DR#78379 SPC RONNIE
OUT 1PCS 6.13.25 DR#78322 LIPA A
6-7-25
47226 2PCS JARVIS
5-18-25
2 PCS 46485 ALY
5-11-25
4 PCS 46243 ALY
OUT 2PCS 3.26.25 DR#77187 SPC HACKET
3-2-25
4 PCS OUT JO43563 ALY
4PCS 2.25.25 DR#77127 BIÑAN HACKET
1-30-25 4PCS DR#76958 SPC
----------------------------------------------
1PC 12/17/24 JO40786 DALIA
OUT 4PCS 12-06-24 DR#75495 LIPA A
OUT 4PCS SALES 11/11/24
JO39621 MARIBEL
11-04-2024
39174 4pcs sales dahlia
OUT 2PCS 08/17/24 DR# SPC KUYA HACKET
08/17/24
36870 2PCS SALES BEL
OUT 4PCS 07/30/24 DR#75358-59 LIPA A
OUT 4PCS 07/30/24 REF#75671 STC MASTER
07/30/24
36376 4PCS SALES BEL
OUT 03/27/24 33051 2PCS SALES ROSE
2pcs 2-16-24 31973 JARVIS
4pcs 1-14-24 JO#31087 BEL
4PCS 1-2-23 JO#30717 BEL
4PCS 11-21-23 JO#29620 ROSE
4PCS 7-25-23 JO#26999 BEL
2PCS 7-20-23 JO#26857 JARVUIS
2PCS 7-11-23 JO#26664 BEL</t>
        </r>
      </text>
    </comment>
    <comment ref="G157" authorId="0" shapeId="0" xr:uid="{2697783A-20C9-BE46-94BE-433B3D31570D}">
      <text>
        <r>
          <rPr>
            <sz val="10"/>
            <rFont val="SimSun"/>
            <charset val="134"/>
          </rPr>
          <t>IN 30PCS 11.29.25 DR#149608 DRAKESTER (2,790)
IN 4PCS 8.29.25 DR#130720 DRAKESTER</t>
        </r>
      </text>
    </comment>
    <comment ref="H157" authorId="0" shapeId="0" xr:uid="{F1A04AF3-78D0-884A-82F3-E8471621DA5F}">
      <text>
        <r>
          <rPr>
            <sz val="10"/>
            <rFont val="SimSun"/>
            <charset val="134"/>
          </rPr>
          <t xml:space="preserve">1-26-26
4 PCS 54588 JARVIS
1-8-26
4PCS 53969 MARIBEL
01.07.26
53948 4PCS JARVIS
OUT 14PCS 12.3.25 DR#80047 SPC HACKET
OUT 4PCS 12.2.25 DR#80045 LIPA A ROI
</t>
        </r>
      </text>
    </comment>
    <comment ref="G158" authorId="0" shapeId="0" xr:uid="{7261FD92-DF4F-9041-93EF-BE1AEFCB620E}">
      <text>
        <r>
          <rPr>
            <sz val="10"/>
            <rFont val="SimSun"/>
            <charset val="134"/>
          </rPr>
          <t>IN 4PCS 07/29/24 DR#06447 DRAKESTER
IN 4PCS 07/29/24 DR#064475 DRAKESTER (STC)
IN 4PCS 06/26/24 DR# SPC MASTER
4PCS 11-13-23 DR#74403 SPC</t>
        </r>
      </text>
    </comment>
    <comment ref="H158" authorId="0" shapeId="0" xr:uid="{190E0FD2-C1EC-CD44-AB01-DE05382CE550}">
      <text>
        <r>
          <rPr>
            <sz val="10"/>
            <rFont val="SimSun"/>
            <charset val="134"/>
          </rPr>
          <t>OUT 4PCS 2.20.25 DR#77120 SPC ALWIN
OUT 4PCS 07/30/24 REF#75671 STC MASTER
4PCS 11-24-23 29732 JOHNLY</t>
        </r>
      </text>
    </comment>
    <comment ref="G159" authorId="0" shapeId="0" xr:uid="{5D56AFCC-F549-A147-A683-439A5860B4BD}">
      <text>
        <r>
          <rPr>
            <sz val="10"/>
            <rFont val="SimSun"/>
            <charset val="134"/>
          </rPr>
          <t>IN 4PCS 01.30.26 DR161960 DRAKESTER
IN 4PCS 11.29.25 DR#149609 DRAKESTER (2,290)
IN 4PCS 10.10.25 DR#139168 DRAKESTER
in 4pcs 2.27.25 dr#77071 lipa a
1PCS 12-19-24 DR085367 DRAKESTER
IN 4PCS 12-10-24 DR#083900 DRAKESTER
IN 2PCS 12-04-24 DR#75737 SPC KUYA MIKE
IN 4PCS 10/26/24 DR#76680 SPC MASTER
IN 4PCS 10/12/24 DR#76641 SPC KUYA HACKET
IN 4PCS 07/29/24 DR#064476 DRAKESTER (LIPA A)
IN 4PCS 07/29/24 DR#06447 DRAKESTER
IN 4PCS 07/29/24 DR#064475 DRAKESTER (STC)
IN 4PCS 06/25/24 DR#75196 SPC KUYA MIKE
IN 4PCS SALES 2/29/24 DR#74842 SPC
4PCS 2-25-24 DR#73410 LIPA A
4PCS 11-13-23 DR#74403 SPC</t>
        </r>
      </text>
    </comment>
    <comment ref="H159" authorId="0" shapeId="0" xr:uid="{F1C56546-2865-124F-87A9-90168CCC5F1D}">
      <text>
        <r>
          <rPr>
            <sz val="10"/>
            <rFont val="SimSun"/>
            <charset val="134"/>
          </rPr>
          <t>OUT 2PCS 02.18.26 DR80865-68 SPC HACKET
02.12.26
55086 2PCS JARVIS
12-30-25
4 PCS 53741 MARLO
11-29-25
4 PCS 52727 ALY
2.27.25
43428 4pcs ate aly
OUT 4PCS 2.14.25 DR#76992 STC
1pc 12/10/24 jo40527 jarvis
11/23/24
40006 4PCS SALES BEL
OUT 4PCS 11/21/24 JO39925 MARIBEL 
OUT 8PCS 11/02/24 DR#75466 SPC KUYA HACKET
OUT 4PCS 07/30/24 DR#75358-59 LIPA A
OUT 4PCS 07/30/24 REF#75671 STC MASTER
OUT 05/06/24 34076 4PCS SALES BEL 
OUT 4PCS 3/01/2024 DR#74692 SPC
4PCS 2-24-24 32179 JOHNLY
OUT 2-3-24 DR#74658-59 4PCS SPC</t>
        </r>
      </text>
    </comment>
    <comment ref="H160" authorId="0" shapeId="0" xr:uid="{EE63E4C5-FF9E-F945-B511-20BA6BBF0AA5}">
      <text>
        <r>
          <rPr>
            <sz val="10"/>
            <rFont val="SimSun"/>
            <charset val="134"/>
          </rPr>
          <t>OUT 2PCS 4.16.25 DR#77601 SPC HACKET
OUT 2PCS 11/27/24 JO40080 DALIA</t>
        </r>
      </text>
    </comment>
    <comment ref="G161" authorId="0" shapeId="0" xr:uid="{6E495D61-2367-0C4C-A71C-B0683CCCC349}">
      <text>
        <r>
          <rPr>
            <sz val="10"/>
            <rFont val="SimSun"/>
            <charset val="134"/>
          </rPr>
          <t>IN 4PCS 02.28.26 DR168714 DRAKESTER (2,390)
IN 4PCS 8.7.25 DR#78839 SPC HACKET
IN 4PCS 4.16.25 DR#77543 LIPA A
IN 4PCS 1-15-25 DR#88601 DRAKESTER
----------------------------------------------
IN 8PCS 08/02/24 DR# SPC KUYA HACKET
IN 4PCS 07/30/24 DR# SPC KUYA EMMAN
IN 4PCS 07/29/24 DR#064581 DRAKESTER
IN 4PCS 07/08/24 DR#75229 SPC KUYA DANCRIS
4PCS 2-12-24 DR#74812-13 SPC
4PCS 11-13-23 DR#74403 SPC</t>
        </r>
      </text>
    </comment>
    <comment ref="H161" authorId="0" shapeId="0" xr:uid="{249F1F4E-249F-4649-8EDA-2444015EAA56}">
      <text>
        <r>
          <rPr>
            <sz val="10"/>
            <rFont val="SimSun"/>
            <charset val="134"/>
          </rPr>
          <t>OUT 4PCS 01.30.26 DR80231 SPC HACKET
4 PCS OUT 3-13-25 JO43968
JARVIS
OUT 4PCS 2.20.25 DR#77120 SPC ALWIN
4PC OUT 1/4/25 JO41362 ALY
----------------------------------------------
OUT 5PCS 11/02/24 DR#75466 SPC KUYA HACKET
09/02/24
37351 2PCS SALES BEL
08/09/24
36675 1PC SALES JARVIS
07/21/24
36168 4PCS SALES BEL
4pcs 6-21-24 dr#75113 lipa a
2PCS 1-31-24 dR#74653 SPC
out 12-26-2023
30440 2pcs sales</t>
        </r>
      </text>
    </comment>
    <comment ref="G162" authorId="0" shapeId="0" xr:uid="{892DA36F-E754-7D42-8ADA-46B696D489B4}">
      <text>
        <r>
          <rPr>
            <sz val="10"/>
            <rFont val="SimSun"/>
            <charset val="134"/>
          </rPr>
          <t>IN 4PCS 8.29.25 DR#130720 DRAKESTER</t>
        </r>
      </text>
    </comment>
    <comment ref="G163" authorId="0" shapeId="0" xr:uid="{E15EB8C7-0F09-084E-A772-A499A0085124}">
      <text>
        <r>
          <rPr>
            <sz val="10"/>
            <rFont val="SimSun"/>
            <charset val="134"/>
          </rPr>
          <t>IN 4PCS 8.8.25 DR#126479 DRAKESTER
IN 4PCS 8.7.25 DR#78839 SPC HACKET
2PCS 12-19-24 DR085367 DRAKESTER
IN 6PCS 08/28/24 DR#68763 DRAKESTER
IN 4PCS 07/29/24 DR#06447 DRAKESTER
IN 4PCS 07/29/24 DR#064475 DRAKESTER (STC)
IN 2PCS 06/06/24 DR#75177 SPC KUYA HACKET
IN 2PCS 05/29/24 DR# SPC KUYA HACKET
IN 2PCS 05/25/24 DR#75162 SPC KUYA HACKET
IN 1PC 04/22/24 73457 LIPA A
8PCS 12-26-23 DR#74539 SPC
4PCS 11-13-23 DR#74403 SPC
4PCS 7-10-23 LIPA A DR#72628</t>
        </r>
      </text>
    </comment>
    <comment ref="H163" authorId="0" shapeId="0" xr:uid="{DA7A974B-99B9-804A-9FA3-0382F64F2666}">
      <text>
        <r>
          <rPr>
            <sz val="10"/>
            <rFont val="SimSun"/>
            <charset val="134"/>
          </rPr>
          <t>11-18-25
4 PCS 52388 ALY
OUT 4PCS 04.01.25 DR#77551 SPC MARK B.
OUT 4PCS 2.20.25 DR#77120 SPC ALWIN
2PCS 12/11/24 JO40546 ALY
08/17/24
36865 4PCS SALES BEL
(1PC FOR WARRANTY BEL)
OUT 4PCS 07/30/24 REF#75671 STC MASTER
07/25/24
36250 1PC BEL
OUT 2PCS 05/28/24 DR#75087 LIPA A BRIAN
OUT 04/22/24 33692 1PCS SALES BEL
OUT 03/1624 32717 4PCS SALES BEL
4PCS 2-20-24 32066 BEL
1PC 12-16-23 DR#73974 SPC
1PC 12-9-23 DR#73963 LIPA A
2PCS 11-28-23 DR#74294 LIPA A
4pcs 8-12-23 JO#27451 BEL</t>
        </r>
      </text>
    </comment>
    <comment ref="G164" authorId="0" shapeId="0" xr:uid="{2E8E3F78-67CB-7441-9BA5-5AF580D4EC63}">
      <text>
        <r>
          <rPr>
            <sz val="10"/>
            <rFont val="SimSun"/>
            <charset val="134"/>
          </rPr>
          <t>IN 4PCS 02.28.26 DR168714 DRAKESTER (3,790)
IN 2PCS 11.29.25 DR#149609 DRAKESTER (3,790)
IN 4PCS 8.8.25 DR#126479 DRAKESTER
IN 4PCS 8.7.25 DR#78842 SPC HACKET
IN 2PCS 6.12.25 DR#115296 DRAKESTER
IN 1PCS 6.12.25 DR#115295 DRAKESTER
IN 2PCS 4.7.25 DR#77524 LIPA A
IN 2PCS 12-27-24 DR#76858 SPC KUYA HACKET
4PCS 11/12/24 DR#75706 SPC
IN 1PCS 11/02/24 DR#76697 SPC KUYA HACKET
IN 2PCS 08/06/24 DR#76508 SPC KUYA EMMAN
IN 2PCS 08/02/24 DR# SPC KUYA HACKET
IN 2PCS 07/29/24 DR#064476 DRAKESTER (LIPA A)
IN 4PCS 07/29/24 DR#064475 DRAKESTER (STC)
IN 2PCS 07/18/24 DR# SPC KUYA HACKET
IN 4PCS 07/08/24 DR#75229 SPC KUYA DANCRIS
IN 4PCS 05/31/24 DR#75171 SPC KUYA HAKCET
IN 4PCS 05/25/24 DR#75162 SPC KUYA HACKET
4PCS 2-12-24 DR#74812-13 SPC</t>
        </r>
      </text>
    </comment>
    <comment ref="H164" authorId="0" shapeId="0" xr:uid="{9B4987FD-609C-FE4E-9BBD-AC925680C378}">
      <text>
        <r>
          <rPr>
            <sz val="10"/>
            <rFont val="SimSun"/>
            <charset val="134"/>
          </rPr>
          <t>1-6-26
2PCS OUT 53899 MARLO
10.26.25
51779 2PCS JARVIS
10.4.25
51152 2PCS JARVIS
7-9-25
4 PCS 48514 ALY
OUT 2PCS 6.13.25 DR#78322 LIPA A
4 PCS OUT 3-1-25 JO43508 JARVIS
OUT 4PCS 2.6.25 DR#76972 BIÑAN
----------------------------------------------
12-28-2024 SALES
41173 1PC MARIBEL
10/27/24
38832 1PC SALES ALY
2PCS 8-1-24 36398 MARIBEL
OUT 2PCS 07/30/24 DR#75358-59 LIPA A
OUT 4PCS 07/30/24 REF#75671 STC MASTER
07/27/24
36318 2PCS SALES DAHLIA
07/08/24
35843 2PCS SALES MARLO
OUT 06/05/24 34850 4PCS SALES JARVIS 
OUT 4PCS 05/28/24 DR#75087 LIPA A BRIAN
OUT 4PCS 3/01/2024 DR#74692 SPC</t>
        </r>
      </text>
    </comment>
    <comment ref="G165" authorId="0" shapeId="0" xr:uid="{D4E0C862-1C8E-3D4A-9709-4ACA09A63792}">
      <text>
        <r>
          <rPr>
            <sz val="10"/>
            <rFont val="SimSun"/>
            <charset val="134"/>
          </rPr>
          <t xml:space="preserve">IN 2PCS 10.5.25 DR#79642 SPC RONNIE
IN 4PCS 8.7.25 DR#78842 SPC HACKET
IN 4PCS 5-2-25 DR#77702 SPC HACKET
IN 1PC 3.26.25 DR#77507 LIPA A
IN 4PCS 3.3.25 DR#77079 LIPA A
IN 1PCS 2.21.25 DR#095108 DRAKESTER
IN 4PCS 01-04-25 DR#76869 SPC KUYA MIKE
IN 2PC 12-27-24 DR#76157 LIPA A
IN 2PCS 10/16/24 DR#76657 SPC
IN 1PCS 09/21/24 DR#76538 SPC KUYA HACKET
IN 2PCS 08/22/24 DR#76553 SPC KUYA EMMAN
IN 4PCS 07/29/24 DR#064476 DRAKESTER (LIPA A)
IN 4PCS 06/25/24 DR#75196 SPC KUYA MIKE
IN 4PCS 06/15/24 DR#75210 SPC KUYA MIKE
4PCS 2-12-24 DR#74812-13 SPC
4PCS 11-27-23 DR#74449 SPC
4PCS 7-7-23 SPC </t>
        </r>
      </text>
    </comment>
    <comment ref="H165" authorId="0" shapeId="0" xr:uid="{45B42176-9834-4243-9699-31F3F5DF0DF7}">
      <text>
        <r>
          <rPr>
            <sz val="10"/>
            <rFont val="SimSun"/>
            <charset val="134"/>
          </rPr>
          <t>01.23.26
54484 2PCS ALY
1-2-26
2 PCS OUT 53749 MARLO
OUT 2PCS 11.20.25 DR#80023 SPC ROBIN
9-5-25
2 PCS 50263 JARVIS
4 PCS OUT 3-26-25 JO44633 JARVIS
3-3-25
4 PCS OUT JO43601 MARLO
2 PCS OUT 2-12-25 JO42820 MARLO 
12-27-24
41080 4PCS SALES ALY
OUT 2PCS 12-13-24 DR#75507 SPC KUYA HACKET
10/08/24
38272 2PCS SALES BEL
09/07/24
37453 1PC SALES
08/07/24
36607 2PCS SALES MARLO
OUT 4PCS 07/30/24 DR#75358-59 LIPA A
OUT 06/17/24 35196 4PCS SALES JARVIS
OUT 04/03/24 33170 4PCS SALES HANNAH
4PCS 12-21-23 JO#30452 JACKO
4pcs 7-23-23 JO#26925 BEL</t>
        </r>
      </text>
    </comment>
    <comment ref="G166" authorId="0" shapeId="0" xr:uid="{FF363D90-D2F8-9E40-BFB5-BCFC136B0DF8}">
      <text>
        <r>
          <rPr>
            <sz val="10"/>
            <rFont val="SimSun"/>
            <charset val="134"/>
          </rPr>
          <t>IN 4PCS 8.8.25 DR#126479 DRAKESTER
IN 4PCS 8.7.25 DR#78842 SPC HACKET
IN 1PCS 10/23/24 DR#76677 SPC BOSS SAM
IN 4PCS 07/29/24 DR#064476 DRAKESTER (LIPA A)
IN 4PCS 07/29/24 DR#064475 DRAKESTER (STC)
IN 7-26-24 DR#75250  8PCS  SPC</t>
        </r>
      </text>
    </comment>
    <comment ref="H166" authorId="0" shapeId="0" xr:uid="{D4887BCE-7665-774A-ABA5-D9A2F16DF74D}">
      <text>
        <r>
          <rPr>
            <sz val="10"/>
            <rFont val="SimSun"/>
            <charset val="134"/>
          </rPr>
          <t>10.3.25
51132 3PCS JARVIS
OUT 4PCS 6.7.25 DR#78315 LIPA A ROI
OUT 1PCS 5.9.25 DR#77641 SPC ROI
09/30/24
38081 1PC SALES BEL
OUT 4PCS 07/30/24 DR#75358-59 LIPA A
OUT 4PCS 07/30/24 REF# STC MASTER
OUT 4PCS 07/27/24 DR#75356 SPC SERVICE</t>
        </r>
      </text>
    </comment>
    <comment ref="G167" authorId="0" shapeId="0" xr:uid="{B7E18FEA-9DE7-504C-8C8B-8D4C7C7A0792}">
      <text>
        <r>
          <rPr>
            <sz val="10"/>
            <rFont val="SimSun"/>
            <charset val="134"/>
          </rPr>
          <t>IN 4PCS 02.28.26 DR168714 DRAKESTER (2,690)
IN 1PCS 12.26.25 DR79915-17 SPC HACKET
IN 2PCS 6.19.25 DR#116640 DRAKESTER
IN 2PCS 5-2-25 DR#77702 SPC HACKET
IN 4PCS 3.22.25 DR#77442 SPC MIKE
IN 2PCS ST004278  LIPA B EMMAN
IN 4PCS 3.3.28 DR#77080 LIPA A
IN 2PCS 2.11.25 DR#77015 SPC
IN 2PCS 1-24-25 DR#77002 SPC KUYA HACKET
IN 2PCS 1-16-25 DR#76890 SPC KUYA EMMAN
IN 2PCS 1-8-25 DR#76166 LIPA A
----------------------------------------------
IN 2PCS 12-30-24 DR#76862 SPC KUYA RONNIE
IN 1PCS 12-05-24 DR#75741 SPC KUYA MIKE
IN 8PCS 08/28/24 DR#68763 DRAKESTER
IN 4PCS 08/08/24 DR#76070 LIPA A
IN 4PCS 08/02/24 DR# SPC KUYA HACKET</t>
        </r>
      </text>
    </comment>
    <comment ref="H167" authorId="0" shapeId="0" xr:uid="{AA7ECF50-2CFF-6F47-9431-9AEBB23F1225}">
      <text>
        <r>
          <rPr>
            <sz val="10"/>
            <rFont val="SimSun"/>
            <charset val="134"/>
          </rPr>
          <t xml:space="preserve">
1-2-26
1 PC 53807 JARVIS
12-20-25
1 PC 53452 MARIBEL
5-30-25
2 PCS 46964 ALY 
4-12-25
2 PCS OUT JO45272 DALIA
3.15.25
44129 2PCS JARVIS
3-4-25
4 PCS  OUT JO43499 MAM JEN
4PCS 2.25.25 DR#77127 BIÑAN HACKET
2PC OUT 1/29/25 JO42286 JARVIS
OUT 1-18-25 2PCS JO#41688 ALY SALES
4PC OUT 1/8/25 JO41527 MARIBEL 
2PCS 12/19/24 JO40868 JARVIS
12-04-24
40352 1PC SALES ALY
10/26/24
38793 4PCS SALES DAHLIA
08/08/24
36631 4PCS SALES JARVIS
36632 4PCS SALES JARVIS
</t>
        </r>
      </text>
    </comment>
    <comment ref="G168" authorId="0" shapeId="0" xr:uid="{08A271E3-1D0C-3D49-807F-EA0872E8B6DF}">
      <text>
        <r>
          <rPr>
            <sz val="10"/>
            <rFont val="SimSun"/>
            <charset val="134"/>
          </rPr>
          <t>IN 1PCS 11.14.25 DR#78663 LIPA A (DOT23)
IN 4PCS 8.8.25 DR#126479 DRAKESTER
IN 4PCS 8.8.25 DR#126473 DRAKESTER
IN 1PCS 6.12.25 DR#115295 DRAKESTER
IN 2PC 4.8.25 DR#77525 LIPA A
IN 1PCS 4.7.25 DR#77524 LIPA A
4PCS 12-19-24 DR085367 DRAKESTER
IN 4PCS 12-04-24 DR#75738 SPC BRIAN
IN 3PCS 11/23/24 DR#76126 LIPA A
IN 1PC 11/23/24 DR#75721 SPC
3PCS 11/12/24 DR#75706 SPC
IN 2PCS 09/21/24 DR#76091 LIPA A
IN 4PCS 08/28/24 DR#68763 DRAKESTER
IN 4PCS 07/29/24 DR#064476 DRAKESTER (LIPA A)
IN 4PCS 07/29/24 DR#06447 DRAKESTER
IN 1PCS 07/13/24 DR#75235 SPC KUYA HACKET
IN 4PCS 07/08/24 DR#75229 SPC KUYA DANCRIS
2PCS 5-11-24 dr#73477 LIPA A
1pc 2-12-24 DR#74812-13 SPC
4pcs 1-11-24 DR#73330 LIPA A
4PCS 12-26-23 DR#74539 SPC
4PCS 11-26-23 DR#74447 SPC
4PCS 7-8-23 SPC</t>
        </r>
      </text>
    </comment>
    <comment ref="H168" authorId="0" shapeId="0" xr:uid="{1675C120-5652-234A-990B-C560FFA9E9DA}">
      <text>
        <r>
          <rPr>
            <sz val="10"/>
            <rFont val="SimSun"/>
            <charset val="134"/>
          </rPr>
          <t>OUT 3PCS 01.30.26 DR80231 SPC HACKET
11.17.25
52481 1PC (COMPANY VEHICLE)
11.3.25
1 PC 51915 MARIBEL
OUT 4PCS 8.14.25 DR#78408 LIPA A HACKET
5-23-25
1 PC 46756 MARIBEL
4-2-25 
2PCS OUT JO44819  JARVIS
2-23-25 2PSC OUT JO43280 ALY
OUT 1PCS 2.20.25 DR#77120 SPC ALWIN
1 PC OUT 1/25/25 JO42162 ALY
OUT 12-18-2024
40833 2PCS SALES MARIBEL
11/23/24
40004 4PCS SALES BEL
2PCS OUT 11/22/24 JO39920 MARLO
2PCS 11/16/2024	39871 SALES
OUT 1PC 11/02/2024
JO39119 DALIA
OUT 1PC 11/01/2024
JO38957 ALY
10/30/24
38911 1pcs sales dahlia
09/20/24
37785 2PCS SALES BEL
08/20/24
36961 4PCS DAHLIA
OUT 4PCS 07/30/24 DR#75358-59 LIPA A
07/18/24
36075 1pc sales
OUT 1PC 07/11/24 DR#75139 LIPA A
2PCS 5/10/2024 34221 MRIBEL
OUT 1PC 03/30/24 DR#74745-46 SPC KUYA HACKET 
4pcs 1-7-24 JO#30893 BEL
4PCS 12-8-23 JO#30082 LEN
2PCS 7-21-23 JO#26876 BEL
2PCS 7-12-23 JO#26682 JARVIS</t>
        </r>
      </text>
    </comment>
    <comment ref="G169" authorId="0" shapeId="0" xr:uid="{90688D0A-1CD0-A440-8656-B91E2B5998D5}">
      <text>
        <r>
          <rPr>
            <sz val="10"/>
            <rFont val="SimSun"/>
            <charset val="134"/>
          </rPr>
          <t xml:space="preserve">IN 2PCS 01.30.26 DR161960 DRAKESTER
IN 1PCS 12.3.25 DR#79716 SPPC HACKET
IN 3PCS 11.29.25 DR#149609 DRAKESTER (3,790)
IN 4PCS 8.11.25 DR#79006-07 SPC EMMAN
IN 2PCS 8.5.25 DR#78835 SPC HACKET
IN 3PCS 6.12.25 DR#115295 DRAKESTER
8PCS 12-19-24 DR085367 DRAKESTER
IN 2PCS 12-04-24 DR#75738 SPC BRIAN
IN 4PCS 08/29/24 DR#76563 SPC
IN 4PCS 08/28/24 DR#68763 DRAKESTER
IN 4PCS 07/29/24 DR#064476 DRAKESTER (LIPA A)
IN 1PCS 07/29/24 DR#064475 DRAKESTER (STC)
4PCS 2-12-24 DR#74812-13 SPC
4PCS 11-13-23 DR#74403 SPC
4PCS 7-25-23 DR#74041 SPC
4PCS 7-7-23 SPC </t>
        </r>
      </text>
    </comment>
    <comment ref="H169" authorId="0" shapeId="0" xr:uid="{D812B2CB-0139-9944-8865-AA6751F8736B}">
      <text>
        <r>
          <rPr>
            <sz val="10"/>
            <rFont val="SimSun"/>
            <charset val="134"/>
          </rPr>
          <t>OUT 1PC 01.15.26 DR80202 SPC SERVICE
12-24-25
1 PC OUT 53536 ALY
11-21-25
4 PCS 52509 ALY
OUT 2PCS 11.7.25 DR#80006 SPC HACKET
10-1-25
2 PCS 51023 ALY
7-25-25
2 PCS 48994 MARLO
5-28-25
1 PC 46933 MARLO
5-24-25
2 PCS 46825 MARLO
OUT 4PCS 2.20.25 DR#77120 SPC ALWIN
4PCS OUT 12/11/24 JO40563 DALIA
OUT 2PCS SALES 11/12/24
JO 39576 MARLO 
08/29/24
37215 4PCS SALES MAM JEN
OUT 2PCS 08/20/24 DR#75378 SPC KUYA EMMAN
08/17/24
36874 2PCS SALES JARVIS
OUT 4PCS 07/30/24 DR#75358-59 LIPA A
OUT 1PCS 07/30/24 REF#75671 STC MASTER
OUT 1-17-24 DR#73388 4PCS SPC
1PC  10-4-23 DR#73992 SPC
3PCS 7-29-23 JO#27067 BEL</t>
        </r>
      </text>
    </comment>
    <comment ref="G170" authorId="0" shapeId="0" xr:uid="{58D43212-D616-184A-9A06-9BC0A2E4F756}">
      <text>
        <r>
          <rPr>
            <sz val="10"/>
            <rFont val="SimSun"/>
            <charset val="134"/>
          </rPr>
          <t>IN 2PCS 8.29.25 DR#130739 DRAKESTER
IN 1PCS 8.5.25 DR#78835 SPC HACKET
IN 1PCS 7.5.25 DR#119880 DRAKESTER
IN 3PCS 6.24.25 DR#77765 SPC HACKET
IN 4PCS 5-2-25 DR#77702 SPC HACKET
IN 4PCS 4.21.25 DR#77546 LIPA A
IN 2PCS 3.10.25 DR#77088 LIPA A
IN 1PCS 09/21/24 DR#76538 SPC KUYA HACKET
IN 4PCS 07/29/24 DR#064476 DRAKESTER (LIPA A)
IN 2PCS 07/29/24 DR#064475 DRAKESTER (STC)
IN 4PCS 07/08/24 DR#75229 SPC KUYA DANCRIS
IN 4PCS 04/10/24 DR#73448
4PCS 2-12-24 DR#74812-13 SPC
4PCS  12-8-23 DR#34180 DRAKESTER</t>
        </r>
      </text>
    </comment>
    <comment ref="H170" authorId="0" shapeId="0" xr:uid="{1B3EEAB7-E286-1A4F-BB63-5F0586C704B8}">
      <text>
        <r>
          <rPr>
            <sz val="10"/>
            <rFont val="SimSun"/>
            <charset val="134"/>
          </rPr>
          <t>02.15.26
55165 2PCS ALY
12-29-25
1 PC OUT 53733 JARVIS
8-15-25
2 PCS 49711 JARVIS
OUT 4PCS 6.20.25 DR#78330 A
OUT 2PCS 6.18.25 DR#78324 SPC HACKET
OUT 1PC 5.5.25 DR#77638 SPC EMMAN
3.30.25
44700 4PCS ALY
3.8.25 2PCS DR#77142 BIÑAN HACKET
OUT 4PCS 2.6.25 DR#76972 BIÑAN
----------------------------------------------
OUT 1PCS 08/27/24 DR#75387 SPC KUYA HACKET
OUT 4PCS 07/30/24 DR#75358-59 LIPA A
OUT 2PCS 07/30/24 REF#75671 STC MASTER
OUT 04/10/24 4PCS SALES 33391  JARVIS 
OUT 03/12/24 4PCS SALES 32619 JARVIS
4PCS 12-28-23 JO#30596 JOHNLY</t>
        </r>
      </text>
    </comment>
    <comment ref="G171" authorId="0" shapeId="0" xr:uid="{217DAC35-7ABC-9445-A48E-C64ED4FD341B}">
      <text>
        <r>
          <rPr>
            <sz val="10"/>
            <rFont val="SimSun"/>
            <charset val="134"/>
          </rPr>
          <t xml:space="preserve">IN 18PCS 02.28.26 DR168714 DRAKESTER (3,390)
IN 2PCS 01.30.26 DR161960 DRAKESTER
IN 2PCS 10.10.25 DR#139168 DRAKESTER
IN 4PCS 8.29.25 DR#130720 DRAKESTER
IN 4PCS 8.8.25 DR#126479 DRAKESTER
IN 1PC 4.28.25 DR#78012 LIPA A BRY
IN 3PCS 4.21.25 DR#77546 LIPA A
IN 4PCS 12-10-24 DR#083900 DRAKESTER
2PCS 11/12/24 DR#75706 SPC
IN 4PCS 10-18-24 DR#76661 SPC KUYA HACKET
IN 8PCS 08/28/24 DR#68763 DRAKESTER
IN 4PCS 008/06/24 DR#76069 LIPA A
IN 2PCS 07/18/24 DR# SPC KUYA HACKET
IN 4PCS 06/26/24 DR# SPC MASTER
IN 2PCS 05/29/24 DR# SPC KUYA HACKET
IN 4PCS 05/25/24 DR#75162 SPC KUYA HACKET
IN 2PCS 04/23/24 DR#73458 LIPA A
4PCS 2-12-24 DR#74812-13 SPC
2PCS 2-3-24 DR# LIPA A
4PCS 1-8-24 Dr#74604 SPC
4pcs 12-21-23 dr# lipa a
4PCS 11-13-23 DR#74403 SPC
2pcs 8-12-23 dr#73274 LIPA A
4PCS 7-7-23 SPC </t>
        </r>
      </text>
    </comment>
    <comment ref="H171" authorId="0" shapeId="0" xr:uid="{C8C80936-62E2-574E-94D6-E724565303D6}">
      <text>
        <r>
          <rPr>
            <sz val="10"/>
            <rFont val="SimSun"/>
            <charset val="134"/>
          </rPr>
          <t>OUT 4PCS 03.03.26 DR80885 SPC HACKET
02.01.26
54716 2PCS ALY
10-29-25
2 PCS 51855 JARVIS
10-5-25
2 PCS 51173 ALY
8-18-25
4 PCS 49743 JARVIS
4-28-25
4 PCS 45838 ROSE
3-29-25
2 PCS OUT JO44707 JARVIS
2 PCS OUT 3-13-25 JO43967 JARVIS 
1 PC OUT 2-8-25 JO42719 JARVIS
2PC OUT 1/21/25 JO41902 ROSE
1PC OUT 12/23/24 JO41014 MARLO
11/26/24
40124 2pcs sales rose
OUT 2PCS 11/13/2024
JO39620 ALY
10/28/24
38852 2PCS SALES JARVIS
10/15/24 
38449 2PCS SALES ROSE
09/03/24
37362 1PC SALES ROSE
08/29/24
37213 1PC SALES ROSE
08/11/24
36672 4pcs sales jarvis
08/02/24
36491 2PCS SALES ROSE
36409 2PCS SALES ROSE
OUT 07/04/24 35666 2PCS SALES  BEL
OUT 06/08/24 34916 2PCS SALES
BEL
OUT 06/05/24 34885 2PCS SALES ROSE
OUT 2PCS 05/28/24 DR#75087 LIPA A BRIAN
OUT 04/25/24 33773 2PCS SALES
JARVIS
4PCS 2-3-24 JO#31615 JARVIS
1/29/2024 31445 2PCS SALES
4PCS 12-8-23 DR#73959 SPC
1PC 10-6-23 JO#28610 JARVIS
1pc 10-6-23 JO#28607 JARVIS
4PCS 7-20-23 JO#26861 MARLO</t>
        </r>
      </text>
    </comment>
    <comment ref="G173" authorId="0" shapeId="0" xr:uid="{9B8ED0A6-AA27-744C-AB07-8F57FFAF44D8}">
      <text>
        <r>
          <rPr>
            <sz val="10"/>
            <rFont val="SimSun"/>
            <charset val="134"/>
          </rPr>
          <t>IN 4PCS 9.22.25 DR#135338 DRAKESTER
IN 2PCS 9.13.25 DR#78637 LIPA A
IN 1PC 3.7.25 DR#77050 SPC HACKET
8PCS 12-19-24 DR085367 DRAKESTER
In 1pc 12/17/24 DR#76150 LIPA A
IN 4PCS 09/23/24 DR#76093 LIPA A
IN 5PCS 05/25/24 DR#75162 SPC KUYA HACKET
4PCS 12-8-23 DR#34180 DRAKESTER</t>
        </r>
      </text>
    </comment>
    <comment ref="H173" authorId="0" shapeId="0" xr:uid="{47F68985-7F59-DF43-9D7A-A35ED932FD7B}">
      <text>
        <r>
          <rPr>
            <sz val="10"/>
            <rFont val="SimSun"/>
            <charset val="134"/>
          </rPr>
          <t>03.03.26
55652 2PCS ALY
OUT 1PC 12.18.25 DR#80068 SPC HACKET
9-13-25
2 PCS 50552 JARVIS
5-19-25
1 PCS 46544 MARLO
4-27-25
2 PCS 45805 JARVIS
2 PCS OUT 2-18-25 JO43044 MARLO 
4 PC OUT 1/23/25 JO41909 ROSE
4pc out 12/17/24 jo40718 maribel
09/11/24
37555 2PCS SALES JARVIS
08/29/24
37214 2PCS SALES JARVIS
08/22/24
37014 4PCS SALES BEL
OUT 04/16/24 33529 1PCS SALES BEL</t>
        </r>
      </text>
    </comment>
    <comment ref="G174" authorId="0" shapeId="0" xr:uid="{5D69C4F3-CAB5-994F-B26E-75FA862F742F}">
      <text>
        <r>
          <rPr>
            <sz val="10"/>
            <rFont val="SimSun"/>
            <charset val="134"/>
          </rPr>
          <t>IN 1PCS 03.03.26 DR80785 SPC HACKET
IN 2PCS 02.28.26 DR168714 DRAKESTER (4,090)
IN 1PCS 02.26.26 DR80774 SPC RONNIE
IN 30PCS 11.29.25 DR#149608 DRAKESTER (4,090)
IN 4PCS 8.13.25 DR#79013 SPC HACKET
IN 2PCS 6.24.25 DR#77765 SPC HACKET
IN 4PCS 6.21.25 DR#78085 LIPA A
IN 1PCS 6.12.25 DR#115296 DRAKESTER
IN 4PCS 5-2-25 DR#77702 SPC HACKET
IN 1PC 4.15.25 DR#77540 LIPA 
IN 1PCS 3.26.25 DR#77367 SMS HACKET
IN 2PCS 2.21.25 DR#095108 DRAKESTER
IN 4PCS 1-15-25 DR#88601 DRAKESTER
IN 1PC 1-06-25 DR#76163 LIPA A
----------------------------------------------
IN 4PCS 12-30-24 DR#76862 SPC KUYA RONNIE
IN 4PCS 12-27-24 DR#76858 SPC KUYA HACKET
IN 1PCS 12-23-24 DR#76153 LIPA A
IN 8PCS 09/21/24 DR#76538 SPC KUYA HACKET
IN 4PCS 07/18/24 DR# SPC KUYA HACKET</t>
        </r>
      </text>
    </comment>
    <comment ref="H174" authorId="0" shapeId="0" xr:uid="{80C1960C-9475-6842-A750-ACF55C685812}">
      <text>
        <r>
          <rPr>
            <sz val="10"/>
            <rFont val="SimSun"/>
            <charset val="134"/>
          </rPr>
          <t xml:space="preserve">02.27.26
55525 2PCS ALY
02.20.26
55346 2PCS JARVIS
OUT 4PCS 02.11.26 DR80246 SPC HACKET
02.11.26
55015 2PCS JEN
OUT 4PCS 12.18.25 DR#80068 SPC HACKET
OUT 10PCS 12.3.25 DR#80047 SPC HACKET
OUT 4PCS 12.2.25 DR#80045 LIPA A ROI
11-22-25
2 PCS 52558 MARIBEL
2PCS 52541 ALY
9-22-25
4 PCS 50725 MARLO
6.21.25
47828 2PCS MARLO
6.19.25
47688 4PCS BEL
OUT 1PCS 6.13.25 DR#78322 LIPA A
4-15-25
2 PCS OUT JO45323 MARLO
4-12-25
2 PCS OUT JO45139 DALIA
2 PCS OUT 3-11-25 JO43892 MAM JEN
OUT 4PCS 2.5.25 DR#76960 BIÑAN
2 PCS  OUT 1/25/25 JO42009 DALIA
1/5/25 1pc out jo41444 aly
12-29-24
39946 4PCS SALES OFFICE
12-21-24
40953 1PC SALES JARVIS
OUT 4PCS 12/9/24 JO40485 MARLO
OUT 4PCS 11/28/24 JO40185 DALIA
09/02/24
37332 4PCS SALES JARVIS
</t>
        </r>
      </text>
    </comment>
    <comment ref="G175" authorId="0" shapeId="0" xr:uid="{F7DA42AB-BAF0-CE47-861C-B4804B9B5836}">
      <text>
        <r>
          <rPr>
            <sz val="10"/>
            <rFont val="SimSun"/>
            <charset val="134"/>
          </rPr>
          <t>IN 4PCS 02.06.26 DR163942 DRAKESTER
IN 8PCS 8.12.25 DR#127119 DRAKESTER 
IN 4PCS 6.30.25 DR#77781 SPC ALWIN
IN 4PCS 4.25.25 DR#78008 LIPA A BRIAN
IN 4PCS 2.11.25 DR#093357 DRAKESTER
IN 4PCS 1-20-25 DR#76894 SPC KUYA MIKE</t>
        </r>
      </text>
    </comment>
    <comment ref="H175" authorId="0" shapeId="0" xr:uid="{20812D75-DB98-3149-8EB4-57B62F320B9C}">
      <text>
        <r>
          <rPr>
            <sz val="10"/>
            <rFont val="SimSun"/>
            <charset val="134"/>
          </rPr>
          <t>OUT 6PCS 02.10.26 DR80244 SPC ALWIN
OUT 2PCS 9.15.25 DR#79264 BIÑAN
OUT 2PCS 8.29.25 DR#78437 SPC SERVICE
OUT 4PCS 8.14.25 DR#78408 LIPA A HACKET
OUT 4PCS 6.7.25 DR#78314 SPC BOYONG
OUT 4PC 5.5.25 DR#77638 SPC EMMAN
4 PC OUT 2/1/25 JO42385 JARVIS</t>
        </r>
      </text>
    </comment>
    <comment ref="G176" authorId="0" shapeId="0" xr:uid="{B6E6654C-75A2-C647-800F-3D6FFACE2140}">
      <text>
        <r>
          <rPr>
            <sz val="10"/>
            <rFont val="SimSun"/>
            <charset val="134"/>
          </rPr>
          <t>IN 1PCS 8.11.25 DR#79006-07 SPC EMMAN
IN 2PCS 8.5.25 DR#78835 SPC HACKET
IN 2PCS 6.12.25 DR#115295 DRAKESTER
IN 8PCS 10/16/24 DR#76657 SPC</t>
        </r>
      </text>
    </comment>
    <comment ref="H176" authorId="0" shapeId="0" xr:uid="{D33C810C-2B9F-7E45-B018-3C40751D3005}">
      <text>
        <r>
          <rPr>
            <sz val="10"/>
            <rFont val="SimSun"/>
            <charset val="134"/>
          </rPr>
          <t>2-27-25
4 PCS 45811 JARVIS
OUT 4PCS 10/18/24 DR75651 LIPA A</t>
        </r>
      </text>
    </comment>
    <comment ref="G177" authorId="0" shapeId="0" xr:uid="{922782E2-473D-B04A-A94B-7ACC1F9A8FB0}">
      <text>
        <r>
          <rPr>
            <sz val="10"/>
            <rFont val="SimSun"/>
            <charset val="134"/>
          </rPr>
          <t>IN 2PCS 12-10-24 DR#083900 DRAKESTER
IN 4PCS 10/26/24 DR#76680 SPC MASTER
IN 4PCS 06/26/24 DR# SPC MASTER
IN 4PCS  2/29/24 DR#74842 SPC
4PCS 2-12-24 DR#74812-13 SPC
IN 12-28-23 DR#73320 4PCS LIPA A
4PCS 12-8-23 DR#34180 DRAKESTER
4PCS 7-8-23 SPC</t>
        </r>
      </text>
    </comment>
    <comment ref="H177" authorId="0" shapeId="0" xr:uid="{A6E19A42-E3B6-5D48-9834-D2A49887032C}">
      <text>
        <r>
          <rPr>
            <sz val="10"/>
            <rFont val="SimSun"/>
            <charset val="134"/>
          </rPr>
          <t>OUT 4PCS 02.18.26 DR80865-68 SPC HACKET
OUT 4PCS 6.11.25 DR#78317 SPC BRY
11/26/24
40102 2pcs sales jarvis
OUT 4PCS 10-16-24 DR# LIPA A
OUT 4PCS 06/15/24 DR#75108 SPC KUYA HACKET
OUT 4PCS 3/10/24 DR#74703 SPC PICK UP MASTER
OUT 2/27/24 32256 4PCS SALES
4PCS 12-28-23 JO#30632 JARVIS
4pcs 12-26-23 JO#30544 JOHNLY
4PCS 7-9-23 JO#26615 MARLO</t>
        </r>
      </text>
    </comment>
    <comment ref="G178" authorId="0" shapeId="0" xr:uid="{79790CB3-3E2F-874C-A064-F2ABC28E42DA}">
      <text>
        <r>
          <rPr>
            <sz val="10"/>
            <rFont val="SimSun"/>
            <charset val="134"/>
          </rPr>
          <t>IN 2PCS 11/30/24 DR#75730 SPC KUYA HACKET
IN 2PCS 10/23/24 DR#76677 SPC BOSS SAM
IN 2PCS 05/25/24 DR#75162 SPC KUYA HACKET
4pcs 1-6-24 DR#74603 SPC
4PCS 12-8-23 DR#34180 DRAKESTER
4PCS 7-8-23 SPC</t>
        </r>
      </text>
    </comment>
    <comment ref="H178" authorId="0" shapeId="0" xr:uid="{2F05BDCA-C770-1241-A834-359E6533DFD9}">
      <text>
        <r>
          <rPr>
            <sz val="10"/>
            <rFont val="SimSun"/>
            <charset val="134"/>
          </rPr>
          <t>11-30-24
40219 2PCS SALES JARVIS
10/20/2024	38663 2PCS SALES
OUT 2/26/24 32248 2PCS marlo
4PCS 12-29-23 JO#30600 JOHNLY
4pcs 7-15-23 DR#73869 LIPA A</t>
        </r>
      </text>
    </comment>
    <comment ref="G179" authorId="0" shapeId="0" xr:uid="{A39895BE-AF47-CF4C-A48D-A67DDD64CD62}">
      <text>
        <r>
          <rPr>
            <sz val="10"/>
            <rFont val="SimSun"/>
            <charset val="134"/>
          </rPr>
          <t>IN 4pcs 11/21/24 DR#080139 DRAKESTER</t>
        </r>
      </text>
    </comment>
    <comment ref="H179" authorId="0" shapeId="0" xr:uid="{8A51E3D3-2324-2E4D-B205-5A97F13EA2FE}">
      <text>
        <r>
          <rPr>
            <sz val="10"/>
            <rFont val="SimSun"/>
            <charset val="134"/>
          </rPr>
          <t xml:space="preserve">12-02-24
40302 4pcs sales jarvis
</t>
        </r>
      </text>
    </comment>
    <comment ref="G180" authorId="0" shapeId="0" xr:uid="{5ED5C9EE-9EC3-3449-9392-9CA5A23E36E9}">
      <text>
        <r>
          <rPr>
            <sz val="10"/>
            <rFont val="SimSun"/>
            <charset val="134"/>
          </rPr>
          <t>IN 3PCS 02.26.26 DR80774 SPC RONNIE
IN 4PCS 01.30.26 DR161960 DRAKESTER
IN 3PCS 10.10.25 DR#139168 DRAKESTER
IN 4PCS 8.12.25 DR#127119 DRAKESTER 
IN 4PCS 5.21.25 DR#111072 DRAKESTER
IN 4PCS 4.12.25 DR#77660 SPC HACKET
IN 2PCS 3.28.25 DR#77510 LIPA A
IN 1PCS 2.11.25 DR#093357 DRAKESTER
8PCS 2-12-24 DR#74812-13 SPC
4PCS 12-8-23 DR#34180 DRAKESTER</t>
        </r>
      </text>
    </comment>
    <comment ref="H180" authorId="0" shapeId="0" xr:uid="{8E42E5E3-65C6-CF46-990F-F3A107ED1EA9}">
      <text>
        <r>
          <rPr>
            <sz val="10"/>
            <rFont val="SimSun"/>
            <charset val="134"/>
          </rPr>
          <t>02.17.26
55147 4PCS JEN
12.19.25
53429 4PCS JARVIS
10-2-25
2 PCS 51072 MARLO
9-12-25
4 PCS 50494 JARVIS
8.2.25
49267 2PCS BEL
OUT 1PCS 7.26.25 DR#78379 SPC RONNIE
OUT 2PC 5.27.25 DR#77985 SPC ROI
3-28-25
2 PCS OUT JO44584 DALIA
2.24.25
43361 2PCS BEL
1 PC OUT 1/25/25 JO42118  MARIBEL 
4PCS 11/12/24 DR#75706 SPC
OUT 1PC 05/21/24 DR#75076 SPC KUYA HACKET
OUT 1PC 04/10/24 DR#74762 LIPA A
OUT 02-18-2024
32007 2PCS SALES JARVIS
4PCS 12-18-23 JO#30354 BEL</t>
        </r>
      </text>
    </comment>
    <comment ref="G181" authorId="0" shapeId="0" xr:uid="{15F0E617-9022-F24D-84C7-55B9FD498A11}">
      <text>
        <r>
          <rPr>
            <sz val="10"/>
            <rFont val="SimSun"/>
            <charset val="134"/>
          </rPr>
          <t>IN 4PCS 01.30.26 DR161960 DRAKESTER
IN 2PCS 01.16.26 DR80170 LIPA A
IN 4PCS 11.29.25 DR#149609 DRAKESTER
IN 16PCS 8.12.25 DR#127119 DRAKESTER 
IN 1PCS 8.7.25 DR#78842 SPC HACKET
IN 1PC 8.7.25 DR#78840 SPC YONG
IN 2PCS 7.5.25 DR#119880 DRAKESTER
IN 2PCS 6.18.25 DR#77754 SPC HACKET
IN 4PCS 6.4.25 DR#77221 BIÑAN HACKET
IN 4PCS 5-2-25 DR#77702 SPC HACKET
IN 1PC 4.24.25 ST002515 BINAN
IN 4PCS 1-15-25 DR#88601 DRAKESTER
---------------------------------------------
IN 8PCS 12-10-24 DR#083900 DRAKESTER
IN 2PCS 09/19/24 DR#76534 SPC KUYA HACKET
IN 8PCS 08/22/24 DR#76553 SPC KUYA EMMAN
IN 4PCS 07/29/24 DR#064581 DRAKESTER
IN 8PCS 07/29/24 DR#06447 DRAKESTER
IN 2PCS 07/18/24 DR# SPC KUYA HACKET
IN 4PCS 05/29/24 DR# SPC KUYA HACKET
IN 4PCS 05/25/24 DR#75162 SPC KUYA HACKET
IN 4PCS 03/20/24 DR#73434 LIPA A
4PCS 2-12-24 DR#74812-13 SPC
4PCS 12-8-23 DR#34180 DRAKESTER
4PCS 7-8-23 SPC</t>
        </r>
      </text>
    </comment>
    <comment ref="H181" authorId="0" shapeId="0" xr:uid="{22B1D14C-DE10-484A-98DD-204E796CBC47}">
      <text>
        <r>
          <rPr>
            <sz val="10"/>
            <rFont val="SimSun"/>
            <charset val="134"/>
          </rPr>
          <t>02.10.26
54965 2PCS ALY
01.17.26
54298 4PCS ALY
12-26-25
4 PCS 53607 MARIBEL
11.27.25
52663 2PCS ALY
OUT 4PCS 11.7.25 DR#80006 SPC HACKET
OUT 5PCS 10.8.25 DR#79297 SPC ROBIN
OUT 3PCS 8.29.25 DR#78439 SPC HACKET
8-24-25
4 PCS 49930 JARVIS
7-4-25
2 PCS 48366 JARVIS
6.27.25
48052 2PCS ROSE
6-11-25
2 PCS 47353 JARVIS
OUT 4PCS 6.4.25 DR#78306 SPC SERVICE
4-24-25
4 PCS 45588 MARIBEL 
OUT 1PC 3.25.25 DR#77186 LIPA A
OUT 1PC 3.18.25 DR#77167 SPC MIKE
2PCS 3.16.24 DR#77159 SPC
1 PC OUT 3-7-25 JO43786 JARVIS
2 PCS OUT 3-1-25 JO43535 MARIBEL 
OUT 4PCS 2.16.25 DR#77101 BIÑAN KUYA RONNIE
12-19-2024 OUT
40853 SALES 4PCS ALY
11/26/24
40093 4pcs sales aly
09/17/24
37741 2PCS SALES BEL
09/16/24
37691 4PCS SALES BEL
08/17/24
36891 4PCS SALES MARLO
08/14/24
36768 4PCS SALES JARVIS
07/20/24
36106 4PCS SALES BEL
OUT 2PCS 07/06/24 35771 2PCS SALES MARLO
OUT 4PCS 05/28/24 DR#75087 LIPA A BRIAN
OUT 03/20/24 32863 4PCS SALES MARLO
4pcs 2-22-24 32152 BEL
4PCS 1-16-24 JO#31060 JOHNLY
4PCS 7-10-23 JO#26638 BEL</t>
        </r>
      </text>
    </comment>
    <comment ref="G182" authorId="0" shapeId="0" xr:uid="{D2E9E925-3E55-FD4A-9A99-B39C1FC72AE9}">
      <text>
        <r>
          <rPr>
            <sz val="10"/>
            <rFont val="SimSun"/>
            <charset val="134"/>
          </rPr>
          <t>IN 8PCS 8.12.25 DR#127119 DRAKESTER 
IN 4PCS 6.12.25 DR#115295 DRAKESTER</t>
        </r>
      </text>
    </comment>
    <comment ref="H182" authorId="0" shapeId="0" xr:uid="{624E5E39-DB1B-1443-A3EF-60A0BDECFAE7}">
      <text>
        <r>
          <rPr>
            <sz val="10"/>
            <rFont val="SimSun"/>
            <charset val="134"/>
          </rPr>
          <t xml:space="preserve">OUT 3PCS 8.20.25 DR#78419 SPC HACKET
OUT 1PC 8.15.25 DR#78411 SPC SERVICE
OUT 4PCS 8.14.25 DR#78408 LIPA A HACKET
</t>
        </r>
      </text>
    </comment>
    <comment ref="G183" authorId="0" shapeId="0" xr:uid="{5F209AE8-33E2-AD47-AB9C-23E229B4E70A}">
      <text>
        <r>
          <rPr>
            <sz val="10"/>
            <rFont val="SimSun"/>
            <charset val="134"/>
          </rPr>
          <t>IN 4PCS 10.14.25 DR#78951 SV ROBIN
IN 2PCS 10.10.25 DR#139168 DRAKESTER
IN 2PCS 4.26.25 DR#78009 LIPA A
IN 2PCS 4.25.25 DR#78008 LIPA A BRIAN
IN 4PCS 11/02/24 DR#76697 SPC KUYA HACKET
IN 4PCS 07/29/24 DR#064476 DRAKESTER (LIPA A)
IN 4PCS 07/29/24 DR#06447 DRAKESTER
IN 4PCS 07/29/24 DR#064475 DRAKESTER (STC)
IN 7-26-24 DR#75250  8PCS  SPC
IN 4PCS 05/29/24 DR# SPC KUYA HACKET
IN 4PCS 05/25/24 DR#75162 SPC KUYA HACKET
IN  1PCS 03/14/24 DR#73427
4PCS 12-8-23 DR#34180 DRAKESTER
4PCS 7-10-23 SPC</t>
        </r>
      </text>
    </comment>
    <comment ref="H183" authorId="0" shapeId="0" xr:uid="{143DDEE0-B1BE-8F42-82AF-0A71C276ACEB}">
      <text>
        <r>
          <rPr>
            <sz val="10"/>
            <rFont val="SimSun"/>
            <charset val="134"/>
          </rPr>
          <t>OUT 4PCS 02.18.26 DR80865-68 SPC HACKET
OUT 4PCS 10.14.25 DR#79757 SPC RONNIE
10-5-25
2 PCS 51191 MARIBEL
OUT 2PCS 5.6.25 DR#77640 SPC ALWIN
3.30.25
44734 2PCS JARVIS
OUT 2PCS 3.28.25 DR#77195 SPC EMMAN
OUT 3PCS 2.20.25 DR#77120 SPC ALWIN
OUT 10/29/24
JO#38882 4PCS  MARLO
09/20/24
37730 1PC SALES DAHLIA
OUT 4PCS 07/30/24 DR#75358-59 LIPA A
OUT 4PCS 07/30/24 REF#75671 STC MASTER
OUT 2PCS 07/28/24 DR#75357 SPC SERVICE
OUT 4PCS 07/22/24 DR#75354 SPC SERVICE
OUT 4PCS 05/28/24 DR#75087 LIPA A BRIAN
OUT 03/14/24 4PCS SALES 32711
OUT 03/05/2024 32416 1PCS SALES LEN
4pcs 8-3 DR#73897 SPC</t>
        </r>
      </text>
    </comment>
    <comment ref="G184" authorId="0" shapeId="0" xr:uid="{F6C9FDEF-9CE3-734F-9B41-5CEB43BFA31C}">
      <text>
        <r>
          <rPr>
            <sz val="10"/>
            <rFont val="SimSun"/>
            <charset val="134"/>
          </rPr>
          <t>IN 4PCS 4.25.25 DR#78008 LIPA A BRIAN
IN 4PCS 09/21/24 DR#76538 SPC KUYA HACKET</t>
        </r>
      </text>
    </comment>
    <comment ref="H184" authorId="0" shapeId="0" xr:uid="{FFCFF5CC-29B6-BE47-BD51-1D8F1F6E080B}">
      <text>
        <r>
          <rPr>
            <sz val="10"/>
            <rFont val="SimSun"/>
            <charset val="134"/>
          </rPr>
          <t xml:space="preserve">OUT 2PCS 4.16.25 DR#77601 SPC HACKET
3.30.25
44734 2PCS SALES JARVIS
</t>
        </r>
      </text>
    </comment>
    <comment ref="G185" authorId="0" shapeId="0" xr:uid="{8C59F9C8-F7C3-8C49-978B-4977750C8CDB}">
      <text>
        <r>
          <rPr>
            <sz val="10"/>
            <rFont val="SimSun"/>
            <charset val="134"/>
          </rPr>
          <t>IN 4PCS 11.29.25 DR#149609 DRAKESTER 
IN 2PCS 4.25.25 DR#78008 LIPA A
N 4PCS 09/21/24 DR#76538 SPC KUYA HACKET
IN 7-26-24 DR#75250  8PCS  SPC</t>
        </r>
      </text>
    </comment>
    <comment ref="H185" authorId="0" shapeId="0" xr:uid="{B7995DE7-46A0-5B44-9D1F-0D0AA5D3BC84}">
      <text>
        <r>
          <rPr>
            <sz val="10"/>
            <rFont val="SimSun"/>
            <charset val="134"/>
          </rPr>
          <t xml:space="preserve">
OUT 4PCS 01.30.26 DR80231 SPC HACKET
OUT 2PCS 7.10.25 DR#78359 SPC RONNIE
09/07/24
37475 4PCS SALES JARVIS
OUT 4PCS 08/17/24 DR#75374 SPC KUYA HACKET</t>
        </r>
      </text>
    </comment>
    <comment ref="G186" authorId="0" shapeId="0" xr:uid="{4F5BF021-3473-A642-AB34-0F278D6674D4}">
      <text>
        <r>
          <rPr>
            <sz val="10"/>
            <rFont val="SimSun"/>
            <charset val="134"/>
          </rPr>
          <t>IN 2PCS 12.26.25 DR79915-17 SPC HACKET
IN 2PCS 9.3.25 DR#79070 SPC KUYA RONNIE
IN 4PCS 6.4.25 DR#77221 BIÑAN HACKET
IN 2PCS 5.21.25 DR#111072 DRAKESTER
4PCS 11-30-24 DR#76133 LIPA A
IN 4PCS 10/29/24 DR#76685 SPC</t>
        </r>
      </text>
    </comment>
    <comment ref="H186" authorId="0" shapeId="0" xr:uid="{4E077C3F-7E60-F04F-B84C-120CEB2659EB}">
      <text>
        <r>
          <rPr>
            <sz val="10"/>
            <rFont val="SimSun"/>
            <charset val="134"/>
          </rPr>
          <t xml:space="preserve">12-4-25
2 PCS 52897 JARVIS
OUT 2PCS 8.27.25 DR#78433 SPC SERVICE
OUT 2PCS 7.2.25 DR#78343 SPC BRY
OUT 4PCS 4.24.25 DR#77611 BIÑAN
OUT 2PCS 11/25/24 JO40069 JARVIS
OUT 2PCS SALES 11/15/24 JO39806 MARLO
</t>
        </r>
      </text>
    </comment>
    <comment ref="G187" authorId="0" shapeId="0" xr:uid="{2C6C96B6-0C67-024D-9753-5EA95A8B7FCD}">
      <text>
        <r>
          <rPr>
            <sz val="10"/>
            <rFont val="SimSun"/>
            <charset val="134"/>
          </rPr>
          <t>IN 2PCS 02.28.26 DR168714 DRAKESTER (5,490)
IN 1PCS 12-10-24 DR#083900 DRAKESTER
IN 2PCS 10-18-24 DR#76661 SPC KUYA HACKET
IN 4PCS 08/11/24 DR#76519 SPC MASTER
IN 4PCS 08/09/24 DR#76516 SPC KUYA HACKET
IN 4PCS 07/25/24 REF#75662 STC
4PCS 2-12-24 DR#74812-13 SPC
4PCS 7-10-23 SPC</t>
        </r>
      </text>
    </comment>
    <comment ref="H187" authorId="0" shapeId="0" xr:uid="{C281D330-4557-E946-BDD9-0536CE76D8C0}">
      <text>
        <r>
          <rPr>
            <sz val="10"/>
            <rFont val="SimSun"/>
            <charset val="134"/>
          </rPr>
          <t>4-25-25
4 PCS 45580 MARLO
OUT 4PCS 4.5.25 DR#77558 BIÑAN HACKET
OUT 2PCS SALES 09/04/24 37339 JARVIS
4pcs 2-22-24 32151 bel
 4PCS 9-18-23 jo#28238 BEL</t>
        </r>
      </text>
    </comment>
    <comment ref="G188" authorId="0" shapeId="0" xr:uid="{B619A637-145C-B94D-AE6C-B40F9915C793}">
      <text>
        <r>
          <rPr>
            <sz val="10"/>
            <rFont val="SimSun"/>
            <charset val="134"/>
          </rPr>
          <t>IN 1PCS 10.31.25 DR#143700 DRAKESTER
IN 4PCS 8.29.25 DR#130739 DRAKESTER
IN 2PCS 4.7.25 DR#77524 LIPA A
IN 2PCS 2.1525 DR#77063 LIPA A
IN 4PCS 07/29/24 DR#064476 DRAKESTER (LIPA A)
IN 4PCS 07/18/24 DR# SPC KUYA HACKET</t>
        </r>
      </text>
    </comment>
    <comment ref="H188" authorId="0" shapeId="0" xr:uid="{A6051778-0020-244E-9188-7E1D577EB0C0}">
      <text>
        <r>
          <rPr>
            <sz val="10"/>
            <rFont val="SimSun"/>
            <charset val="134"/>
          </rPr>
          <t>OUT 2PCS 02.18.26 DR80865-67 SPC HACKET
OUT 2PCS 01.18.26 DR80204 2PCS LIPA A
10-23-25
1 PC 51652 MARIBEL
5-19-25
4 PCS 46537 JARVIS
2 PC  OUT 2/1/25 JO42382 JARVIS
2 PC OUT  2/1/25 JO 42382
JAVIS
OUT 4PCS 07/30/24 DR#75358-59 LIPA A</t>
        </r>
      </text>
    </comment>
    <comment ref="G189" authorId="0" shapeId="0" xr:uid="{8E357814-B22D-F447-9EA5-319091C8367F}">
      <text>
        <r>
          <rPr>
            <sz val="10"/>
            <rFont val="SimSun"/>
            <charset val="134"/>
          </rPr>
          <t xml:space="preserve">IN 4PCS 02.20.26 DR80489 BIÑAN
IN 4PCS 1.5.25 DR80158 LIPA A
IN 4PCS 8.8.25 DR#126473 DRAKESTER
IN 1PCS 6.19.25 DR#116640 DRAKESTER
IN 1PCS 5.22.25 DR#77747 SPC RONNIE
IN 1PCS 4.4.25 DR#77390 SPC HACKET
IN 3PCS 3.26.25 DR#77367 SMS HACKET
IN 4PCS 10-26-24 DR#76857 SPC KUYA BOYONG
IN 2PCS 12-04-24 DR#75738 SPC BRIAN
IN 4PCS 10/26/24 DR#76680 SPC KUYA HACKET
</t>
        </r>
      </text>
    </comment>
    <comment ref="H189" authorId="0" shapeId="0" xr:uid="{A1C418CF-04BF-6548-95C8-EF3FED183D29}">
      <text>
        <r>
          <rPr>
            <sz val="10"/>
            <rFont val="SimSun"/>
            <charset val="134"/>
          </rPr>
          <t>1-5-25
4PCS OUT 53877 JARVIS
12.21.25
53473 4PCS JARVIS
8-26-25
4 PCS 49947 ALY
5.14.25
46335 2PCS JARVIS
2-21-25 4 PCS OUT JO43100 JARVIS
4pc 12/20/24 jo40908 jarvis
11/06/24 2PCS SPC</t>
        </r>
      </text>
    </comment>
    <comment ref="G190" authorId="0" shapeId="0" xr:uid="{5E1805F6-F1B1-5F4A-91B7-111ED316767C}">
      <text>
        <r>
          <rPr>
            <sz val="10"/>
            <rFont val="SimSun"/>
            <charset val="134"/>
          </rPr>
          <t>IN 3PCS 8.29.25 DR#130739 DRAKESTER
IN 1PCS 6.12.25 DR#115295 DRAKESTER
IN 2PCS 5.13.25 DR#78035 lipa a
IN 4PCS 05/29/24 DR# SPC KUYA HACKET
IN 4PCS 05/25/24 DR#75162 SPC KUYA HACKET
IN 02-18-2024
4PCS SPC MASTER DELIVER</t>
        </r>
      </text>
    </comment>
    <comment ref="H190" authorId="0" shapeId="0" xr:uid="{83C0F1F6-822F-7D44-B807-6093F234566F}">
      <text>
        <r>
          <rPr>
            <sz val="10"/>
            <rFont val="SimSun"/>
            <charset val="134"/>
          </rPr>
          <t>5.14.25
46335 2PCS JARVIS
4pc out 1/5/25 jo41447 aly
OUT 4PCS 05/28/24 DR#75087 LIPA A BRIAN
4PCS 2-22-24 32116 JOHNLY</t>
        </r>
      </text>
    </comment>
    <comment ref="G191" authorId="0" shapeId="0" xr:uid="{F8AA0AC7-18F1-E040-A4CD-3901F1CD5FBB}">
      <text>
        <r>
          <rPr>
            <sz val="10"/>
            <rFont val="SimSun"/>
            <charset val="134"/>
          </rPr>
          <t>IN 1PC 11.13.25 DR#78660 LIPA A
IN 8PCS 8.29.25 DR#130720 DRAKESTER
IN 4PCS 6.19.25 DR#116640 DRAKESTER
4PCS 12-19-24 DR085367 DRAKESTER
IN 4PCs 11/23/24 DR#75721 SPC
IN 4PCS 10/13/24 DR#76646-48 SPC KUYA HACKET
4pcs 10-19-23 DR#72676  LIPA A</t>
        </r>
      </text>
    </comment>
    <comment ref="H191" authorId="0" shapeId="0" xr:uid="{AD34D792-F936-5F42-B424-602D9E5E3B81}">
      <text>
        <r>
          <rPr>
            <sz val="10"/>
            <rFont val="SimSun"/>
            <charset val="134"/>
          </rPr>
          <t>10-30-25
4 PCS ALY 51866
10-3-25
1 PC 51122 MARIBEL
8.21.25
49854 4PCS JARVIS
5.29.25
46918 4PCS BEL
OUT 3PCS 3.28.25 DR#77195 SPC EMMAN
1 PC OUT 3-18-25 JO44133 ALY
OUT 4PCS 2.14.25 DR#76993 SPC
12-02-24
40302 4pcs sales jarvis
4pcs 10-19-23 jo#28928 MARLO</t>
        </r>
      </text>
    </comment>
    <comment ref="G192" authorId="0" shapeId="0" xr:uid="{DEE5ADDC-874E-5D4A-9A0F-B7BD79008A87}">
      <text>
        <r>
          <rPr>
            <sz val="10"/>
            <rFont val="SimSun"/>
            <charset val="134"/>
          </rPr>
          <t>IN 1PCS 01.09.26 DR79951-53 SPC HACKET
IN 3PCS 10.10.25 DR#139168 DRAKESTER
IN 1PC 9.30.25 DR#78712 LIPA A
IN 4PCS 8.12.25 DR#127119 DRAKESTER 
IN 1PCS 8.11.25 DR#79006-07 SPC EMMAN
IN 4PCS 08/29/24 DR#68933 DRAKESTER
IN 4PCS 08/02/24 DR# SPC KUYA HACKET
IN 4PCS 07/30/24 DR# SPC KUYA EMMAN
IN 4PCS 06/20/24 DR#75189 SPC KUYA MIKE 
4PCS 2-12-24 DR#74812-13 SPC
2PCS 11-26-23 DR#74447 SPC
4PCS 7-10-23 SPC</t>
        </r>
      </text>
    </comment>
    <comment ref="H192" authorId="0" shapeId="0" xr:uid="{1288C181-2A15-3C49-AE2F-66B1F8794295}">
      <text>
        <r>
          <rPr>
            <sz val="10"/>
            <rFont val="SimSun"/>
            <charset val="134"/>
          </rPr>
          <t>OUT 1PC 01.13.26 DR80098 SPC SERVICE
OUT 3PCS 01.06.26 DR80087 LIPA A
9-30-25
4 PCS 51003 ALY
OUT 4PCS 8.14.25 DR#78408 LIPA A HACKET
6-17-25
3 PCS  47624 JARVIS
4 PCS OUT 3-1-25 JO43553 JARVIS
OUT 2PCS 2.16.25 DR#77103 SPC
2pcs out 12/13/24 jo40618 aly
08/24/24
37060 2PCS SALES JARVIS
08/13/24
36763 2PCS SALES JARVIS
07/29/24
36373 4PCS SALES BEL
OUT 03/04/2024 32427 4PCS SALES BEL
2PCS 1-7-24 jo#30895 bel
2PCS 7-19-23 JO#26849 MARLO</t>
        </r>
      </text>
    </comment>
    <comment ref="G193" authorId="0" shapeId="0" xr:uid="{4654A6BD-049A-A947-BF05-C4C29515E2EF}">
      <text>
        <r>
          <rPr>
            <sz val="10"/>
            <rFont val="SimSun"/>
            <charset val="134"/>
          </rPr>
          <t xml:space="preserve">IN 2PCS 9.22.25 DR#135338 DRAKESTER
IN 2PCS 9.15.25 DR#78641 LIPA A
IN 4PCS 8.8.25 DR#126473 DRAKESTER
IN 2PCS 6.19.25 DR#116640 DRAKESTER
IN 4PCS 5.21.25 DR#111072 DRAKESTER
IN 2PCS 1-22-25 DR#76898 SPC KUYA EMMAN
---------------------------------------------
IN 4PCS 12-10-24 DR#083900 DRAKESTER
IN 1PC 12/08/24 DR#76144 LIPA A
IN 4PCS 10/26/24 DR#76680 SPC KUYA HACKET
</t>
        </r>
      </text>
    </comment>
    <comment ref="H193" authorId="0" shapeId="0" xr:uid="{6C9339D4-BEBD-814D-A719-1F74B998588A}">
      <text>
        <r>
          <rPr>
            <sz val="10"/>
            <rFont val="SimSun"/>
            <charset val="134"/>
          </rPr>
          <t>10-6-25
4 PCS  51181 ALY
OUT 2PCS 9.2.25 DR#78444 SPC HACKET
8-29-25
4 PCS 50082 MARIBEL
6-6-25
2 PCS 47200 JARVIS
4-22-25
4 PCS 45507 JARVIS
2PC OUT 1/19/25 JO41917 JARVIS
1PC 12-8-24 JO#40501 ALY
4PCS 11/29/24 JO40202 ALY</t>
        </r>
      </text>
    </comment>
    <comment ref="G194" authorId="0" shapeId="0" xr:uid="{757B75A9-79D1-C24F-8583-19508BC087AD}">
      <text>
        <r>
          <rPr>
            <sz val="10"/>
            <rFont val="SimSun"/>
            <charset val="134"/>
          </rPr>
          <t>IN 1PC 03.03.26 DR80784 SPC LALAMOVE
IN 4PCS 01.30.26 DR161960 DRAKESTER
IN 4PCS 11.10.25 DR#79871 SPC HACKET
IN 1PCS 10.31.25 DR#79853-54  HACKET
IN 4PCS 10.8.25 DR#78720 LIPA A
IN 8PCS 8.12.25 DR#127119 DRAKESTER 
IN 2PCS 7.5.25 DR#119880 DRAKESTER
IN 2PCS 5.16.25 DR#78043 LIPA A MIKE
IN 4PCS 5-2-25 DR#77702 SPC HACKET
IN 2PCS 3.4.25 DR#77040 SPC HACKET
2PCS 11/12/24 DR#75706 SPC
IN 2PCS 10/03/24 DR#76630 SPC KUYA HACKET
IN 4PCS 09/21/24 DR#76538 SPC KUYA HACKET
IN 2PCS 05/31/24 DR#75169 SPC KUYA HACKET
IN 4PCS 05/25/24 DR#75162 SPC KUYA HACKET</t>
        </r>
      </text>
    </comment>
    <comment ref="H194" authorId="0" shapeId="0" xr:uid="{F390CD65-3389-BE40-AB11-9CD4D672985E}">
      <text>
        <r>
          <rPr>
            <sz val="10"/>
            <rFont val="SimSun"/>
            <charset val="134"/>
          </rPr>
          <t xml:space="preserve">03.03.26
55656 1PC ALY
02.03.26
54797 4PCS MARLO
12-6-25
4 PCS 53003 MARIBEL
11-8-25
4 PCS 52105 MARIBEL
10-22-25
 1 PC 51633 ALY
10.4.25
51124 4PCS BEL
OUT 4PCS 8.20.25 DR#78419 SPC HACKET
OUT 4PCS 8.14.25 DR#78408 LIPA A HACKET
6-4-25
2 PCS 47120 JARVIS
4.21.25
45449 4PCS JARVIS
3-5-25 2 PCS OUT JO43765 JARVIS
11/10/24
39565 2pcs sales rose
OUT 2PCS 09/30/24 DR#75424 LIPA A
OUT 07/07/24 35788 4PCS SALES  BEL
OUT 05/29/24 34683 2PCS SALES BEL </t>
        </r>
      </text>
    </comment>
    <comment ref="G195" authorId="0" shapeId="0" xr:uid="{71585A00-4F42-E24B-825A-080D113C6B5C}">
      <text>
        <r>
          <rPr>
            <sz val="10"/>
            <rFont val="SimSun"/>
            <charset val="134"/>
          </rPr>
          <t>IN 30PCS 11.29.25 DR#149608 DRAKESTER 
IN 4PCS 6.12.25 DR#115295 DRAKESTER
IN 4PCS 5.3.25 DR#107710 DRAKESTER 
IN 3PCS 4.21.25 DR#77546 LIPA A
IN 2PCS 2.20.25 DR#77030 SPC ALWIN
----------------------------------------------
4PCS 12-19-24 DR085367 DRAKESTER
IN 4PCS 12-14-24 DR#76852 SPC KUYA ALWIN
IN 4PCS 10/26/24 DR#76680 SPC KUYA HACKET
IN 4PCS 10-19-24 STA CRUZ
IN 4PCS 09/21/24 DR#76538 SPC KUYA HACKET</t>
        </r>
      </text>
    </comment>
    <comment ref="H195" authorId="0" shapeId="0" xr:uid="{9B822D70-26B3-8348-9747-AFFDF551407A}">
      <text>
        <r>
          <rPr>
            <sz val="10"/>
            <rFont val="SimSun"/>
            <charset val="134"/>
          </rPr>
          <t>OUT 4PCS 02.11.26 DR80246 SPC HACKET
02.07.26
54926 1PC ALY
12-15-25
1 PC OUT 53237 MARLO
OUT 18PCS 12.3.25 DR#80047 SPC HACKET
5-26-25
4 PCS 46875 MARLO 
OUT 3PCS 5.6.25 DR#77640 SPC ALWIN
4-10-25
4 PCS OUT JO45170 JARVIS
4PCS OUT 2-18-25 JO43008 MARIBEL
2 PCS OUT 2-10-25 JO42801 MARIBEL 
4PCS 10-19-24 SALES
10/14/24
38481 4PCS SALES BEL</t>
        </r>
      </text>
    </comment>
    <comment ref="G196" authorId="0" shapeId="0" xr:uid="{C87B493F-3956-994E-AA37-38F4322639F1}">
      <text>
        <r>
          <rPr>
            <sz val="10"/>
            <rFont val="SimSun"/>
            <charset val="134"/>
          </rPr>
          <t>IN 4PCS 06/11/24 DR#73490 LIPA A
4PCS 2-12-24 DR#74812-13 SPC</t>
        </r>
      </text>
    </comment>
    <comment ref="H196" authorId="0" shapeId="0" xr:uid="{903D7C24-C607-BD4D-8DC6-945DE7FDC45C}">
      <text>
        <r>
          <rPr>
            <sz val="10"/>
            <rFont val="SimSun"/>
            <charset val="134"/>
          </rPr>
          <t>OUT 06/10/24 35011 4PCS SALES BEL
OUT 05/25/24 34569 4PCS SALES BEL</t>
        </r>
      </text>
    </comment>
    <comment ref="G197" authorId="0" shapeId="0" xr:uid="{F3E55759-68F8-AA42-AF55-B336DF1DDDDC}">
      <text>
        <r>
          <rPr>
            <sz val="10"/>
            <rFont val="SimSun"/>
            <charset val="134"/>
          </rPr>
          <t xml:space="preserve">IN 4PCS 4.24.25 DR#78005 LIPA A
IN 4PCS 06/20/24 DR#75189 SPC KUYA MIKE </t>
        </r>
      </text>
    </comment>
    <comment ref="H197" authorId="0" shapeId="0" xr:uid="{89B4AB38-5E9D-C349-93DB-934026F0FDAF}">
      <text>
        <r>
          <rPr>
            <sz val="10"/>
            <rFont val="SimSun"/>
            <charset val="134"/>
          </rPr>
          <t>4-24-25
4 PCS 45576 MARLO 
4pcs 03.01.25 jarvis</t>
        </r>
      </text>
    </comment>
    <comment ref="G198" authorId="0" shapeId="0" xr:uid="{DD354246-326D-A943-8BFA-608433667260}">
      <text>
        <r>
          <rPr>
            <sz val="10"/>
            <rFont val="SimSun"/>
            <charset val="134"/>
          </rPr>
          <t>IN 4PCS 11.29.25 DR#149609 DRAKESTER (5,590)
IN 4PCS 8.29.25 DR#130720 DRAKESTER
IN 4PCS 10/12/24 DR#76641 SPC KUYA HACKET
IN 4PCS 10/08/24 DR#76101 LIPA A
IN 4PCS 07/29/24 DR#064476 DRAKESTER (LIPA A)
4PCS 2-12-24 DR#74812-13 SPC
4PCS 7-27-23 DR#73255 LIPA A
4PCS 7-10-23 SPC</t>
        </r>
      </text>
    </comment>
    <comment ref="H198" authorId="0" shapeId="0" xr:uid="{EF1CFDCE-9BFF-8842-BD13-2E9470F8FC3B}">
      <text>
        <r>
          <rPr>
            <sz val="10"/>
            <rFont val="SimSun"/>
            <charset val="134"/>
          </rPr>
          <t>OUT 1PCS 01.30.26 DR80231 SPC HACKET
OUT 1PC 10.9.25 DR#79299 STC BRY
OUT 5PCS 7.10.25 DR#78359 SPC RONNIE
OUT 1PC 1-27-25 DR#76951 SPC KUYA MIKE
OUT 1-22-25 4pcs DR#76931 SPC KUYA MIKE
----------------------------------------------
OUT 4PCS 07/30/24 DR#75358-59 LIPA A
4PCS 7-27-23 JO#27011 JARVIS
4PCS 7-24-23 JO#26947 BEL</t>
        </r>
      </text>
    </comment>
    <comment ref="G199" authorId="0" shapeId="0" xr:uid="{79A6F70B-36F7-BD41-8B09-B48CCF8C1C98}">
      <text>
        <r>
          <rPr>
            <sz val="10"/>
            <rFont val="SimSun"/>
            <charset val="134"/>
          </rPr>
          <t>IN 4PCS 07/29/24 DR#064476 DRAKESTER (LIPA A)
IN 4PCS 07/18/24 DR# SPC KUYA HACKET</t>
        </r>
      </text>
    </comment>
    <comment ref="H199" authorId="0" shapeId="0" xr:uid="{B43DCA9A-08EB-D04E-B02F-2F63D0D56F59}">
      <text>
        <r>
          <rPr>
            <sz val="10"/>
            <rFont val="SimSun"/>
            <charset val="134"/>
          </rPr>
          <t>2.16.25
42970 2PCS SALES BEL
OUT 2PCS 1-9-25 DR#76901 SPC
OUT 4PCS 07/30/24 DR#75358-59 LIPA A</t>
        </r>
      </text>
    </comment>
    <comment ref="G202" authorId="0" shapeId="0" xr:uid="{2D4223D5-C5B7-ED45-834F-E04011A32D3F}">
      <text>
        <r>
          <rPr>
            <sz val="10"/>
            <rFont val="SimSun"/>
            <charset val="134"/>
          </rPr>
          <t>IN 8PCS 1-15-25 DR#88601 DRAKESTER
IN 4PCS 1-8-25 DR#76876 SPC KUYA HACKET
----------------------------------------------
IN 4PCS 12-10-24 DR#083900 DRAKESTER
IN 4PCS 07/29/24 DR#064476 DRAKESTER (LIPA A)
IN 4PCS 07/29/24 DR#06447 DRAKESTER
4PCS 12-8-23 DR#34180 DRAKESTER
4PCS 7-10-23 SPC</t>
        </r>
      </text>
    </comment>
    <comment ref="H202" authorId="0" shapeId="0" xr:uid="{65791C7B-5A8B-6B4D-B340-1FA4BD4C41BD}">
      <text>
        <r>
          <rPr>
            <sz val="10"/>
            <rFont val="SimSun"/>
            <charset val="134"/>
          </rPr>
          <t>4-28-25
4PCS 45815 JARVIS
3.8.25 DR#77140 8pcs spc alwin
4pc out 1/6/25 jo39948 office
OUT 4PCS 11/28/24 JO40158 JARVIS
OUT 4PCS 07/30/24 DR#75358-59 LIPA A
4PCS 1-17-24 JO#31156 JARVIS
4PCS 7-13-23 JO#26711 JARVIS</t>
        </r>
      </text>
    </comment>
    <comment ref="G203" authorId="0" shapeId="0" xr:uid="{79468C18-31E8-A849-9392-B0F5A45CDB06}">
      <text>
        <r>
          <rPr>
            <sz val="10"/>
            <rFont val="SimSun"/>
            <charset val="134"/>
          </rPr>
          <t>IN 2PCS 1-16-25 DR#76890 SPC KUYA EMMAN
IN 2PCS 1-15-25 DR#88601 DRAKESTER
----------------------------------------------
IN 4PCS 07/29/24 DR#064476 DRAKESTER
IN 4PCS 07/29/24 DR#06447 DRAKESTER
IN 4PCS 07/29/24 DR#064475 DRAKESTER (STC)</t>
        </r>
      </text>
    </comment>
    <comment ref="H203" authorId="0" shapeId="0" xr:uid="{9A9EAD18-6058-F544-B114-82468A109914}">
      <text>
        <r>
          <rPr>
            <sz val="10"/>
            <rFont val="SimSun"/>
            <charset val="134"/>
          </rPr>
          <t xml:space="preserve">5.19.25
46543 4pcs marlo
OUT 4PCS 12-8-24 JO#40478 JARVIS
OUT 4PCS 07/30/24 DR#75358-59 LIPA A
OUT 4PCS 07/30/24 REF#75671 STC MASTER
</t>
        </r>
      </text>
    </comment>
    <comment ref="G204" authorId="0" shapeId="0" xr:uid="{D74D181D-3D23-D544-933E-46AFACBFECF5}">
      <text>
        <r>
          <rPr>
            <sz val="10"/>
            <rFont val="SimSun"/>
            <charset val="134"/>
          </rPr>
          <t>IN 2PCS 7.5.25 DR#119836 DRAKESTER
IN 2PCS 6.12.25 DR#115383 DRAKESTER
IN 2PCS 5.21.25 DR#111180 DRAKESTER
2PCS 11/11/24 DR#75703-04 SPC KUYA HACKET &amp; ROI
IN 4PCS 09/21/24 DR#76538 SPC KUYA HACKET
IN 4PCS 05/06/24 DR# SPC MASTER
IN 2PCS 03/14/24 DR#73426 LIPA A
IN 12PCS 2/26/24 DR# 74838 SPC</t>
        </r>
      </text>
    </comment>
    <comment ref="H204" authorId="0" shapeId="0" xr:uid="{8B4FE342-35D0-CF46-8C60-C41F506F51F0}">
      <text>
        <r>
          <rPr>
            <sz val="10"/>
            <rFont val="SimSun"/>
            <charset val="134"/>
          </rPr>
          <t xml:space="preserve">6-25-25
2 PCS 47956  ALY
5-26-25
2 PCS 46830 MARLO 
2 PCS OUT 3-7-25 JO43802 ALY
11/08/24
39108 2PCS SALES ROSE
OUT 2PCS 07/10/24 DR#75135-36 SPC KUYA HACKET
OUT 05/11/24 34204 2PCS SALES ROSE
OUT 03/13/24 2PCS SALES 32598 ROSE
OUT 03/12/24 4PCS DR#74706 SPC </t>
        </r>
      </text>
    </comment>
    <comment ref="G205" authorId="0" shapeId="0" xr:uid="{E4BE92AA-2458-5C42-9014-B80D851E2A5D}">
      <text>
        <r>
          <rPr>
            <sz val="10"/>
            <rFont val="SimSun"/>
            <charset val="134"/>
          </rPr>
          <t>2PCS 9-14-23 DR#72261 LIPA A
4PCS 7-13-23 DR#73248 SPC
4PCS 10-10-22 STF#7080 SPC
4PCS 10-8-22 STF#7070  SPC</t>
        </r>
      </text>
    </comment>
    <comment ref="H205" authorId="0" shapeId="0" xr:uid="{6F8EE5EA-2DA0-D941-8234-F2482CC051FE}">
      <text>
        <r>
          <rPr>
            <sz val="10"/>
            <rFont val="SimSun"/>
            <charset val="134"/>
          </rPr>
          <t>2PCS 9-15-23 JO#28182 BEL
2PCS 7-29-23 JO#27063 BEL
2pcs 7-22-23 JO#26908 BEL
2pcs 5-1-23 stf#2438 lipa a
4PCS 2-22-23 STF#2305 SPC
2pcs 2-22-23 JO#21869 ALY</t>
        </r>
      </text>
    </comment>
    <comment ref="G206" authorId="0" shapeId="0" xr:uid="{35AA31DD-6897-314E-AB21-E65D09DBEF95}">
      <text>
        <r>
          <rPr>
            <sz val="10"/>
            <rFont val="SimSun"/>
            <charset val="134"/>
          </rPr>
          <t>4PCS 12-8-23 DR#34180 DRAKESTER
4PCS 7-13-23 DR#73248 SPC
4PCS 10-10-22 STF#7080 SPC
4PCS 10-8-22 STF#7070  SPC</t>
        </r>
      </text>
    </comment>
    <comment ref="H206" authorId="0" shapeId="0" xr:uid="{A644156C-A3F1-F347-8FE5-A114939350D0}">
      <text>
        <r>
          <rPr>
            <sz val="10"/>
            <rFont val="SimSun"/>
            <charset val="134"/>
          </rPr>
          <t>1PC 8-31-23 DR#72245 SPC
2PCS 8-11-23 JO#27419 BEL
2PCS 7-29-23 JO#27093 ROSE
1PC 12-30-22 JO#20563 BE;L
2PCS 12-7-22 STF#2122 SPC
2PCS 11-22-22 STF#2022 SITE A</t>
        </r>
      </text>
    </comment>
    <comment ref="G207" authorId="0" shapeId="0" xr:uid="{21D40276-A706-B549-B9EC-C208E959B124}">
      <text>
        <r>
          <rPr>
            <sz val="10"/>
            <rFont val="SimSun"/>
            <charset val="134"/>
          </rPr>
          <t>IN 2PCS 01.20.26 DR79983 SPC RONNIE
IN 3PCS 12.3.25 DR#79716 SPPC HACKET
IN 4PCS 11.4.25 DR#144270 DRAKESTER
IN 8PCS 2.11.25D DR#093400 DRAKESTER
4PCS 7-15-23 SPC
4PCS 2-18-23 STF#7701 SPC
4PCS 10-10-22 STF#7080 SPC
4PCS 10-6-22 STF#7053 SPC</t>
        </r>
      </text>
    </comment>
    <comment ref="H207" authorId="0" shapeId="0" xr:uid="{8112E30D-1AF9-3241-8C4B-29A3B57EF480}">
      <text>
        <r>
          <rPr>
            <sz val="10"/>
            <rFont val="SimSun"/>
            <charset val="134"/>
          </rPr>
          <t>1-24-26
2PCS 54514 ALY
01.18.26
54343 2PCS ALY
11-28-25
1 PC 52702 MARIBEL
11-23-2025 SALES
JO#52592 2PCS ALY
OUT 8PCS 2.16.25 DR#77101 BIÑAN KUYA RONNIE
OUT 03/06/24 32468 4PCS SALES JHONLY 
1PC 8-31-23 DR#72245 SPC
1pc 8-22-23 JO#27682 BEL
2PCS 8-8-23 JO#27330 BEL
2PCS 3-9-23 JO#21949 JOJO
2pcs 2-25-23 JO#21991 BEL
2PCS 12-16-22 STF#2157 SPC
4pcs 12-4-22 jo#19988 bel
2pcs 11-24-22 JO#19709ALY</t>
        </r>
      </text>
    </comment>
    <comment ref="G208" authorId="0" shapeId="0" xr:uid="{CF5AA7CB-00CB-8445-8190-521A454B76D5}">
      <text>
        <r>
          <rPr>
            <sz val="10"/>
            <rFont val="SimSun"/>
            <charset val="134"/>
          </rPr>
          <t>IN 4PCS 03.03.26 DR80785 SPC HACKET</t>
        </r>
      </text>
    </comment>
    <comment ref="G210" authorId="0" shapeId="0" xr:uid="{25040728-682B-7C42-8512-6137AB01C6E2}">
      <text>
        <r>
          <rPr>
            <sz val="10"/>
            <rFont val="SimSun"/>
            <charset val="134"/>
          </rPr>
          <t>4PCS 10-7-22 STF#7059 SPC</t>
        </r>
      </text>
    </comment>
    <comment ref="H210" authorId="0" shapeId="0" xr:uid="{0B3505EA-C1BD-A748-929C-2A8AD2E96178}">
      <text>
        <r>
          <rPr>
            <sz val="10"/>
            <rFont val="SimSun"/>
            <charset val="134"/>
          </rPr>
          <t>3pcs 1-6-24 DR#73359 SPC OLD DOT
1pc 10-01-2023 dr#72298 site a</t>
        </r>
      </text>
    </comment>
    <comment ref="G211" authorId="0" shapeId="0" xr:uid="{FC87C85A-074B-8249-ACCF-857729FA4458}">
      <text>
        <r>
          <rPr>
            <sz val="10"/>
            <rFont val="SimSun"/>
            <charset val="134"/>
          </rPr>
          <t>4PCS 12-8-23 DR#34180 DRAKESTER
4PCS 7-13-23 DR#73248 SPC
4pcs 12-17-22 STF#7396 SPC
2PCS 11-21-22 STf#2210 SITE A
4PCS 10-8-22 STF#7070  SPC</t>
        </r>
      </text>
    </comment>
    <comment ref="H211" authorId="0" shapeId="0" xr:uid="{BA21F7E2-72E2-F743-BD35-3F3D5F3C4DCE}">
      <text>
        <r>
          <rPr>
            <sz val="10"/>
            <rFont val="SimSun"/>
            <charset val="134"/>
          </rPr>
          <t xml:space="preserve">
1PC 8-31-23 DR#72245 SPC
4PCS 8-23-23 DR#72233 SPC
1PC 8-11-23 DR#72212 SPC
2PCS 8-1-23 DR#73895 SPC
2pcs 3-27-23 STF#2368 SPC
1PC 2-22-23 STF#2305 SPC
1PC 2-21-23 STF#2301 SPC
2PCS 1-26-23 STF#2241 SPC
2PCS 11-5-22 STF#2055 SITE A</t>
        </r>
      </text>
    </comment>
    <comment ref="G212" authorId="0" shapeId="0" xr:uid="{C77FD57B-0601-8C47-A766-E2BF9244C870}">
      <text>
        <r>
          <rPr>
            <sz val="10"/>
            <rFont val="SimSun"/>
            <charset val="134"/>
          </rPr>
          <t>IN 4PCS 01.30.26 DR162136 DRAKESTER
IN 4PCS 01.09.26 DR80470 BIÑAN ROI
IN 4PCS DR78699 12.23.25 LIPA A
IN 4PCS 11.21.25 DR#148040 DRAKESTER
IN 2PCS 6.12.25 DR#115385 DRAKESTER
IN 4PCS 5.21.25 DR#111180 DRAKESTER
IN 4PCS 09/21/24 DR#76538 SPC KUYA HACKET</t>
        </r>
      </text>
    </comment>
    <comment ref="H212" authorId="0" shapeId="0" xr:uid="{7D179182-59A6-B74C-BFC9-AA44A7632B1C}">
      <text>
        <r>
          <rPr>
            <sz val="10"/>
            <rFont val="SimSun"/>
            <charset val="134"/>
          </rPr>
          <t>02.17.26
55234 3PCS JARVIS
1-24-26
4PCS 54511 ALY
12-23-25
4 PCS 53498 ALY
12.19.25
53399 4PCS JARVIS
12-13-25
4 PCS 53192 ALY
OUT 2PCS 6.13.25 DR#78322 LIPA A
4PCS 2.25.25 DR#77127 BIÑAN HACKET</t>
        </r>
      </text>
    </comment>
    <comment ref="G213" authorId="0" shapeId="0" xr:uid="{3B715667-472C-F543-B0CD-4216E9285D78}">
      <text>
        <r>
          <rPr>
            <sz val="10"/>
            <rFont val="SimSun"/>
            <charset val="134"/>
          </rPr>
          <t>IN 1PCS 02.18.26 DR80762 SPC HACKET
IN 1PCS 01.09.26 DR79951-53 SPC HACKET
IN 3PCS 10.10.25 DR#139193 DRAKESTER
IN 4PCS 8.13.25 DR#127345 DRAKESTER
IN 1PCS 6.12.25 DR#115383 DRAKESTER
IN 1PC 6.11.25 DR#78785 SPC BRY
IN 4PCS 4.5.25 ST002508 BIÑAN HACKET
IN 2PCS 2.25.25 DR#77033 SPC HACKET
IN 4PCS 1-15-25 DR#88665 DRAKESTER
----------------------------------------------
IN 2PCS 12-04-24 DR#75737 SPC KUYA MIKE
IN 4PCS 10/12/24 DR376642 SPC BRIAN
 4PCS 09/21/24 DR#76538 SPC KUYA HACKET
4PCS 7-15-23 SPC
4PCS 10-10-22 STF#7080 SPC
4PCS 10-7-22 STF#7059 SPC</t>
        </r>
      </text>
    </comment>
    <comment ref="H213" authorId="0" shapeId="0" xr:uid="{BC401929-7261-0C41-B88F-11DA1834ED25}">
      <text>
        <r>
          <rPr>
            <sz val="10"/>
            <rFont val="SimSun"/>
            <charset val="134"/>
          </rPr>
          <t>12-24-25
4 PCS OUT 53549 MARIBEL
8-25-25
3 PCS 49955 JARVIS
OUT 4PCS 8.19.25 DR#78415 S.V
HACKET
OUT 1PCS 6.18.25 DR#78324 SPC HACKET
OUT 4PCS 4.5.25 DR#77559 SPC
1 PC OUT 3-26-25 JO44601 JARVIS
2 PCS OUT 2-23-25 JO43316
 DALIA
4 PC OUT 2-7-25 FOR BIÑAN 
4PCS 12/7/24 JO40469 ALY
out 2pcs 11/29/24 dr#75479 lipa a
OUT 4PCS 11/02/24 DR#75466 SPC KUYA HACKET
OUT 1PC 10/05/24 DR#75433 LIPA A
4PCS 7-21-23 JO#26894 OFFICE
4PCS 12-18-22 JO20199 MARIBEL
4PCS 12-6-22 JO#200595 ALY</t>
        </r>
      </text>
    </comment>
    <comment ref="G214" authorId="0" shapeId="0" xr:uid="{0E2C547A-25D3-1044-A243-BCEE08ECD4D6}">
      <text>
        <r>
          <rPr>
            <sz val="10"/>
            <rFont val="SimSun"/>
            <charset val="134"/>
          </rPr>
          <t>IN 4PCS 12.23.25 DR#79919 SPC hacket
IN 2PCS 12.3.25 DR#79716 SPPC HACKET
IN 4PCS 11.29.25 DR#79708 SPC BRY
IN 4PCS 9.22.25 DR#135396 DRAKESTER
IN 4PCS 6.19.25 DR#116581 DRAKESTER</t>
        </r>
      </text>
    </comment>
    <comment ref="H214" authorId="0" shapeId="0" xr:uid="{E503FEF0-20DC-994F-BEAA-DD0FBD8FF636}">
      <text>
        <r>
          <rPr>
            <sz val="10"/>
            <rFont val="SimSun"/>
            <charset val="134"/>
          </rPr>
          <t xml:space="preserve">02.11.26
54970 4PCS ALY
12-26-25
2 PCS OUT 53621 ALY
12.19.25
53399 4PCS JARVIS
12-1-25
2 PCS 52833 MARLO
OUT 4PCS 11.25.25 DR#80028 LIPA A ROI
8-13-25
4 PCS 49619 JARVIS
</t>
        </r>
      </text>
    </comment>
    <comment ref="G215" authorId="0" shapeId="0" xr:uid="{5D53C6D6-2B7E-FA4B-85D5-1E818753E953}">
      <text>
        <r>
          <rPr>
            <sz val="10"/>
            <rFont val="SimSun"/>
            <charset val="134"/>
          </rPr>
          <t>IN 4PCS 11.4.25 DR#144270 DRAKESTER
IN 4PCS 10.17.25 DR#79671 SPC ROBIN/ALWIN
IN 4PCS 10.7.25 DR#78949 S.V ROI
IN 2PCS 9.3.25 DR#78919 S.V
IN 8PCS 8.13.25 DR#127345 DRAKESTER</t>
        </r>
      </text>
    </comment>
    <comment ref="H215" authorId="0" shapeId="0" xr:uid="{15E160A4-D03C-6044-A0A2-7D071D70837B}">
      <text>
        <r>
          <rPr>
            <sz val="10"/>
            <rFont val="SimSun"/>
            <charset val="134"/>
          </rPr>
          <t>01.31.26
54682 1PC ALY
12-27-25
1 PC OUT 53602 MARIBEL
12-6-25
4 PCS 53001 MARIBEL
OUT 2PCS 11.20.25 DR#80023 SPC ROBIN
10-7-25
4 PCS 51186 ALY
9-3-25
2 PCS 50213 ALY
OUT 8PCS 8.19.25 DR#78415 S.V
HACKET</t>
        </r>
      </text>
    </comment>
    <comment ref="G216" authorId="0" shapeId="0" xr:uid="{333328FD-A9B1-CB4F-96E2-170ED572F38B}">
      <text>
        <r>
          <rPr>
            <sz val="10"/>
            <rFont val="SimSun"/>
            <charset val="134"/>
          </rPr>
          <t>IN 8PCS 11.21.25 DR#148040 DRAKESTER
IN 4PCS 10.14.25 DR#78951 SV ROBIN
IN 4PCS 10.10.25 DR#139193 DRAKESTER
IN 4PCS 8.30.25 DR#79058 SPC SERVICE
IN 4PCS 8.20.25 DR#78612 LIPA A
IN 7PCS 8.13.25 DR#127345 DRAKESTER
IN 4PCS 7.21.25 DR#123017 DRAKESTER
IN 2PCS 6.12.25 DR#115383 DRAKESTER
IN 2PCS 6.11.25 DR#78785 SPC BRY
IN 4PCS 5-2-25 DR#77702 SPC HACKET
IN 4PCS 3.28.25 DR#77371 SPC HACKET
in 2pcs 2.27.25 dr#77071 lipa a
IN 2PCS 2.22.25 DR#77069 LIPA A
1PCS 1-30-25 DR#091406 DRAKESTER 
----------------------------------------------
IN 8PCS 11/02/24 DR#76697 SPC KUYA HACKET
IN 5PCS 10/10/24 DR#76643 SPC KUYA MIKE
4PCS 1-16-23 STF#7515 SPC
4PCS 10-8-22 STF#7076 SPC
4PCS 10-6-22 STF#7053 SPC</t>
        </r>
      </text>
    </comment>
    <comment ref="H216" authorId="0" shapeId="0" xr:uid="{EC8B5471-C4B2-7549-B8DB-DC13E28B44A2}">
      <text>
        <r>
          <rPr>
            <sz val="10"/>
            <rFont val="SimSun"/>
            <charset val="134"/>
          </rPr>
          <t>12-20-25
4 PCS 53451 MARIBEL
OUT 4PCS 12.18.25 DR#80068 SPC HACKET
11.27.25
52693 2PCS JARVIS
OUT 4PCS 10.14.25 DR#79757 SPC RONNIE
10-1-25
4 PCS 51000 MARIBEL
8-20-25 JARVIS
4 PCS 49836
4PCS 49837
OUT 7PCS 8.19.25 DR#78415 S.V
HACKET
7-2-25
4 PCS 48306 ALY
6.14.25
47389 2PCS BEL
5-27-25
2 PCS 46880 MARLO
4-12-25
4 PCS OUT JO45233 MARIBEL
3-27-25
4 PCS OUT JO44619 MARLO 
02-08-2025 OUT
4PCS JO42736 MARLO
2PC OUT 1/4/25 JO41360 DALIA
11-03-2024
39162 1pc sales maribel
1PC 3-27-23 STF#2368 SPC
3pcs 2-24-23 STF#2307 LIPA A
4pcs 12-21-22 STF#2165 SPC
2PCS 12-8-22 STF#2124 SITE A
2PCS 11-22-22 STF#2022 SITE A</t>
        </r>
      </text>
    </comment>
    <comment ref="G217" authorId="0" shapeId="0" xr:uid="{6046B78D-20D1-6442-AF74-2E9431C467C1}">
      <text>
        <r>
          <rPr>
            <sz val="10"/>
            <rFont val="SimSun"/>
            <charset val="134"/>
          </rPr>
          <t>IN 8PCS 11.21.25 DR#148040 DRAKESTER
IN 8PCS 8.13.25 DR#127345 DRAKESTER
IN 2PCS 7.5.25 DR#119836 DRAKESTER
IN 4PCS 6.12.25 DR#115383 DRAKESTER
IN 4PCS 5.3.25 DR#107738 DRAKESTER
IN 2PCS 3.20.25 DR#77502 LIPA A
IN 1PCS 12-30-24 DR#76862 SPC KUYA RONNIE
IN 4PCS 08/28/24 DR#68690 DRAKESTER</t>
        </r>
      </text>
    </comment>
    <comment ref="H217" authorId="0" shapeId="0" xr:uid="{60C76FD8-654B-FE40-B23D-899D68C9F124}">
      <text>
        <r>
          <rPr>
            <sz val="10"/>
            <rFont val="SimSun"/>
            <charset val="134"/>
          </rPr>
          <t xml:space="preserve">02.12.26
55077 4PCS BEL
OUT 2PCS 01.10.25 DR#80096 LIPA A
1-9-26
2 PCS 54022 MARIBEL
11-13-25
4 pcs 52236 jarvis
OUT 4PCS 8.19.25 DR#78415 S.V
HACKET
8-14-25
2 PCS 49646 JARVIS
7-12-25
2 PCS 48591 ALY
6-30-25
2 PCS OUT 48120 JARVIS
OUT 4PCS 5.31.25 DR#78000 SPC
2 PCS OUT 3-20-25 JO44287 MARIBEL
02-08-2025 OUT
4PCS JO42735 MARLO
11/10/24
39585 1pcs sales bel
</t>
        </r>
      </text>
    </comment>
    <comment ref="G218" authorId="0" shapeId="0" xr:uid="{1833CB4D-D754-8E4E-A638-EB70382F42B7}">
      <text>
        <r>
          <rPr>
            <sz val="10"/>
            <rFont val="SimSun"/>
            <charset val="134"/>
          </rPr>
          <t>IN 8PCS 11.21.25 DR#148040 DRAKESTER
IN 2PCS 9.22.25 DR#135396 DRAKESTER
IN 1PC 5.21.25 DR#111180 DRAKESTER
IN 2PCS 4.8.25 DR#77398 HACKET
IN 4PCS 08/28/24 DR#68690 DRAKESTER
4PCS 7-15-23 SPC</t>
        </r>
      </text>
    </comment>
    <comment ref="H218" authorId="0" shapeId="0" xr:uid="{E7413335-C67B-2541-8138-C8801EDD65DA}">
      <text>
        <r>
          <rPr>
            <sz val="10"/>
            <rFont val="SimSun"/>
            <charset val="134"/>
          </rPr>
          <t>03.02.26
55636 2PCS MARLO
OUT 4PCS 11.14.25 DR#80015 LIPA A
9-14-25
2 PCS 50561 ALY
3.15.25
44155 2PCS BEL
4P CS 7-31-23 DR#73894 SPC</t>
        </r>
      </text>
    </comment>
    <comment ref="G219" authorId="0" shapeId="0" xr:uid="{99DF3E19-62D1-5D4B-8CBB-C6CD7477459E}">
      <text>
        <r>
          <rPr>
            <sz val="10"/>
            <rFont val="SimSun"/>
            <charset val="134"/>
          </rPr>
          <t>IN 10PCS 11.21.25 DR#148040 DRAKESTER
IN 4PCS 9.22.25 DR#135396 DRAKESTER
IN 1PC 8.27.25 DR#78616 LIPA A
IN 4PCS 5.21.25 DR#111180 DRAKESTER
IN 2PCS 2.11.25D DR#093400 DRAKESTER
IN 4PCS 08/28/24 DR#68690 DRAKESTER</t>
        </r>
      </text>
    </comment>
    <comment ref="H219" authorId="0" shapeId="0" xr:uid="{D4B5CFE7-289A-A741-8158-08BD0EC27787}">
      <text>
        <r>
          <rPr>
            <sz val="10"/>
            <rFont val="SimSun"/>
            <charset val="134"/>
          </rPr>
          <t xml:space="preserve">1-12-26
4PCS 54096 JARVIS
OUT 4PCS 12.18.25 DR#80068 SPC HACKET
11-7-25
2 PCS 52085 MARLO
8-27-25
4 PCS 50021 MARIBEL
8.8.25
49494 1PC JARVIS
OUT 3.15.25 DR#77158 4PCS BINAN
2 PC OUT 2/1/25 JO42403 MARIBEL </t>
        </r>
      </text>
    </comment>
    <comment ref="G221" authorId="0" shapeId="0" xr:uid="{AAAC96F7-0898-1F43-A94F-E10CDEEA9305}">
      <text>
        <r>
          <rPr>
            <sz val="10"/>
            <rFont val="SimSun"/>
            <charset val="134"/>
          </rPr>
          <t>IN 4PCS 11.17.25 DR#78981 S.V
IN 4PCS 08/28/24 DR#68690 DRAKESTER
4PCS 10-8-22 STF#7076 SPC
4PCS 10-8-22 STF#7070  SPC</t>
        </r>
      </text>
    </comment>
    <comment ref="H221" authorId="0" shapeId="0" xr:uid="{AB6DB5A5-22AA-8C4E-A10B-65D543DC11E8}">
      <text>
        <r>
          <rPr>
            <sz val="10"/>
            <rFont val="SimSun"/>
            <charset val="134"/>
          </rPr>
          <t xml:space="preserve">4 PCS OUT 3-12-25 JO43956 MARIBEL
2PCS 2-4-23 STf#2267 LIPA A
4PCS 1-29-23 JO#21342 BEL
2PCS 1-3-22 JO#20617 </t>
        </r>
      </text>
    </comment>
    <comment ref="G222" authorId="0" shapeId="0" xr:uid="{5605D271-61A1-094A-9EEE-9EEF45EAE851}">
      <text>
        <r>
          <rPr>
            <sz val="10"/>
            <rFont val="SimSun"/>
            <charset val="134"/>
          </rPr>
          <t>4PCS 7-19-23 DR#74016 SPC
2PCS 12-19-22 STF#7403 SPC
8PCS 10-8-22 STF#7070  SPC</t>
        </r>
      </text>
    </comment>
    <comment ref="H222" authorId="0" shapeId="0" xr:uid="{6A5DEA3B-58E6-614B-9242-2E4214DEFEAE}">
      <text>
        <r>
          <rPr>
            <sz val="10"/>
            <rFont val="SimSun"/>
            <charset val="134"/>
          </rPr>
          <t>1PC 1-7-24 DR#73365 SPC OLD DOT
OUT 1/03/2024
2PCS JO#30743 JOHNLY
2PCS 9-22-23 JO#28356 BEL
1PC 8-31-23 DR#72245 SPC
2PCS 6-17-23 JO#26073 ROSE
4PC 12-17-22 JO20224 ALY
2PCS 11-22-22 STF#2022 SITE A</t>
        </r>
      </text>
    </comment>
    <comment ref="G225" authorId="0" shapeId="0" xr:uid="{996C169F-E83B-914B-8D4A-4934C768DD30}">
      <text>
        <r>
          <rPr>
            <sz val="10"/>
            <rFont val="SimSun"/>
            <charset val="134"/>
          </rPr>
          <t xml:space="preserve">
4PCS 7-15-23 SPC
2PCS 1-16-23 STF#7515 SPC
4PCS 10-7-22 STF#7059 SPC</t>
        </r>
      </text>
    </comment>
    <comment ref="H225" authorId="0" shapeId="0" xr:uid="{2F488F35-9F5B-9246-A039-B7D893C2D25F}">
      <text>
        <r>
          <rPr>
            <sz val="10"/>
            <rFont val="SimSun"/>
            <charset val="134"/>
          </rPr>
          <t xml:space="preserve">2pcs 10-3-23 DR#73901 LIPA A
4PCS 7-25-23 DR#73885 LIPA A
4pcs 12-18-22 st002159 spc
</t>
        </r>
      </text>
    </comment>
    <comment ref="G226" authorId="0" shapeId="0" xr:uid="{AA6D12D0-7841-B34A-9A3A-03E14A4A8EBD}">
      <text>
        <r>
          <rPr>
            <sz val="10"/>
            <rFont val="SimSun"/>
            <charset val="134"/>
          </rPr>
          <t>IN 4PCS 01.09.26 DR80470 BIÑAN ROI
IN 4PCS 9.22.25 DR#135396 DRAKESTER
IN 4PCS 7.29.25 DR#78577 LIPA A
IN 4PCS 5.21.25 DR#111051 DRAKESTER
IN 4PCS 3.28.25 DR#77371 SPC HACKET
IN 3PCS 3.4.25 DR#77130 STC
IN 2PCS 1-15-25 DR#88665 DRAKESTER
----------------------------------------------
IN 2PCS 10/13/24 DR#76646-48 SPC KUYA HACKET
IN 4PCS 09/21/24 DR#76538 SPC KUYA HACKET</t>
        </r>
      </text>
    </comment>
    <comment ref="H226" authorId="0" shapeId="0" xr:uid="{946D15A5-3546-4145-B99D-24157E0F2CC8}">
      <text>
        <r>
          <rPr>
            <sz val="10"/>
            <rFont val="SimSun"/>
            <charset val="134"/>
          </rPr>
          <t>12-24-25
4 PCS OUT 53279 HANNA
8-30-25
2 PCS 50087 MARIBEL
7.29.25
49135 2PCS BEL
7.26.25
48999 4PCS MARLO
OUT 4PCS 4.7.25 DR#77564 LIPA A
4 PCS OUT 3-11-25 JO43906  MARLO
OUT 2PCS 2.18.25  DR#77116 SPC
4PC OUT 1/3/25 JO41352 DALIA
OUT 2PCS 10/05/24 DR#75433 LIPA A</t>
        </r>
      </text>
    </comment>
    <comment ref="G227" authorId="0" shapeId="0" xr:uid="{2F030AEE-1381-054B-A279-073D40DF879F}">
      <text>
        <r>
          <rPr>
            <sz val="10"/>
            <rFont val="SimSun"/>
            <charset val="134"/>
          </rPr>
          <t>IN 2PCS 7.9.25 DR#2189 GUDA (2,900)</t>
        </r>
      </text>
    </comment>
    <comment ref="H227" authorId="0" shapeId="0" xr:uid="{73616ADF-1EEA-EF43-AEAC-3D644FD90DB7}">
      <text>
        <r>
          <rPr>
            <sz val="10"/>
            <rFont val="SimSun"/>
            <charset val="134"/>
          </rPr>
          <t xml:space="preserve">7-9-25
2 PCS 48497 MARLO
</t>
        </r>
      </text>
    </comment>
    <comment ref="G228" authorId="0" shapeId="0" xr:uid="{0FEF2647-E2B1-BE40-819B-9592D6841226}">
      <text>
        <r>
          <rPr>
            <sz val="10"/>
            <rFont val="SimSun"/>
            <charset val="134"/>
          </rPr>
          <t>IN 12PCS 02.06.26 DR163867 DRAKESTER</t>
        </r>
      </text>
    </comment>
    <comment ref="H228" authorId="0" shapeId="0" xr:uid="{496BB9EC-F4BC-A64C-8297-21C36300D930}">
      <text>
        <r>
          <rPr>
            <sz val="10"/>
            <rFont val="SimSun"/>
            <charset val="134"/>
          </rPr>
          <t xml:space="preserve">OUT 4PCS 02.11.26 DR80246 SPC HACKET
OUT 4PCS 02.09.26 DR80242 SPC BRY
</t>
        </r>
      </text>
    </comment>
    <comment ref="G229" authorId="0" shapeId="0" xr:uid="{E7BC17BF-862C-1548-95FE-CA82C38F71E4}">
      <text>
        <r>
          <rPr>
            <sz val="10"/>
            <rFont val="SimSun"/>
            <charset val="134"/>
          </rPr>
          <t>2PCS 4-30-23 STF#8063 SPC
2PCS 11-21-22 STF#7261 SPC
4PCS 10-7-22 STF#7059 SPC</t>
        </r>
      </text>
    </comment>
    <comment ref="H229" authorId="0" shapeId="0" xr:uid="{7959BF2C-812B-214B-B86A-3A1A1446B0A3}">
      <text>
        <r>
          <rPr>
            <sz val="10"/>
            <rFont val="SimSun"/>
            <charset val="134"/>
          </rPr>
          <t>2PCS 5-1-23 JO#24992 ROSE
2PCS 2-24-23 JO#21963 BEL
2PCS 12-1-22 JO#19913 BEL
2PC 11-28-22 ST002097 LIPA A
2PC 11-12-22 JO19434 MARIBEL</t>
        </r>
      </text>
    </comment>
    <comment ref="G231" authorId="0" shapeId="0" xr:uid="{00CDBC2C-CD53-8845-B294-D634C61E5DAB}">
      <text>
        <r>
          <rPr>
            <sz val="10"/>
            <rFont val="SimSun"/>
            <charset val="134"/>
          </rPr>
          <t>IN 8PCS 11.21.25 DR#148040 DRAKESTER
IN 4PCS 9.22.25 DR#135396 DRAKESTER
IN 1PC 9.15.25 DR#78640 LIPA A
IN 6PCS 1-21-25 DR#76896 SPC HACKET
-------------------------------------------------
IN 2PCS 11/25/24 DR#75722 SPC KUYA EMMAN
4PCS 11/11/24 DR#75703-04 SPC KUYA HACKET &amp; ROI
IN 2PCS 11/02/24 DR#76697 SPC KUYA HACKET
IN 4PCS 08/28/24 DR#68690 DRAKESTER
2PCS 11-22-23 DR#74438 SPC
4PCS 7-15-23 SPC</t>
        </r>
      </text>
    </comment>
    <comment ref="H231" authorId="0" shapeId="0" xr:uid="{EF0D8A9B-0BA1-834D-AAD2-F10FBDC27244}">
      <text>
        <r>
          <rPr>
            <sz val="10"/>
            <rFont val="SimSun"/>
            <charset val="134"/>
          </rPr>
          <t>12.14.25
53209 4PCS JARVIS
9-15-25
1 PC 50589 MARLO
9-6-25
2 PCS 50317 MARIBEL
8-29-25
2 PCS 50072 ALY
OUT 1PC 5.27.25 DR#77985 SPC ROI
OUT 2PCS 2.16.25 DR#77103 SPC
01-07-25
41405 4PCS SALES MARLO
1PC 12/24/24 JO41022 DALIA
12-12-24
40578 2PCS bel
OUT 2PCS SALES 11/12/2024
JO39609 JARVIS
10/12/24
38398 2PCS SALES JARVIS
OUT 2PCS 05/09/24 DR#75062 SPC MASTER
out 1pcs 12-19-23 jo#30372 marlo
2PCS 12-4-23 JO#29930 JARVUS
1[PC 11-13-23 JO#29450 JARVIS</t>
        </r>
      </text>
    </comment>
    <comment ref="G232" authorId="0" shapeId="0" xr:uid="{514A09F4-51D0-A849-98DD-49C3CB8443CE}">
      <text>
        <r>
          <rPr>
            <sz val="10"/>
            <rFont val="SimSun"/>
            <charset val="134"/>
          </rPr>
          <t>2PCS 1-30-25 DR#091406 DRAKESTER 
----------------------------------------------
IN 4PCS 08/28/24 DR#68690 DRAKESTER
4PCS 7-15-23 SPC</t>
        </r>
      </text>
    </comment>
    <comment ref="H232" authorId="0" shapeId="0" xr:uid="{A61A6596-60B5-1A41-9951-C1249B9454FB}">
      <text>
        <r>
          <rPr>
            <sz val="10"/>
            <rFont val="SimSun"/>
            <charset val="134"/>
          </rPr>
          <t>3.8.25 DR#77140 4pcs spc alwin
2PC OUT 1/21/25 JO41975 ALY
2pcs 10-9-23 JO#28689 MARLO
2PCS 8-7-23 JO#27323 BEL</t>
        </r>
      </text>
    </comment>
    <comment ref="G234" authorId="0" shapeId="0" xr:uid="{67EF1339-C34D-FE42-B758-29A33C36D5AC}">
      <text>
        <r>
          <rPr>
            <sz val="10"/>
            <rFont val="SimSun"/>
            <charset val="134"/>
          </rPr>
          <t>4PCS 1-16-23 STF#7515 SPC</t>
        </r>
      </text>
    </comment>
    <comment ref="H234" authorId="0" shapeId="0" xr:uid="{8B8DAFBD-C4F9-4248-B32F-59464501CF05}">
      <text>
        <r>
          <rPr>
            <sz val="10"/>
            <rFont val="SimSun"/>
            <charset val="134"/>
          </rPr>
          <t>3PCS 9-19-23 DR#72279 SPC
2PCS  3-3-23 JO#22096 OFFICE</t>
        </r>
      </text>
    </comment>
    <comment ref="G235" authorId="0" shapeId="0" xr:uid="{2CA702ED-103D-AB44-8578-6F4C4C28FAAA}">
      <text>
        <r>
          <rPr>
            <sz val="10"/>
            <rFont val="SimSun"/>
            <charset val="134"/>
          </rPr>
          <t>IN 1PC 06/06/24 DR#1488 COMETZ</t>
        </r>
      </text>
    </comment>
    <comment ref="H235" authorId="0" shapeId="0" xr:uid="{ED21A648-C77E-4240-B0C9-7A7C35121DA7}">
      <text>
        <r>
          <rPr>
            <sz val="10"/>
            <rFont val="SimSun"/>
            <charset val="134"/>
          </rPr>
          <t xml:space="preserve">OUT 06/06/24 34880 1PC SALES ROSE </t>
        </r>
      </text>
    </comment>
    <comment ref="G236" authorId="0" shapeId="0" xr:uid="{15875245-0EB6-7F4B-9708-C8CD8FF4A66A}">
      <text>
        <r>
          <rPr>
            <sz val="10"/>
            <rFont val="SimSun"/>
            <charset val="134"/>
          </rPr>
          <t>IN 4PCS 11.4.25 DR#79860 SPC ROI</t>
        </r>
      </text>
    </comment>
    <comment ref="H236" authorId="0" shapeId="0" xr:uid="{BE8EC95E-6CA2-264E-BC0C-ED630EA9D84C}">
      <text>
        <r>
          <rPr>
            <sz val="10"/>
            <rFont val="SimSun"/>
            <charset val="134"/>
          </rPr>
          <t xml:space="preserve">11-5-25
4 PCS 51970 JARVIS
</t>
        </r>
      </text>
    </comment>
    <comment ref="G237" authorId="0" shapeId="0" xr:uid="{DF8CC122-004B-174C-BE4D-7D733D9C7D64}">
      <text>
        <r>
          <rPr>
            <sz val="10"/>
            <rFont val="SimSun"/>
            <charset val="134"/>
          </rPr>
          <t>IN 4PCS 01.15.26 DR80475 BIÑAN YONG
IN 4PCS 12.26.25 DR79915-17 SPC HACKET
IN 2PCS 12.23.25 DR#79919 SPC MADAM
IN 8PCS 11.21.25 DR#148040 DRAKESTER
IN 4PCS 9.22.25 DR#135396 4PCS DRAKESTER
IN 2PCS 9.6.25 DR#78627 LIPA A
IN 4PCS 6.12.25 DR#115385 DRAKESTER
IN 1PCS 6.12.25 DR#115383 DRAKESTER
IN 1PC 6.11.25 DR#78785 SPC BRY
IN 4PCS 5.21.25 DR#111180 DRAKESTER
IN 2PCS 4.25.25 DR#78008 LIPA A BRIAN
IN 2PCS 4.5.25 DR#77521 LIPA A
IN 4PCS 3.28.25 DR#77371 SPC HACKET
4PCS 1-30-25 DR#091406 DRAKESTER 
----------------------------------------------
IN 2PCS 12-30-24 DR#76862 SPC KUYA RONNIE
2PCS 12-02-24 DR#75732 SPC KUYA MIKE
2PCS 11/11/24 DR#75703-04 SPC KUYA HACKET &amp; ROI
IN 1PCS 10/13/24 DR#76646-48 SPC KUYA HACKET
IN 4PCS 08/28/24 DR#68690 DRAKESTER
4PCS 7-13-23 DR#73248 SPC
4PCS 2-18-23 STF#7701 SPC
4PCS 2-17-23 STF#7693 SPC</t>
        </r>
      </text>
    </comment>
    <comment ref="H237" authorId="0" shapeId="0" xr:uid="{AD5C538E-3175-074D-9E25-0CFDD9D3E3BB}">
      <text>
        <r>
          <rPr>
            <sz val="10"/>
            <rFont val="SimSun"/>
            <charset val="134"/>
          </rPr>
          <t>01.31.26
54726 2PCS MARLO
OUT 1PC 01.30.26 DR80232 STC LALAMOVE
1-23-26
1 PC 54476 MARLO
1-10-26
4PCS 54073 MARIBEL
12-23-25
4 PCS 53552 JARVIS
12-20-25
2 PCS 53276 JUN B
12-10-25
4 PCS 53075 ALY
12-5-25
4 PCS 52968 MARLO
9-6-25
4 PCS 50287 ALY
OUT 2PCS 7.29.25 DR#78385 LIPA A
OUT 1PC 6.27.25 DR#78337 SPC SERVICE
OUT 4PCS 6.13.25 DR#78322 LIPA A
OUT 1PC 5.30.25 DR#77997 LIPA A
5-10-25
2 PCS 46239 MARLO 
4-13-25
4 PCS OUT JO45292 ALY 
3-28-25
2 PCS OUT JO44576 ALY
4 PC OUT 2/6/25 JO42608 JARVIS
OUT 1-18-25 2PCS JO#41894 MARIBEL SALES
1-17-25
41853 2PCS SALES MARLO
OUT 12-14-2024
40657 MARIBEL 2 PCS
out 2pcs sales 11/27/24 DR#75476 spc
OUT 2PCS 11/6/2024
JO39343 SALES ALY
OUT 1PC 10/05/24 DR#75433 LIPA A
2pcs 7-31-23 dr#73892 spc
2PCS 7-26-23 DR#73884 SPC
4PCS 2-22-23 STF#2305 SPC
4pcs 2-22-23 STF#2304 LIUPA A</t>
        </r>
      </text>
    </comment>
    <comment ref="G238" authorId="0" shapeId="0" xr:uid="{ECEDDD17-E2C0-2045-98BC-F6F1DE31C421}">
      <text>
        <r>
          <rPr>
            <sz val="10"/>
            <rFont val="SimSun"/>
            <charset val="134"/>
          </rPr>
          <t>IN 20PCS 02.06.26 DR163867 DRAKESTER</t>
        </r>
      </text>
    </comment>
    <comment ref="H238" authorId="0" shapeId="0" xr:uid="{BF21B834-12F0-BF42-BB3A-A5FFE192A865}">
      <text>
        <r>
          <rPr>
            <sz val="10"/>
            <rFont val="SimSun"/>
            <charset val="134"/>
          </rPr>
          <t>OUT 4PCS 02.11.26 DR80246 SPC HACKET
OUT 8PCS 02.10.26 DR80244 SPC ALWIN</t>
        </r>
      </text>
    </comment>
    <comment ref="G240" authorId="0" shapeId="0" xr:uid="{CAB26208-F9F7-6D49-9238-FBB10B493730}">
      <text>
        <r>
          <rPr>
            <sz val="10"/>
            <rFont val="SimSun"/>
            <charset val="134"/>
          </rPr>
          <t>4PCS 2-18-23 STF#7701 SPC</t>
        </r>
      </text>
    </comment>
    <comment ref="H240" authorId="0" shapeId="0" xr:uid="{C6F76B7B-FE9D-F445-8146-435204A789F4}">
      <text>
        <r>
          <rPr>
            <sz val="10"/>
            <rFont val="SimSun"/>
            <charset val="134"/>
          </rPr>
          <t>4pcs 4-10-23 st002392 lipa a</t>
        </r>
      </text>
    </comment>
    <comment ref="G241" authorId="0" shapeId="0" xr:uid="{8915A725-5749-C849-ACD9-44B8D4A5C84B}">
      <text>
        <r>
          <rPr>
            <sz val="10"/>
            <rFont val="SimSun"/>
            <charset val="134"/>
          </rPr>
          <t>IN 2PCS 10/13/24 DR#76646-48 SPC KUYA HACKET
IN 4PCS 08/28/24 DR#68690 DRAKESTER
3PCS 11-4-23 DR#72689 LIPA A
4PCS 7-13-23 DR#73248 SPC</t>
        </r>
      </text>
    </comment>
    <comment ref="H241" authorId="0" shapeId="0" xr:uid="{C8AD3D76-C3F9-464B-AD77-F7E9E271B5F4}">
      <text>
        <r>
          <rPr>
            <sz val="10"/>
            <rFont val="SimSun"/>
            <charset val="134"/>
          </rPr>
          <t>09/11/24
37540 2PCS SALES JARVIS
OUT 03/14/24 1PCS SALES 32678
2PCS 11-26-23 DR#74293 LIPA A
2PCS 8-1-23 JO#27161 JARVIS
2PCS 7-19-23 JO#26852 JARVIS</t>
        </r>
      </text>
    </comment>
    <comment ref="G242" authorId="0" shapeId="0" xr:uid="{6D794365-4B25-BC4C-A413-D86DD05F8B51}">
      <text>
        <r>
          <rPr>
            <sz val="10"/>
            <rFont val="SimSun"/>
            <charset val="134"/>
          </rPr>
          <t>IN 4PCS 11.21.25 DR#148040 DRAKESTER
IN 4PCS 9.22.25 DR#135398 DRAKESTER
IN 2PCS 7.5.25 DR#119836 DRAKESTER
IN 2PCS 6.19.25 DR#116581 DRAKESTER
IN 2PCS 6.18.25 DR#77754 SPC HACKET
IN 4PCS 6.11.25 DR#78785 SPC BRY
IN 2PCS 5.21.25 DR#111180 DRAKESTER
IN 2PCS 10/13/24 DR#76646-48 SPC KUYA HACKET
IN 4PCS 08/28/24 DR#68690 DRAKESTER</t>
        </r>
      </text>
    </comment>
    <comment ref="H242" authorId="0" shapeId="0" xr:uid="{EA56A958-B72E-8940-8F5A-0D9BE439A32A}">
      <text>
        <r>
          <rPr>
            <sz val="10"/>
            <rFont val="SimSun"/>
            <charset val="134"/>
          </rPr>
          <t xml:space="preserve">
12-29-25
4 PCS OUT 53705 JARVIS
11-2-25
4 PCS 51946 ALY
OUT 4PCS 9.23.25 DR#79272 SPC RONNIE
7-3-25
4 PCS 48310 ALY
6.13.25
47350 2PCS MARLO
6-6-25
4 PCS 47215 MARIBEL
OUT 2PCS 2-1-25 DR#76960 LIPA A
09/11/24
37540 2PCS SALES JARVIS</t>
        </r>
      </text>
    </comment>
    <comment ref="G243" authorId="0" shapeId="0" xr:uid="{86E1E9A0-CD3A-4B4C-8548-BCFEE2B101F5}">
      <text>
        <r>
          <rPr>
            <sz val="10"/>
            <rFont val="SimSun"/>
            <charset val="134"/>
          </rPr>
          <t>IN 20PCS 02.06.26 DR163867 DRAKESTER</t>
        </r>
      </text>
    </comment>
    <comment ref="H243" authorId="0" shapeId="0" xr:uid="{916CC7EF-BF25-FF48-89AA-3626BC43AA6E}">
      <text>
        <r>
          <rPr>
            <sz val="10"/>
            <rFont val="SimSun"/>
            <charset val="134"/>
          </rPr>
          <t>02.20.26
55286 2PCS BEL
OUT 4PCS 02.18.26 DR80865-68 SPC HACKET
OUT 4PCS 02.11.26 DR80246 SPC HACKET
OUT 8PCS 02.10.26 DR80244 SPC ALWIN</t>
        </r>
      </text>
    </comment>
    <comment ref="G245" authorId="0" shapeId="0" xr:uid="{2AF3830E-CA32-F248-93BF-BC971E325DE0}">
      <text>
        <r>
          <rPr>
            <sz val="10"/>
            <rFont val="SimSun"/>
            <charset val="134"/>
          </rPr>
          <t>IN  4PCS 03/07/24 DR#74853 SPC 
4PCS 3-6-24 DR#73419 SPC
4pcs 2-13-24 74815 spc</t>
        </r>
      </text>
    </comment>
    <comment ref="H245" authorId="0" shapeId="0" xr:uid="{97E845CB-5E5D-8445-B5A2-63B27A3667F5}">
      <text>
        <r>
          <rPr>
            <sz val="10"/>
            <rFont val="SimSun"/>
            <charset val="134"/>
          </rPr>
          <t xml:space="preserve">OUT 2PCS 07/10/24 DR#75135-36 SPC KUYA HACKET
OUT 06/10/24 34994 2PCS SALES BEL </t>
        </r>
      </text>
    </comment>
    <comment ref="G246" authorId="0" shapeId="0" xr:uid="{52AE1929-6E0A-8A43-A17A-8DC0213D6BE5}">
      <text>
        <r>
          <rPr>
            <sz val="10"/>
            <rFont val="SimSun"/>
            <charset val="134"/>
          </rPr>
          <t>IN 2PCS 6.12.25 DR#115383 DRAKESTER
IN 4PCS 1-24-25 DR#77002 SPC KUYA HACKET
----------------------------------------------
IN 2PCS 05/09/24 DR#75031 SPC MASTER
4PCS 12-8-23 DR#34231 DRAKESTER</t>
        </r>
      </text>
    </comment>
    <comment ref="H246" authorId="0" shapeId="0" xr:uid="{D54C0398-9564-2A44-B3EB-8295616C0B3D}">
      <text>
        <r>
          <rPr>
            <sz val="10"/>
            <rFont val="SimSun"/>
            <charset val="134"/>
          </rPr>
          <t>6.20.25
47817 4PCS JARVIS
4-13-25
2 PCS OUT JO45273 DALIA
4PC 12/17/24 JO40749 ALY
2PCS 12-13-23 JO#30180 JARVIS</t>
        </r>
      </text>
    </comment>
    <comment ref="G247" authorId="0" shapeId="0" xr:uid="{13E5EADF-4834-5245-9302-3B0062E4332E}">
      <text>
        <r>
          <rPr>
            <sz val="10"/>
            <rFont val="SimSun"/>
            <charset val="134"/>
          </rPr>
          <t>IN 4PCS 04/06/24 DR#74896 SPC
2PCS 1-27-24 DR#74630 SPC
4PCS 12-8-23 DR#34231 DRAKESTER
4PCS 5-29-23 STF#8177 SPC</t>
        </r>
      </text>
    </comment>
    <comment ref="H247" authorId="0" shapeId="0" xr:uid="{6AB79431-8D6D-D242-B15E-F22CC8F1B6F9}">
      <text>
        <r>
          <rPr>
            <sz val="10"/>
            <rFont val="SimSun"/>
            <charset val="134"/>
          </rPr>
          <t>OUT 4PCS 04/25/24 DR#74792 SPC SERVICE
OUT 03/30/24 33039 4PCS SALES BEL
2pcs 1-25-24 JO#31393 BEL
4PCS 5-31-23 JO25669 JARVIS 
4PCS 5-27-23 STF#2476 LIPA A</t>
        </r>
      </text>
    </comment>
    <comment ref="G248" authorId="0" shapeId="0" xr:uid="{2BA91F12-F37F-0F49-A63C-D9ED4A10DC79}">
      <text>
        <r>
          <rPr>
            <sz val="10"/>
            <rFont val="SimSun"/>
            <charset val="134"/>
          </rPr>
          <t>IN 4PCS 09/21/24 DR#76538 SPC KUYA HACKET
4PCS 1-2-23 DR#74546 SPC</t>
        </r>
      </text>
    </comment>
    <comment ref="H248" authorId="0" shapeId="0" xr:uid="{46171A77-3CFC-3A44-97AD-167A91BDD305}">
      <text>
        <r>
          <rPr>
            <sz val="10"/>
            <rFont val="SimSun"/>
            <charset val="134"/>
          </rPr>
          <t>1/23/2024 31304 4PCS SALES</t>
        </r>
      </text>
    </comment>
    <comment ref="G249" authorId="0" shapeId="0" xr:uid="{A2B2CC9F-495B-2644-81BF-D1A1047E67F9}">
      <text>
        <r>
          <rPr>
            <sz val="10"/>
            <rFont val="SimSun"/>
            <charset val="134"/>
          </rPr>
          <t>4PCS 1-16-23 STF#7515 SPC</t>
        </r>
      </text>
    </comment>
    <comment ref="H249" authorId="0" shapeId="0" xr:uid="{FAEC8F53-713D-0142-B3D2-24C5CA2F8BE9}">
      <text>
        <r>
          <rPr>
            <sz val="10"/>
            <rFont val="SimSun"/>
            <charset val="134"/>
          </rPr>
          <t>4PC 1-21-23 JO21069 BEL</t>
        </r>
      </text>
    </comment>
    <comment ref="G252" authorId="0" shapeId="0" xr:uid="{94CB38DE-9152-FE4E-A016-61E17AEF6F49}">
      <text>
        <r>
          <rPr>
            <sz val="10"/>
            <rFont val="SimSun"/>
            <charset val="134"/>
          </rPr>
          <t>IN 20PCS 02.06.26 DR163867 DRAKESTER</t>
        </r>
      </text>
    </comment>
    <comment ref="H252" authorId="0" shapeId="0" xr:uid="{CC89709D-7F12-DC40-9D34-D5C11FE22216}">
      <text>
        <r>
          <rPr>
            <sz val="10"/>
            <rFont val="SimSun"/>
            <charset val="134"/>
          </rPr>
          <t>02.21.26
55371 4PCS JARVIS
OUT 4PCS 02.11.26 DR80246 SPC HACKET
OUT 8PCS 02.10.26 DR80244 SPC ALWIN</t>
        </r>
      </text>
    </comment>
    <comment ref="G253" authorId="0" shapeId="0" xr:uid="{9B8E20F3-C7A2-494E-86B1-3A1008FADB6E}">
      <text>
        <r>
          <rPr>
            <sz val="10"/>
            <rFont val="SimSun"/>
            <charset val="134"/>
          </rPr>
          <t>IN 6PCS 02.26.26 DR168581 DRAKESTER
IN 4PCS 08/28/24 DR#68690 DRAKESTER
4PCS 7-13-23 DR#73248 SPC
4PCS 2-18-23 STF#7704 SPC</t>
        </r>
      </text>
    </comment>
    <comment ref="H253" authorId="0" shapeId="0" xr:uid="{A740593B-F18B-5047-AC37-0E05A86A99B8}">
      <text>
        <r>
          <rPr>
            <sz val="10"/>
            <rFont val="SimSun"/>
            <charset val="134"/>
          </rPr>
          <t>02.27.26
55475 2PCS JARVIS
out 4pcs 2.9.25 dr#76979 spc
1PC 9-21-23 DR#72284 SPC
2PCS 9-1-23 DR#72248 LIPA A
1PC 7-28-23 JO#27047 JARVI
4pcs 5-14-23 st002456 stc</t>
        </r>
      </text>
    </comment>
    <comment ref="G254" authorId="0" shapeId="0" xr:uid="{CA63BC52-4D98-1B43-B88A-F7256AD51841}">
      <text>
        <r>
          <rPr>
            <sz val="10"/>
            <rFont val="SimSun"/>
            <charset val="134"/>
          </rPr>
          <t>4PCS 7-13-23 DR#73248 SPC
4PCS 3-1-23 STF#7763 SPC
4PCS 10-7-22 STF#7059 SPC</t>
        </r>
      </text>
    </comment>
    <comment ref="H254" authorId="0" shapeId="0" xr:uid="{1302D293-5A77-3A43-81A8-8C7A3933515F}">
      <text>
        <r>
          <rPr>
            <sz val="10"/>
            <rFont val="SimSun"/>
            <charset val="134"/>
          </rPr>
          <t>4PCS 9-7-23 DR#72258 LIPA A
2PCS 5-23-23 STF#2472 STC
2PCS 3-20-23 STF#2355 LIPA A
2PCS 3-1-23 JO#22071 ALY
4PCS 10-27-22 JO#19074 JARVIS</t>
        </r>
      </text>
    </comment>
    <comment ref="G255" authorId="0" shapeId="0" xr:uid="{9459DF06-A4BD-694D-9582-5DCA7D625009}">
      <text>
        <r>
          <rPr>
            <sz val="10"/>
            <rFont val="SimSun"/>
            <charset val="134"/>
          </rPr>
          <t>4PCS 2-18-23 STF#7704 SPC</t>
        </r>
      </text>
    </comment>
    <comment ref="H255" authorId="0" shapeId="0" xr:uid="{BB5CC649-3C3F-0A4E-929E-046A3E9432B6}">
      <text>
        <r>
          <rPr>
            <sz val="10"/>
            <rFont val="SimSun"/>
            <charset val="134"/>
          </rPr>
          <t>4pcs 5-10-23 STF#2449 SP[C</t>
        </r>
      </text>
    </comment>
    <comment ref="G256" authorId="0" shapeId="0" xr:uid="{CB16EB8E-CB6C-5D41-B681-41CD9C4A5870}">
      <text>
        <r>
          <rPr>
            <sz val="10"/>
            <rFont val="SimSun"/>
            <charset val="134"/>
          </rPr>
          <t>IN 1PC 07/04/24 DR#75224 SPC
IN 1SET 06/25/24 DR#75195 SPC</t>
        </r>
      </text>
    </comment>
    <comment ref="H256" authorId="0" shapeId="0" xr:uid="{11EC7235-AF6B-C34C-AD4C-A2D74A140F5A}">
      <text>
        <r>
          <rPr>
            <sz val="10"/>
            <rFont val="SimSun"/>
            <charset val="134"/>
          </rPr>
          <t>OUT 07/04/24 35442 1PC SALES 
MARLO
OUT 06/25/24 35277 1PC SALES MARLO</t>
        </r>
      </text>
    </comment>
    <comment ref="G258" authorId="0" shapeId="0" xr:uid="{BC04922B-1E2B-504A-9116-D3A9B4070122}">
      <text>
        <r>
          <rPr>
            <sz val="10"/>
            <rFont val="SimSun"/>
            <charset val="134"/>
          </rPr>
          <t xml:space="preserve">IN 2PCS 5.2.25 DR#77701 SPC </t>
        </r>
      </text>
    </comment>
    <comment ref="H258" authorId="0" shapeId="0" xr:uid="{767E793D-4E54-8D4F-92E7-65BBF86E7BCF}">
      <text>
        <r>
          <rPr>
            <sz val="10"/>
            <rFont val="SimSun"/>
            <charset val="134"/>
          </rPr>
          <t>5-2-25
45952 2PCS ALY</t>
        </r>
      </text>
    </comment>
    <comment ref="G261" authorId="0" shapeId="0" xr:uid="{2A979C3A-C6DF-C344-AE55-31545FB42CB6}">
      <text>
        <r>
          <rPr>
            <sz val="10"/>
            <rFont val="SimSun"/>
            <charset val="134"/>
          </rPr>
          <t>IN 4PCS 11/27/24 DR#081844 DRAKESTER
IN 4PCS 08/02/24 DR# SPC KUYA HACKET</t>
        </r>
      </text>
    </comment>
    <comment ref="H261" authorId="0" shapeId="0" xr:uid="{69CA26E8-8CAA-4E43-9CD1-6E905A63C6D7}">
      <text>
        <r>
          <rPr>
            <sz val="10"/>
            <rFont val="SimSun"/>
            <charset val="134"/>
          </rPr>
          <t>4PCS 2.25.25 DR#77128 SPC KUYA RONNIE</t>
        </r>
      </text>
    </comment>
    <comment ref="G263" authorId="0" shapeId="0" xr:uid="{B37FA3FE-328E-FF49-971A-AED840DB1686}">
      <text>
        <r>
          <rPr>
            <sz val="10"/>
            <rFont val="SimSun"/>
            <charset val="134"/>
          </rPr>
          <t>IN 2PCS 11.27.25 DR#2540 GUDA 
4PCS 7-13-23 DR#73248 SPC</t>
        </r>
      </text>
    </comment>
    <comment ref="H263" authorId="0" shapeId="0" xr:uid="{D124768E-C958-954D-881C-5FF7F51A655C}">
      <text>
        <r>
          <rPr>
            <sz val="10"/>
            <rFont val="SimSun"/>
            <charset val="134"/>
          </rPr>
          <t>11.27.25
52665 2PCS ALY
1PC 8-31-23 DR#72245 SPC
2PCS 8-4-23 JO#27232 BEL
1pc 7-21-23 DR#73878 SPC</t>
        </r>
      </text>
    </comment>
    <comment ref="G264" authorId="0" shapeId="0" xr:uid="{03436D6E-779E-CF4D-AABA-0C43745202C2}">
      <text>
        <r>
          <rPr>
            <sz val="10"/>
            <rFont val="SimSun"/>
            <charset val="134"/>
          </rPr>
          <t>IN 4PCS 11/06/24 DR#76589 SPC MASTER</t>
        </r>
      </text>
    </comment>
    <comment ref="H264" authorId="0" shapeId="0" xr:uid="{EFE54C6E-3F51-6F43-8051-D67B7F12EB04}">
      <text>
        <r>
          <rPr>
            <sz val="10"/>
            <rFont val="SimSun"/>
            <charset val="134"/>
          </rPr>
          <t>OUT 4PCS 3.28.25 DR#77195 SPC EMMAN</t>
        </r>
      </text>
    </comment>
    <comment ref="G265" authorId="0" shapeId="0" xr:uid="{949B8D22-96A7-7245-AE52-FB079DDF7832}">
      <text>
        <r>
          <rPr>
            <sz val="10"/>
            <rFont val="SimSun"/>
            <charset val="134"/>
          </rPr>
          <t>IN 4PCS 1-22-24 DR#90047 DRAKESTER</t>
        </r>
      </text>
    </comment>
    <comment ref="H265" authorId="0" shapeId="0" xr:uid="{DE39C102-BD64-444F-9008-950C1D3EC568}">
      <text>
        <r>
          <rPr>
            <sz val="10"/>
            <rFont val="SimSun"/>
            <charset val="134"/>
          </rPr>
          <t>4 PC OUT 1/23/25 JO42000 JARVIS</t>
        </r>
      </text>
    </comment>
    <comment ref="G266" authorId="0" shapeId="0" xr:uid="{6ECD5BCA-3460-D343-BFAB-0D2E2B09D6EA}">
      <text>
        <r>
          <rPr>
            <sz val="10"/>
            <rFont val="SimSun"/>
            <charset val="134"/>
          </rPr>
          <t>IN 4PCS 11/16/24 DR#084872 DRAKESTER</t>
        </r>
      </text>
    </comment>
    <comment ref="H266" authorId="0" shapeId="0" xr:uid="{F0693ACD-1408-1149-9435-ACF30A04B707}">
      <text>
        <r>
          <rPr>
            <sz val="10"/>
            <rFont val="SimSun"/>
            <charset val="134"/>
          </rPr>
          <t>pull out 4pcs 1-15-25 DR#76912 DRAKESTERS</t>
        </r>
      </text>
    </comment>
    <comment ref="G267" authorId="0" shapeId="0" xr:uid="{A87D88A4-B1E9-C94C-A7BF-7F7E943380F3}">
      <text>
        <r>
          <rPr>
            <sz val="10"/>
            <rFont val="SimSun"/>
            <charset val="134"/>
          </rPr>
          <t>IN 4PCS 01.20.26 DR79983 SPC RONNIE
IN 4PCS 01.03.26 DR#79941-42 SPC HACKET</t>
        </r>
      </text>
    </comment>
    <comment ref="H267" authorId="0" shapeId="0" xr:uid="{FCE8FFAA-3BD5-354B-B557-BF1F1798DFAE}">
      <text>
        <r>
          <rPr>
            <sz val="10"/>
            <rFont val="SimSun"/>
            <charset val="134"/>
          </rPr>
          <t>01.17.26
54288 4PCS JARVIS</t>
        </r>
      </text>
    </comment>
    <comment ref="G268" authorId="0" shapeId="0" xr:uid="{0F2A323A-3681-C84B-9B9E-792A21EC4F98}">
      <text>
        <r>
          <rPr>
            <sz val="10"/>
            <rFont val="SimSun"/>
            <charset val="134"/>
          </rPr>
          <t>IN 4PCS 01.03.26 DR#79941-42 SPC HACKET</t>
        </r>
      </text>
    </comment>
    <comment ref="H268" authorId="0" shapeId="0" xr:uid="{A12DED9C-20EC-4946-B036-5205382093D8}">
      <text>
        <r>
          <rPr>
            <sz val="10"/>
            <rFont val="SimSun"/>
            <charset val="134"/>
          </rPr>
          <t>02.04.26
54872 4PCS MARLO</t>
        </r>
      </text>
    </comment>
    <comment ref="G269" authorId="0" shapeId="0" xr:uid="{125CE314-8034-FB44-A05D-28F1257FE641}">
      <text>
        <r>
          <rPr>
            <sz val="10"/>
            <rFont val="SimSun"/>
            <charset val="134"/>
          </rPr>
          <t>IN 4PCS 01.03.26 DR#79941-42 SPC HACKET</t>
        </r>
      </text>
    </comment>
    <comment ref="G270" authorId="0" shapeId="0" xr:uid="{F8F42AE1-109F-924C-82D3-55B6FFEE3E3A}">
      <text>
        <r>
          <rPr>
            <sz val="10"/>
            <rFont val="SimSun"/>
            <charset val="134"/>
          </rPr>
          <t xml:space="preserve"> 
IN 4PCS 11.8.25 DR#79866 SPC RONNIE</t>
        </r>
      </text>
    </comment>
    <comment ref="H270" authorId="0" shapeId="0" xr:uid="{2784709B-D75F-E84F-8D9A-4E7FBA18EF71}">
      <text>
        <r>
          <rPr>
            <sz val="10"/>
            <rFont val="SimSun"/>
            <charset val="134"/>
          </rPr>
          <t xml:space="preserve">OUT 4PCS 11.25.25 DR#80029 BINAN MIKE
9-15-25
2 PCS 50592 MARIBEL
</t>
        </r>
      </text>
    </comment>
    <comment ref="G271" authorId="0" shapeId="0" xr:uid="{9E9447D7-3E68-164C-A53A-B88263C0CE1A}">
      <text>
        <r>
          <rPr>
            <sz val="10"/>
            <rFont val="SimSun"/>
            <charset val="134"/>
          </rPr>
          <t>IN 4PCS 01.03.26 DR#79941-42 SPC HACKET</t>
        </r>
      </text>
    </comment>
    <comment ref="H271" authorId="0" shapeId="0" xr:uid="{E2710918-29D4-454E-91B7-7C2C96B26B52}">
      <text>
        <r>
          <rPr>
            <sz val="10"/>
            <rFont val="SimSun"/>
            <charset val="134"/>
          </rPr>
          <t>OUT 1PC 01.15.26 DR80201 SPC LALAMOVE KAREN</t>
        </r>
      </text>
    </comment>
    <comment ref="G272" authorId="0" shapeId="0" xr:uid="{D71733A6-433A-DF48-AD9A-4B358FB48E8E}">
      <text>
        <r>
          <rPr>
            <sz val="10"/>
            <rFont val="SimSun"/>
            <charset val="134"/>
          </rPr>
          <t xml:space="preserve">IN 4PCS 12.26.25 DR79915-17 SPC HACKET
IN 4PCS 7.19.25 DR#78881 SPC EMMAN
</t>
        </r>
      </text>
    </comment>
    <comment ref="H272" authorId="0" shapeId="0" xr:uid="{9F56503E-BAEF-1D42-BBA1-97EBA02106FD}">
      <text>
        <r>
          <rPr>
            <sz val="10"/>
            <rFont val="SimSun"/>
            <charset val="134"/>
          </rPr>
          <t>OUT 4PCS 9.24.25 DR#79274 S.V HACKET</t>
        </r>
      </text>
    </comment>
    <comment ref="G273" authorId="0" shapeId="0" xr:uid="{D2FC1B8E-B8C0-2E41-92D6-2BC093BD985D}">
      <text>
        <r>
          <rPr>
            <sz val="10"/>
            <rFont val="SimSun"/>
            <charset val="134"/>
          </rPr>
          <t>IN 4PCS 01.03.26 DR#79941-42 SPC HACKET</t>
        </r>
      </text>
    </comment>
    <comment ref="G274" authorId="0" shapeId="0" xr:uid="{51F67047-4E8F-D146-8F3A-FC1B78A7084B}">
      <text>
        <r>
          <rPr>
            <sz val="10"/>
            <rFont val="SimSun"/>
            <charset val="134"/>
          </rPr>
          <t xml:space="preserve">IN 2PCS 12.26.25 DR79915-17 SPC HACKET
IN 4PCS 7.20.25 DR#77235 BINAN HACKET
IN 4PCS 7.19.25 DR#78881 SPC EMMAN
</t>
        </r>
      </text>
    </comment>
    <comment ref="H274" authorId="0" shapeId="0" xr:uid="{9F119929-4E55-FC4D-A8A1-36069C8CAD9C}">
      <text>
        <r>
          <rPr>
            <sz val="10"/>
            <rFont val="SimSun"/>
            <charset val="134"/>
          </rPr>
          <t>11.18.25
52432 2PCS BEL
OUT 4PCS 7.21.25 DR#78372 LIPA A BRY</t>
        </r>
      </text>
    </comment>
    <comment ref="G275" authorId="0" shapeId="0" xr:uid="{DF7E11C4-7F73-E342-8251-B4661B77D422}">
      <text>
        <r>
          <rPr>
            <sz val="10"/>
            <rFont val="SimSun"/>
            <charset val="134"/>
          </rPr>
          <t>IN 1PC 01.06.25 DR79948-49 SPC ROBIN
IN 4PCS 11.8.25 DR#79866 SPC RONNIE</t>
        </r>
      </text>
    </comment>
    <comment ref="H275" authorId="0" shapeId="0" xr:uid="{62BEAEAC-DC30-8D43-BD48-4BF7BEC8A88D}">
      <text>
        <r>
          <rPr>
            <sz val="10"/>
            <rFont val="SimSun"/>
            <charset val="134"/>
          </rPr>
          <t>OUT 4PCS 03.03.26  DR80884 LIPA A
1-3-26
1PC 53831 JARVIS</t>
        </r>
      </text>
    </comment>
    <comment ref="G276" authorId="0" shapeId="0" xr:uid="{91DDCE72-9E8C-B745-9419-F7E2C0166E29}">
      <text>
        <r>
          <rPr>
            <sz val="10"/>
            <rFont val="SimSun"/>
            <charset val="134"/>
          </rPr>
          <t xml:space="preserve">IN 4PCS 01.09.26 DR79951-53 SPC HACKET
IN 4PCS 12.26.25 DR79915-17 SPC HACKET
IN 4PCS 7.19.25 DR#78881 SPC EMMAN
</t>
        </r>
      </text>
    </comment>
    <comment ref="H276" authorId="0" shapeId="0" xr:uid="{B340B678-1F16-CA4F-AD2B-49D2E3268BB3}">
      <text>
        <r>
          <rPr>
            <sz val="10"/>
            <rFont val="SimSun"/>
            <charset val="134"/>
          </rPr>
          <t xml:space="preserve">12.28.25
53692 4PCS ALY
11-18-25
4 PCS 52435 MARIBEL
</t>
        </r>
      </text>
    </comment>
    <comment ref="G277" authorId="0" shapeId="0" xr:uid="{F89A55D4-82A0-8F41-8DCA-8D451BA32B12}">
      <text>
        <r>
          <rPr>
            <sz val="10"/>
            <rFont val="SimSun"/>
            <charset val="134"/>
          </rPr>
          <t xml:space="preserve">IN 4PCS 01.06.25 DR79948-49 SPC ROBIN
IN 4PCS 12.26.25 DR79915-17 SPC HACKET
IN 4PCS 7.19.25 DR#78881 SPC EMMAN
</t>
        </r>
      </text>
    </comment>
    <comment ref="H277" authorId="0" shapeId="0" xr:uid="{35E0E715-1E16-3A47-A300-B00E919E42AD}">
      <text>
        <r>
          <rPr>
            <sz val="10"/>
            <rFont val="SimSun"/>
            <charset val="134"/>
          </rPr>
          <t>OUT 4PCS 02.16.26 DR80860 SPC
ALWIN
OUT 4PCS 01.22.26 DR80217 LIPA A
OUT 4PCS 9.1.25 DR#78443 LIPA A</t>
        </r>
      </text>
    </comment>
    <comment ref="G278" authorId="0" shapeId="0" xr:uid="{936CB050-2AD9-304E-B8D1-51FB1D3EFECB}">
      <text>
        <r>
          <rPr>
            <sz val="10"/>
            <rFont val="SimSun"/>
            <charset val="134"/>
          </rPr>
          <t xml:space="preserve">IN 4PCS 01.17.26 DR79978 SPC YONG 
IN 1PC 01.13.26 DR80167 LIPA A
IN 4PCS 11.14.25 DR#79878 SPC HACKET
IN 4PCS 8.23.25 DR#79044 SPC HACKET
IN 1PCS 8.5.25 DR#78835 SPC HACKET
IN 4PCS 7.27.25 DR#78899 SPC RONNIE
IN 4PCS 6.25.25 DR#77771 SPC HACKET
</t>
        </r>
      </text>
    </comment>
    <comment ref="H278" authorId="0" shapeId="0" xr:uid="{FE0DA03D-3006-144C-B2F7-453F189F6DA4}">
      <text>
        <r>
          <rPr>
            <sz val="10"/>
            <rFont val="SimSun"/>
            <charset val="134"/>
          </rPr>
          <t>1-13-26
5PCS 54164 ALY
9-19-25
4 PCS 50692 ALY
OUT 4PCS 8.21.25 DR#78425 BINAN BRY
OUT 1PCS 8.2.25 DR#78391 LIPA A
OUT 4PCS 7.23.25 DR#78375 STC LALAMOVE</t>
        </r>
      </text>
    </comment>
    <comment ref="G279" authorId="0" shapeId="0" xr:uid="{2ACE8055-DE99-4D4E-A314-4850A4392BDB}">
      <text>
        <r>
          <rPr>
            <sz val="10"/>
            <rFont val="SimSun"/>
            <charset val="134"/>
          </rPr>
          <t>IN 4PCS 01.03.26 DR#79941-42 SPC HACKET</t>
        </r>
      </text>
    </comment>
    <comment ref="H279" authorId="0" shapeId="0" xr:uid="{AF541C0F-A0D3-7544-95C0-334EE5DCE165}">
      <text>
        <r>
          <rPr>
            <sz val="10"/>
            <rFont val="SimSun"/>
            <charset val="134"/>
          </rPr>
          <t>02.02.26
54749 2PCS BEL</t>
        </r>
      </text>
    </comment>
    <comment ref="G280" authorId="0" shapeId="0" xr:uid="{D21072F5-2748-704B-8B3F-B4E8C5A3A0E0}">
      <text>
        <r>
          <rPr>
            <sz val="10"/>
            <rFont val="SimSun"/>
            <charset val="134"/>
          </rPr>
          <t xml:space="preserve">IN 3PCS 06.02.26 DR80726-27 SPC HACKET
IN 2PCS 11.25.25 DR#79899 SPC HACKET
IN 4PCS 9.30.25 DR#79624 SPC HACKET
IN 4PCS 8.30.25 DR#78618 LIPA A
IN 4PCS 6.25.25 DR#77771 SPC HACKET
</t>
        </r>
      </text>
    </comment>
    <comment ref="H280" authorId="0" shapeId="0" xr:uid="{D31699C5-DEC7-124E-B57F-98C975BE0056}">
      <text>
        <r>
          <rPr>
            <sz val="10"/>
            <rFont val="SimSun"/>
            <charset val="134"/>
          </rPr>
          <t xml:space="preserve">OUT 4PCS 01.14.26 DR80115 SPC 
11-19-25
2 PCS 52453 MARLO
OUT 4pcs 09-30-25 DR#79626 LIPA a
8-13-25
4 PCS 49594 ALY
</t>
        </r>
      </text>
    </comment>
    <comment ref="G281" authorId="0" shapeId="0" xr:uid="{1EB830A1-961C-9544-903B-BC37243DE650}">
      <text>
        <r>
          <rPr>
            <sz val="10"/>
            <rFont val="SimSun"/>
            <charset val="134"/>
          </rPr>
          <t>IN 4PCS 11.8.25 DR#79866 SPC RONNIE</t>
        </r>
      </text>
    </comment>
    <comment ref="G282" authorId="0" shapeId="0" xr:uid="{D38DDAE8-E9BC-044F-AF09-72E1946D330B}">
      <text>
        <r>
          <rPr>
            <sz val="10"/>
            <rFont val="SimSun"/>
            <charset val="134"/>
          </rPr>
          <t>IN 4PCS 12.26.25 DR79915-17 SPC HACKET
IN 4PCS 11.8.25 DR#79866 SPC RONNIE</t>
        </r>
      </text>
    </comment>
    <comment ref="H282" authorId="0" shapeId="0" xr:uid="{9BC50D51-ACEA-B24E-B6C0-C9BFE9E97F17}">
      <text>
        <r>
          <rPr>
            <sz val="10"/>
            <rFont val="SimSun"/>
            <charset val="134"/>
          </rPr>
          <t xml:space="preserve">1-5-26
4PCS OUT 53901 JARVIS
12-11-25
4 PCS 53117 JARVIS
</t>
        </r>
      </text>
    </comment>
    <comment ref="G283" authorId="0" shapeId="0" xr:uid="{272A39BF-1BF5-2D48-8047-B5EBC721D084}">
      <text>
        <r>
          <rPr>
            <sz val="10"/>
            <rFont val="SimSun"/>
            <charset val="134"/>
          </rPr>
          <t xml:space="preserve">IN 2PCS 9.4.25 DR#79076 SPC HACKET
IN 4PCS 8.13.25 DR#79016 SPC HACKET
IN 4PCS 7.19.25 DR#78881 SPC EMMAN
</t>
        </r>
      </text>
    </comment>
    <comment ref="H283" authorId="0" shapeId="0" xr:uid="{98CE0D30-151A-4840-B572-FC65E4D9E3D1}">
      <text>
        <r>
          <rPr>
            <sz val="10"/>
            <rFont val="SimSun"/>
            <charset val="134"/>
          </rPr>
          <t xml:space="preserve">02.24.26
55362 2PCS MARLO
8-13-25
2 PCS 49593 ALY
7-22-25
4 PCS 48953 MARIBEL
</t>
        </r>
      </text>
    </comment>
    <comment ref="G284" authorId="0" shapeId="0" xr:uid="{B437E4F0-AE8C-F74E-BEF2-C07164BF19CA}">
      <text>
        <r>
          <rPr>
            <sz val="10"/>
            <rFont val="SimSun"/>
            <charset val="134"/>
          </rPr>
          <t xml:space="preserve">IN 4PCS 7.19.25 DR#78881 SPC EMMAN
</t>
        </r>
      </text>
    </comment>
    <comment ref="G285" authorId="0" shapeId="0" xr:uid="{5CA1A9DC-3064-1C4D-B6B9-1F03C29896BE}">
      <text>
        <r>
          <rPr>
            <sz val="10"/>
            <rFont val="SimSun"/>
            <charset val="134"/>
          </rPr>
          <t xml:space="preserve">IN 4PCS 9.29.25 DR#79639 SPC
IN 4PCS 6.25.25 DR#77771 SPC HACKET
</t>
        </r>
      </text>
    </comment>
    <comment ref="H285" authorId="0" shapeId="0" xr:uid="{AAD869A0-CD0D-CF44-A8C3-6B503ACCAF9D}">
      <text>
        <r>
          <rPr>
            <sz val="10"/>
            <rFont val="SimSun"/>
            <charset val="134"/>
          </rPr>
          <t xml:space="preserve">9-29-25
4 PCS 50976 JARVIS
</t>
        </r>
      </text>
    </comment>
    <comment ref="G286" authorId="0" shapeId="0" xr:uid="{0936B71C-67D0-C248-A762-46C5D22C2C60}">
      <text>
        <r>
          <rPr>
            <sz val="10"/>
            <rFont val="SimSun"/>
            <charset val="134"/>
          </rPr>
          <t xml:space="preserve">IN 4PCS 06.02.26 DR80726-27 SPC HACKET
IN 4PCS 02.03.26 DR80186 LIPA A
IN 4PCS 11.14.25 DR#79878 SPC HACKET
IN 4PCS 7.24.25 DR#78889 SPC HACKET
IN 4PCS 6.25.25 DR#77771 SPC HACKET
</t>
        </r>
      </text>
    </comment>
    <comment ref="H286" authorId="0" shapeId="0" xr:uid="{D6186E1B-E7F9-8F46-A894-DE0368CA8825}">
      <text>
        <r>
          <rPr>
            <sz val="10"/>
            <rFont val="SimSun"/>
            <charset val="134"/>
          </rPr>
          <t xml:space="preserve">02.03.26
54833 4PCS JARVIS
54765 4PCS ALY
9-23-25
4 PCS 50827 JEN B.
7-10-25
4 PCS 48532 MARIBEL
</t>
        </r>
      </text>
    </comment>
    <comment ref="G287" authorId="0" shapeId="0" xr:uid="{1CE0420E-8E31-AA4A-9925-24A445A3211E}">
      <text>
        <r>
          <rPr>
            <sz val="10"/>
            <rFont val="SimSun"/>
            <charset val="134"/>
          </rPr>
          <t>IN 4PCS 11.11.25 DR#79873 SPC HACKET
IN 4PCS 11.8.25 DR#79866 SPC RONNIE</t>
        </r>
      </text>
    </comment>
    <comment ref="H287" authorId="0" shapeId="0" xr:uid="{1D9019AD-1DA7-FD49-98C3-D8009EEC27D5}">
      <text>
        <r>
          <rPr>
            <sz val="10"/>
            <rFont val="SimSun"/>
            <charset val="134"/>
          </rPr>
          <t>OUT 4PCS 02.18.26 DR80865-68 SPC HACKET
OUT 4PCS 11.14.25 DR#80014 LIPA A</t>
        </r>
      </text>
    </comment>
    <comment ref="G288" authorId="0" shapeId="0" xr:uid="{D0A847E5-D080-C345-9B84-7F1B1AF5C8F2}">
      <text>
        <r>
          <rPr>
            <sz val="10"/>
            <rFont val="SimSun"/>
            <charset val="134"/>
          </rPr>
          <t xml:space="preserve">IN 4PCS 01.09.26 DR79951-53 SPC HACKET
IN 4PCS 11.25.25 DR#79899 SPC HACKET
IN 4PCS 9.4.25 DR#79076 SPC HACKET
IN 4PCS 7.19.25 DR#78881 SPC EMMAN
</t>
        </r>
      </text>
    </comment>
    <comment ref="H288" authorId="0" shapeId="0" xr:uid="{9556A0BC-298B-1045-A13E-87C216A20478}">
      <text>
        <r>
          <rPr>
            <sz val="10"/>
            <rFont val="SimSun"/>
            <charset val="134"/>
          </rPr>
          <t>02.25.26
55445 4PCS MARLO
12-19-25
4 PCS 53400 JARVIS
10-18-25
4 PCS 51508 JARVIS
OUT 4PCS 7.31.25 DR#78388 LIPA A</t>
        </r>
      </text>
    </comment>
    <comment ref="G289" authorId="0" shapeId="0" xr:uid="{B61BD7A9-0919-8B4D-93FC-1D4DA9B2AF70}">
      <text>
        <r>
          <rPr>
            <sz val="10"/>
            <rFont val="SimSun"/>
            <charset val="134"/>
          </rPr>
          <t xml:space="preserve">IN 4PCS 11.25.25 DR#79899 SPC HACKET
IN 4PCS 6.9.25 DR#79081 SPC ALWIN
IN 4PCS 6.25.25 DR#77771 SPC HACKET
</t>
        </r>
      </text>
    </comment>
    <comment ref="H289" authorId="0" shapeId="0" xr:uid="{607C8BD6-8F7B-D14D-A54B-A86BF073C9F2}">
      <text>
        <r>
          <rPr>
            <sz val="10"/>
            <rFont val="SimSun"/>
            <charset val="134"/>
          </rPr>
          <t xml:space="preserve">10-20-25
4 PCS 51574 JARVIS
8-12-25
4 PCS 49548 ALY
</t>
        </r>
      </text>
    </comment>
    <comment ref="G290" authorId="0" shapeId="0" xr:uid="{99730346-AEF8-284B-8DC2-831DAD840D41}">
      <text>
        <r>
          <rPr>
            <sz val="10"/>
            <rFont val="SimSun"/>
            <charset val="134"/>
          </rPr>
          <t xml:space="preserve">IN 8PCS 11.21.25 DR#148024 DRAKESTER (25)
IN 4PC 10.11.25 DR#79658 SPC RONNIE
</t>
        </r>
      </text>
    </comment>
    <comment ref="H290" authorId="0" shapeId="0" xr:uid="{4BE7271B-7808-D04B-A726-E9ED4D3CD2FE}">
      <text>
        <r>
          <rPr>
            <sz val="10"/>
            <rFont val="SimSun"/>
            <charset val="134"/>
          </rPr>
          <t>03.02.26
55607 4PCS JARVIS
OUT 2PCS 1.3.26. DR80084 SPC HACKET
OUT 2PCS 12.18.25 DR#80068 SPC HACKET
OUT 4PCS 12.13.25 DR#80066 SPC ROBIN</t>
        </r>
      </text>
    </comment>
    <comment ref="G291" authorId="0" shapeId="0" xr:uid="{603B83FB-F2B3-F549-B122-775F5E53F24E}">
      <text>
        <r>
          <rPr>
            <sz val="10"/>
            <rFont val="SimSun"/>
            <charset val="134"/>
          </rPr>
          <t xml:space="preserve">IN 10PCS 11.21.25 DR#148024 DRAKESTER (25)
IN 2PCS 11.4.25 DR#144180 DRAKESTER
IN 4PC 10.11.25 DR#79658 SPC RONNIE
</t>
        </r>
      </text>
    </comment>
    <comment ref="H291" authorId="0" shapeId="0" xr:uid="{98211E99-7EE2-0D40-B2A5-C965C4E50142}">
      <text>
        <r>
          <rPr>
            <sz val="10"/>
            <rFont val="SimSun"/>
            <charset val="134"/>
          </rPr>
          <t xml:space="preserve">02.24.26
55430 4PCS BEL
OUT 1PC 02.20.26 DR80869 BIÑAN BRY
OUT 1PCS 01.30.26 DR80231 SPC HACKET
12-24-25
2 PCS OUT 53562 ALY
12-23-25
2 pcs 53494 aly
10-13-25
2 PCS 51381 MARLO
</t>
        </r>
      </text>
    </comment>
    <comment ref="G292" authorId="0" shapeId="0" xr:uid="{38AC77FC-09FD-B441-AD4D-4B9DB04EF39A}">
      <text>
        <r>
          <rPr>
            <sz val="10"/>
            <rFont val="SimSun"/>
            <charset val="134"/>
          </rPr>
          <t xml:space="preserve">IN 8PCS 11.21.25 DR#148024 DRAKESTER (25)
IN 4PC 10.11.25 DR#79658 SPC RONNIE
</t>
        </r>
      </text>
    </comment>
    <comment ref="H292" authorId="0" shapeId="0" xr:uid="{F345D4E1-18EC-E240-B06E-D7A15FD960B7}">
      <text>
        <r>
          <rPr>
            <sz val="10"/>
            <rFont val="SimSun"/>
            <charset val="134"/>
          </rPr>
          <t>OUT 2PCS 02.18.26 DR80865-68 SPC HACKET
12.22.25
53492 2PCS ALY
11.17.25
52405 4PCS BEL</t>
        </r>
      </text>
    </comment>
    <comment ref="G293" authorId="0" shapeId="0" xr:uid="{8204277C-ED35-F548-AE75-88F2ACC6DDF0}">
      <text>
        <r>
          <rPr>
            <sz val="10"/>
            <rFont val="SimSun"/>
            <charset val="134"/>
          </rPr>
          <t xml:space="preserve">IN 4PCS 01.30.26 DR162117 DRAKESTER
IN 2PCS 12.18.25 DR#78693 LIPA A
IN 4PCS 11.4.25 DR#144180 DRAKESTER
IN 4PC 10.11.25 DR#79658 SPC RONNIE
</t>
        </r>
      </text>
    </comment>
    <comment ref="H293" authorId="0" shapeId="0" xr:uid="{7D4F6A66-924F-184C-A928-633F0B0A34F3}">
      <text>
        <r>
          <rPr>
            <sz val="10"/>
            <rFont val="SimSun"/>
            <charset val="134"/>
          </rPr>
          <t xml:space="preserve">02.07.26
54928 2PCS ALY
12-18-25
4 PCS 53363 JARVIS
OUT 2PCS 12.5.25 DR#80052 STC LALAMOVE
OUT 4PCS 10.21.25 DR#79776 LIPA A
</t>
        </r>
      </text>
    </comment>
    <comment ref="G294" authorId="0" shapeId="0" xr:uid="{DBF9E25F-E277-1F4A-BAB2-DCDBBC8FF551}">
      <text>
        <r>
          <rPr>
            <sz val="10"/>
            <rFont val="SimSun"/>
            <charset val="134"/>
          </rPr>
          <t xml:space="preserve">IN 1PCS 03.03.26 DR80785 SPC HACKET
IN 4PCS 11.21.25 DR#148024 DRAKESTER (25)
IN 4PCS 11.4.25 DR#144180 DRAKESTER
IN 4PC 10.11.25 DR#79658 SPC RONNIE
</t>
        </r>
      </text>
    </comment>
    <comment ref="H294" authorId="0" shapeId="0" xr:uid="{7D26E71C-CCEE-A94D-81CA-5AE5ED7AF1BB}">
      <text>
        <r>
          <rPr>
            <sz val="10"/>
            <rFont val="SimSun"/>
            <charset val="134"/>
          </rPr>
          <t xml:space="preserve">02.10.26
55041 3PCS MARLO
OUT 2PCS 1.3.26. DR80084 SPC HACKET
10-23-25
4 PCS 51650 MARLO
</t>
        </r>
      </text>
    </comment>
    <comment ref="G295" authorId="0" shapeId="0" xr:uid="{C868E1D3-84B9-AE4A-9611-9D7FE81A97E5}">
      <text>
        <r>
          <rPr>
            <sz val="10"/>
            <rFont val="SimSun"/>
            <charset val="134"/>
          </rPr>
          <t xml:space="preserve">IN 10PCS 11.29.25 DR#149817 DRAKESTER
IN 4PC 10.11.25 DR#79658 SPC RONNIE
</t>
        </r>
      </text>
    </comment>
    <comment ref="H295" authorId="0" shapeId="0" xr:uid="{404348D0-CCBA-CF4C-9F4C-9F4DE2D31F43}">
      <text>
        <r>
          <rPr>
            <sz val="10"/>
            <rFont val="SimSun"/>
            <charset val="134"/>
          </rPr>
          <t xml:space="preserve">OUT 2PCS 02.18.26 DR80865-68 SPC HACKET
1-22-26
4 PCS 54429 MARLO
11-13-25
2 PCS 52215 MARIBEL
</t>
        </r>
      </text>
    </comment>
    <comment ref="G296" authorId="0" shapeId="0" xr:uid="{41F5B403-95B6-9046-AF45-EAA7B4DE7F97}">
      <text>
        <r>
          <rPr>
            <sz val="10"/>
            <rFont val="SimSun"/>
            <charset val="134"/>
          </rPr>
          <t xml:space="preserve">IN 4PCS 02.22.26 DR80257 LIPA A
IN 8PCS 11.21.25 DR#148024 DRAKESTER (25)
IN 4PC 10.11.25 DR#79658 SPC RONNIE
</t>
        </r>
      </text>
    </comment>
    <comment ref="H296" authorId="0" shapeId="0" xr:uid="{FAE79DB8-F292-B342-8A0D-472A1FD66630}">
      <text>
        <r>
          <rPr>
            <sz val="10"/>
            <rFont val="SimSun"/>
            <charset val="134"/>
          </rPr>
          <t xml:space="preserve">02.22.24
55400 PCS ALY
02.15.26
55178 4PCS JARVIS
02.13.26
55131 4PCS BEL
OUT 4PCS 1.3.26. DR80084 SPC HACKET
</t>
        </r>
      </text>
    </comment>
    <comment ref="G297" authorId="0" shapeId="0" xr:uid="{06047141-D5B4-4F43-AC23-3AE41B7D8EEA}">
      <text>
        <r>
          <rPr>
            <sz val="10"/>
            <rFont val="SimSun"/>
            <charset val="134"/>
          </rPr>
          <t>IN 12PCS 02.06.26 DR163840 DRAKESTER
IN 4PCS 01.27.26 DR80180 LIPA A
IN 4PCS 11.21.25 DR#148024 DRAKESTER (25)
IN 20PCS 9.22.25 DR#135358 DRAKESTER</t>
        </r>
      </text>
    </comment>
    <comment ref="H297" authorId="0" shapeId="0" xr:uid="{6466FC20-A45A-7149-9A74-4273FBFA8378}">
      <text>
        <r>
          <rPr>
            <sz val="10"/>
            <rFont val="SimSun"/>
            <charset val="134"/>
          </rPr>
          <t xml:space="preserve">OUT 4PCS 02.09.26 DR80243 SPC SERVICE
OUT 4PCS 02.04.26 DR80121 LIPA A
01.26.26
54586 4PCS JARVIS
OUT 2PCS 12.26.25 DR#80077 SPC HACKET
10-25-25
2 PCS  51744 MARIBEL
OUT 4PCS 4PCS 9.25.25 DR#79277 LIPA A
OUT 12PCS 9.23.25 SPC RONNIE
</t>
        </r>
      </text>
    </comment>
    <comment ref="G298" authorId="0" shapeId="0" xr:uid="{2CF13568-F3A4-6F47-972F-B2BCE469602D}">
      <text>
        <r>
          <rPr>
            <sz val="10"/>
            <rFont val="SimSun"/>
            <charset val="134"/>
          </rPr>
          <t xml:space="preserve">IN 8PCS 11.21.25 DR#148024 DRAKESTER (25)
IN 4PCS 11.17.25 DR#79105 STC
IN 4PC 10.11.25 DR#79658 SPC RONNIE
</t>
        </r>
      </text>
    </comment>
    <comment ref="H298" authorId="0" shapeId="0" xr:uid="{FB802F30-F755-934B-9940-344494D70E6F}">
      <text>
        <r>
          <rPr>
            <sz val="10"/>
            <rFont val="SimSun"/>
            <charset val="134"/>
          </rPr>
          <t>12.22.25
53518 4PCS JARVIS
12-3-25
4 PCS 52911 ALY
11-6-25
4 PCS 52063 ALY</t>
        </r>
      </text>
    </comment>
    <comment ref="G299" authorId="0" shapeId="0" xr:uid="{1ADF57F6-78B2-C746-BC0B-D70AAB154A4D}">
      <text>
        <r>
          <rPr>
            <sz val="10"/>
            <rFont val="SimSun"/>
            <charset val="134"/>
          </rPr>
          <t xml:space="preserve">IN 2PCS 01.30.26 DR162117 DRAKESTER
IN 4PC 10.11.25 DR#79658 SPC RONNIE
</t>
        </r>
      </text>
    </comment>
    <comment ref="H299" authorId="0" shapeId="0" xr:uid="{E6714724-4C8F-E34A-AA52-C44A5219D0E9}">
      <text>
        <r>
          <rPr>
            <sz val="10"/>
            <rFont val="SimSun"/>
            <charset val="134"/>
          </rPr>
          <t xml:space="preserve">02.18.26
55268 2PCS BEL
11-21-25
2 PCS 52532 MARIBEL
</t>
        </r>
      </text>
    </comment>
    <comment ref="G300" authorId="0" shapeId="0" xr:uid="{8E861B11-4467-994F-8ACD-D066FD9426E1}">
      <text>
        <r>
          <rPr>
            <sz val="10"/>
            <rFont val="SimSun"/>
            <charset val="134"/>
          </rPr>
          <t xml:space="preserve">IN 4PCS 01.30.26 DR162117 DRAKESTER
IN 4PC 10.11.25 DR#79658 SPC RONNIE
</t>
        </r>
      </text>
    </comment>
    <comment ref="H300" authorId="0" shapeId="0" xr:uid="{1FA6F174-6299-5449-9B65-F54368D11AD5}">
      <text>
        <r>
          <rPr>
            <sz val="10"/>
            <rFont val="SimSun"/>
            <charset val="134"/>
          </rPr>
          <t xml:space="preserve">11-30-25
2 PCS 52799 ALY
11.26.25
52620 1PC JARVIS
</t>
        </r>
      </text>
    </comment>
    <comment ref="G301" authorId="0" shapeId="0" xr:uid="{F182BC06-8B4C-5C45-8BE0-05444EB405D7}">
      <text>
        <r>
          <rPr>
            <sz val="10"/>
            <rFont val="SimSun"/>
            <charset val="134"/>
          </rPr>
          <t xml:space="preserve">IN 4PCS 02.18.26 DR80252 LIPA A
IN 4PCS 10.30.25 DR#79698 SPC BRY
IN 4PC 10.11.25 DR#79659 SPC RONNIE
</t>
        </r>
      </text>
    </comment>
    <comment ref="H301" authorId="0" shapeId="0" xr:uid="{B93677CB-D99B-2047-9DCC-CBAE077E5953}">
      <text>
        <r>
          <rPr>
            <sz val="10"/>
            <rFont val="SimSun"/>
            <charset val="134"/>
          </rPr>
          <t>02.16.26
55202 2PCS JARVIS
55213 2PCS BEL
OUT 4PCS 10.27.25 DR#79782 LIPA A</t>
        </r>
      </text>
    </comment>
    <comment ref="G302" authorId="0" shapeId="0" xr:uid="{F5324120-D4AC-2647-96FF-085557B455FA}">
      <text>
        <r>
          <rPr>
            <sz val="10"/>
            <rFont val="SimSun"/>
            <charset val="134"/>
          </rPr>
          <t>IN 4PCS 01.30.26 DR162117 DRAKESTER
IN 2PCS 11.4.25 DR#144180 DRAKESTER
IN 4PC 10.11.25 DR#79659 SPC RONNIE</t>
        </r>
      </text>
    </comment>
    <comment ref="H302" authorId="0" shapeId="0" xr:uid="{3A79C2E9-4C47-B54E-B2DE-9BF97C6ACAE3}">
      <text>
        <r>
          <rPr>
            <sz val="10"/>
            <rFont val="SimSun"/>
            <charset val="134"/>
          </rPr>
          <t>02.01.26
54738 2PCS JARVIS
OUT 4PCS 12.22.25 DR#80072 SPC SERVICE
10-17-25
2 PCS 51470 ADRIAN</t>
        </r>
      </text>
    </comment>
    <comment ref="G303" authorId="0" shapeId="0" xr:uid="{FFFB5448-FD1E-354F-B101-FE3D781B19B7}">
      <text>
        <r>
          <rPr>
            <sz val="10"/>
            <rFont val="SimSun"/>
            <charset val="134"/>
          </rPr>
          <t>IN 4PCS 03.03.26 DR80785 SPC HACKET</t>
        </r>
      </text>
    </comment>
    <comment ref="G305" authorId="0" shapeId="0" xr:uid="{49EF0F5C-B730-4F45-9087-160F772709DA}">
      <text>
        <r>
          <rPr>
            <sz val="10"/>
            <rFont val="SimSun"/>
            <charset val="134"/>
          </rPr>
          <t xml:space="preserve">IN 2PCS 02.06.26 D R163840 DRAKESTER
</t>
        </r>
      </text>
    </comment>
    <comment ref="H305" authorId="0" shapeId="0" xr:uid="{960D8B2A-1166-2445-8A49-6DDFD0469047}">
      <text>
        <r>
          <rPr>
            <sz val="10"/>
            <rFont val="SimSun"/>
            <charset val="134"/>
          </rPr>
          <t xml:space="preserve">OUT 4PCS 02.11.26 DR80246 SPC HACKET
02.10.26
55055 4PCS JARVIS
OUT 4PCS 02.09.26 DR80242 SPC BRY
</t>
        </r>
      </text>
    </comment>
    <comment ref="G306" authorId="0" shapeId="0" xr:uid="{22B6D271-7870-A746-B59C-32182EB1A309}">
      <text>
        <r>
          <rPr>
            <sz val="10"/>
            <rFont val="SimSun"/>
            <charset val="134"/>
          </rPr>
          <t>IN 4PCS 01.30.26 DR162117 DRAKESTER
IN 1PCS 11.14.25 DR#79878 SPC HACKET
IN 2PCS 10.31.25 DR#79853-54  HACKET
IN 4PC 10.11.25 DR#79659 SPC RONNIE</t>
        </r>
      </text>
    </comment>
    <comment ref="H306" authorId="0" shapeId="0" xr:uid="{95893ECD-D535-714C-A25F-31326B039737}">
      <text>
        <r>
          <rPr>
            <sz val="10"/>
            <rFont val="SimSun"/>
            <charset val="134"/>
          </rPr>
          <t xml:space="preserve">OUT 4PCS 11.30.25 DR#80037 LIPA A
11-13-25
1 PC 52264 MARLO
10-30-25
2 PCS 51896 MARLO
</t>
        </r>
      </text>
    </comment>
    <comment ref="G307" authorId="0" shapeId="0" xr:uid="{340954A2-DFC5-104F-9627-E9F63105471F}">
      <text>
        <r>
          <rPr>
            <sz val="10"/>
            <rFont val="SimSun"/>
            <charset val="134"/>
          </rPr>
          <t>IN 4PCS 01.30.26 DR162117 DRAKESTER
IN 4PCS 01.25.26 DR80178 LIPA A
IN 2PCS 12.26.25 DR79915-17 SPC HACKET
IN 4PCS 11.21.25 DR#148024 DRAKESTER (25)
IN 4PC 10.11.25 DR#79659 SPC RONNIE</t>
        </r>
      </text>
    </comment>
    <comment ref="H307" authorId="0" shapeId="0" xr:uid="{15A7DAEE-C8AB-7247-AA4E-2178B9CEE946}">
      <text>
        <r>
          <rPr>
            <sz val="10"/>
            <rFont val="SimSun"/>
            <charset val="134"/>
          </rPr>
          <t xml:space="preserve">02.07.26
54930 4PCS ALY
01.25.24
54563 2PCS JARVIS
1-10-26
4PCS 54049 MARLO
12-15-25
2 PCS OUT 53236 MARLO
12-9-25
4 PCS 53049 MARIBEL
</t>
        </r>
      </text>
    </comment>
    <comment ref="G308" authorId="0" shapeId="0" xr:uid="{8877D7A5-35D8-7B40-A46E-DF7AF27D7931}">
      <text>
        <r>
          <rPr>
            <sz val="10"/>
            <rFont val="SimSun"/>
            <charset val="134"/>
          </rPr>
          <t>IN 4PCS 03.03.26 DR80785 SPC HACKET
IN 4PCS 01.30.26 DR162117 DRAKESTER
IN 4PCS 11.4.25 DR#144180 DRAKESTER</t>
        </r>
      </text>
    </comment>
    <comment ref="H308" authorId="0" shapeId="0" xr:uid="{4766BFB8-47B8-DB4D-992C-6178DE535542}">
      <text>
        <r>
          <rPr>
            <sz val="10"/>
            <rFont val="SimSun"/>
            <charset val="134"/>
          </rPr>
          <t>02.19.26
55285 4PCS BEL
12.19.25
53430 4PCS JARVIS</t>
        </r>
      </text>
    </comment>
    <comment ref="G310" authorId="0" shapeId="0" xr:uid="{07ACE4F6-3D18-5C4C-8770-A37272925C94}">
      <text>
        <r>
          <rPr>
            <sz val="10"/>
            <rFont val="SimSun"/>
            <charset val="134"/>
          </rPr>
          <t>IN 4PC S 02.14.26 DR80198 LIPA A
IN 12PCS 11.29.25 DR#149817 DRAKESTER
IN 4PC 10.11.25 DR#79659 SPC RONNIE</t>
        </r>
      </text>
    </comment>
    <comment ref="H310" authorId="0" shapeId="0" xr:uid="{8C8AAD29-C6DF-6D40-8575-D1005CC289BF}">
      <text>
        <r>
          <rPr>
            <sz val="10"/>
            <rFont val="SimSun"/>
            <charset val="134"/>
          </rPr>
          <t xml:space="preserve">02.14.26
55133 4pcs bel
02.06.26
54911 4PCS ALY
1-27-26
4 PCS 54605 JARVIS
01.26.26
54569 4PCS JARVIS
11-8-25
4 PCS 52099 ALY
</t>
        </r>
      </text>
    </comment>
    <comment ref="G313" authorId="0" shapeId="0" xr:uid="{C0607FD0-0CFB-D544-88D2-E5A96B3BDE6E}">
      <text>
        <r>
          <rPr>
            <sz val="10"/>
            <rFont val="SimSun"/>
            <charset val="134"/>
          </rPr>
          <t>4PCS 9-15-22 STF#6935 SPC
4PCS 9-3-22 STF#6872 SPC</t>
        </r>
      </text>
    </comment>
    <comment ref="H313" authorId="0" shapeId="0" xr:uid="{5E39BAE5-9C58-1042-BEEE-DC58B154C2E2}">
      <text>
        <r>
          <rPr>
            <sz val="10"/>
            <rFont val="SimSun"/>
            <charset val="134"/>
          </rPr>
          <t>4 pcs 2-12-23 st002278 lipa a
4pcs 12-10-22 STF#2132 SITE A
4PCS 9-28-22 JO#18377 SALES</t>
        </r>
      </text>
    </comment>
    <comment ref="G314" authorId="0" shapeId="0" xr:uid="{05304994-2826-434A-B199-747EF314CF4E}">
      <text>
        <r>
          <rPr>
            <sz val="10"/>
            <rFont val="SimSun"/>
            <charset val="134"/>
          </rPr>
          <t xml:space="preserve">4PCS 5-26-22 STF#6400 SPC
4PC 04-16-2022 ST006204 SPC
</t>
        </r>
      </text>
    </comment>
    <comment ref="H314" authorId="0" shapeId="0" xr:uid="{E5C78F6F-C75B-0D42-A283-6D53FCA8909F}">
      <text>
        <r>
          <rPr>
            <sz val="10"/>
            <rFont val="SimSun"/>
            <charset val="134"/>
          </rPr>
          <t>4pcs 1-6-24 DR#73359 SPC OLD DOT
4PCS 2-8-23 STF#2271 SPC
4pcs 5-23-22 STF#1792 SPC</t>
        </r>
      </text>
    </comment>
    <comment ref="G315" authorId="0" shapeId="0" xr:uid="{E93FB87D-5460-224D-9F93-9EE3BECF32DC}">
      <text>
        <r>
          <rPr>
            <sz val="10"/>
            <rFont val="SimSun"/>
            <charset val="134"/>
          </rPr>
          <t>4pcs 9-6-22 STF#6887 SPC
4PCS 6-3-22 STF#6443 SPC
8PC 04-16-2022 ST006204 SPC</t>
        </r>
      </text>
    </comment>
    <comment ref="H315" authorId="0" shapeId="0" xr:uid="{55139506-281E-C945-AA91-6B7F41399F39}">
      <text>
        <r>
          <rPr>
            <sz val="10"/>
            <rFont val="SimSun"/>
            <charset val="134"/>
          </rPr>
          <t>4PCS 1-4-23 JO#20634 ALY
4PC 9-4-22 JO17845 PAULO
4PCS 9-3-22 STF#1959 SPC
4pcs 8-23-22 STF#1940 SPC</t>
        </r>
      </text>
    </comment>
    <comment ref="G316" authorId="0" shapeId="0" xr:uid="{972909E6-AD5C-6444-A4C7-1104563387A6}">
      <text>
        <r>
          <rPr>
            <sz val="10"/>
            <rFont val="SimSun"/>
            <charset val="134"/>
          </rPr>
          <t>IN 4PCS 02.28.26 DR168721 DRAKESTER (2,990) 
IN 6PCS 01.09.26 DR79951-53 SPC HACKET
IN 4PCS 10.22.25 DR#79682 SPC ROBIN
IN 4PCS 10.18.25 DR#79675 SPC BRY
IN 4PCS 10.11.25 DR#78725 LIPA A
IN 4PCS 9.30.25 DR#79624 SPC HACKET
IN 4PCS 9.22.25 DR#135389 DRAKESTER (TACTICAL 2,990)
IN 8PCS 9.4.25 DR#79076 SPC HACKET
IN 4PCS 7.28.25 DR#78802 SPC BRY
IN 2PCS 7.27.25 DR#78899 SPC RONNIE
IN 2PCS 7.26.25 DR#78573 LIPA A
IN 4PCS 6.18.25 DR#78800 SPC HACKET
IN 8PCS 5.29.25 DR#78761 SPC HACKET
IN 4PCS 5.18.25 ST002520 BINAN HACKET
IN 3PCS 4.7.25 DR#77397 MIKE
IN 6PCS 3.15.25 DR#98959 DRAKESTER
IN 6PCS ST002482 03.08.25 BIÑAN
IN 2PCS 2.11.25 DR#77015 SPC
IN 4PCS 1-31-25 DR#77010 SPC
1-30-25 4PCS  DR#77009 SPC HACKET
IN 1PC 1-06-25 DR#76164 LIPA A
----------------------------------------------
IN 3PCS 12-19-24 DR#76151 LIPA A
IN 4PCS 10-18-24 DR#76661 SPC KUYA HACKET
IN 4PCS 08/07/24 DR#76510 SPC KUYA HACKET
IN 4PCS 06/08/24 DR#75179 SPC KUYA MIKE
IN 2PCS 05/25/24 DR#73483 LIPA A
4PCS 2-2-24 DR#74640 SPC
4pcs 2-1-24 DR#74639 SPC
4PCS 12-26-23 DR#74539 SPC
2PCS 9-11-23 STA CRUZ
4PCS 8-29-23 DR#74166 SPC
3PCS 8-20-23 DR# SPC
4PCS 8-2-23 DR#73263 LIPA A
4PCS 7-6-23 SPC
4PCS 3-23-23 STF#7892 SPC</t>
        </r>
      </text>
    </comment>
    <comment ref="H316" authorId="0" shapeId="0" xr:uid="{CCCA9A43-862B-A34B-8E36-2EF043EF5E5B}">
      <text>
        <r>
          <rPr>
            <sz val="10"/>
            <rFont val="SimSun"/>
            <charset val="134"/>
          </rPr>
          <t>OUT 4PCS 02.16.26 DR80860 SPC
ALWIN
OUT 2PCS 01.06.26 DR80087 LIPA A
12-27-25
2PCS OUT 53615 JARVIS
11-4-25
2PCS 51956 ALY
10-11-25
4 PCS 51337 MARIBEL
10.4.25
51137 4PCS JARVIS
9-25-25
4 PCS 50876 MARIBEL
OUT 4PCS 9.23.25 DR#79273 LIPA A
9-13-25
4 PCS 50508 ALY
8.9.25
49327 4PCS ROSE
OUT 2PCS 7.27.25 DR#78382 LIPA A
7.26.25
49046 4PCS ALY
7-19-25
4 PCS 48885 JARVIS
OUT 1PCS 7.10.25 DR#78359 SPC RONNIE
OUT 1PCS 7.2.25 DR#78343 SPC BRY
OUT 4PCS 6.3.25 DR#78304 STC LALAMOVE
5-20-25
4 PCS 46510 ALY
4.30.25
45867 4PCS ALY
3-27-25
4 PCS OUT JO44583 DALIA
3.23.25
44398 5PCS JARVIS
3.10.25 DR#77143 4pcs spc kuya mark
out 2pcs 2.22.25 dr#77123 stc kuya howard
2PC OUT 2-8-25 JO42702 MARIBEL
2.4.25
42430 4pcs sales aly
4pc out 1/6/25 jo41464 dalia
OUT 4PCS 12/15/24 JO40721 ALY
OUT 4PCS 11/19/24 JO39739
JARVIS
07/20/24
36105 4PCS SALES BEL
OUT 05/25/24 34596 2PCS SALES BEL
OUT 04/30/24 33860 4PCS SALES JARVIS
4pcs 2-23-24 DR#74686 LIPA A
4PCS 1-5-23 DR#73357 SPC
1PC 9-21-23 DR#72284 SPC
2PCS 9-11-23 JO#28073 BEL
2PCS 9-2-23 JO#27913 BEL
2PCS 8-29-23 JO#27825 BEL
4PCS 8-20-23 JO#27626 JARVIS
4PCS 8-2-23 JO#27138 ROSE
2PCS 8-1-23 DR#73895 SPC
2PCS 7-25-23 JO#26982 JARVIS
4PCS 4-27-23 JO#24880 JARVIS</t>
        </r>
      </text>
    </comment>
    <comment ref="G317" authorId="0" shapeId="0" xr:uid="{568FAB7B-A6A3-CE47-83DD-200A554166F0}">
      <text>
        <r>
          <rPr>
            <sz val="10"/>
            <rFont val="SimSun"/>
            <charset val="134"/>
          </rPr>
          <t>IN 2PCS 10.18.25 DR#79675 SPC BRY
IN 2PCS 1-31-25 DR#77010 SPC
---------------------------------------------
IN 4PCS 10/13/24 DR#76646-48 SPC KUYA HACKET
IN 4PCS 09/21/24 DR#76538 SPC KUYA HACKET
2PCS 12-8-23 DR#34222 DRAKESTER
4PCS 7-6-23 SPC
4pcs 3-4-23 STF#7784 SPC</t>
        </r>
      </text>
    </comment>
    <comment ref="H317" authorId="0" shapeId="0" xr:uid="{6538A5F8-D843-E943-AFC0-964352799FFA}">
      <text>
        <r>
          <rPr>
            <sz val="10"/>
            <rFont val="SimSun"/>
            <charset val="134"/>
          </rPr>
          <t>OUT 4PCS 9.18.25 DR#79268 LIPA A
2pc out 12/3024 jo41109 marlo 
10/06/24
38251 2PCS SALES ALY
09/29/24
38050 2PCS SALES ALY
OUT 4PCS 08/22/24 DR#75381 SPC KUYA EMMAN (OLD DOT)
1PC 1-6-24 DR#73360 SPC OLD DOT
2PCS 11-8-23 JO#29326 BEL
4PCS 4-27-23 JO#24887 MARLO 
4PCS - 11/4/2021 SPC</t>
        </r>
      </text>
    </comment>
    <comment ref="G318" authorId="0" shapeId="0" xr:uid="{C7F3D22B-A01C-3A46-BF1C-46F215E45B14}">
      <text>
        <r>
          <rPr>
            <sz val="10"/>
            <rFont val="SimSun"/>
            <charset val="134"/>
          </rPr>
          <t>2PCS 6-22-22 STF#6519 SPC</t>
        </r>
      </text>
    </comment>
    <comment ref="H318" authorId="0" shapeId="0" xr:uid="{0B3B3AC1-1BA1-C14D-8229-C435D1E5C7BE}">
      <text>
        <r>
          <rPr>
            <sz val="10"/>
            <rFont val="SimSun"/>
            <charset val="134"/>
          </rPr>
          <t xml:space="preserve">
4PCS 11-2-22 JO#19166 JARVIS
2PC 03-31-2022 JO14433 SALES
</t>
        </r>
      </text>
    </comment>
    <comment ref="G319" authorId="0" shapeId="0" xr:uid="{4F9789C5-CBF7-E141-B3E4-328E6C2072D8}">
      <text>
        <r>
          <rPr>
            <sz val="10"/>
            <rFont val="SimSun"/>
            <charset val="134"/>
          </rPr>
          <t>IN 4PCS 03.03.26 DR80785 SPC HACKET
IN 4PCS 9.22.25 DR#135389 DRAKESTER (TACTICAL 3,300)
IN 4PCS 3.15.25 DR#98959 DRAKESTER
IN 4PCS 2.25.25 DR#77033 SPC HACKET
IN 4PCS 01-04-25 DR#76869 SPC KUYA MIKE
4PCS 12-26-23 DR#74539 SPC
4PCS 12-8-23 DR#34222 DRAKESTER
1pc 11-23-23 DR# LIPA A
4PCS 7-6-23 SPC</t>
        </r>
      </text>
    </comment>
    <comment ref="H319" authorId="0" shapeId="0" xr:uid="{B81FEF40-9FBA-4B42-9A11-E8147513DF57}">
      <text>
        <r>
          <rPr>
            <sz val="10"/>
            <rFont val="SimSun"/>
            <charset val="134"/>
          </rPr>
          <t>9-7-25
4 PCS 50342 JARVIS
4-5-25
4 PCS OUT JO44849 MARIBEL
OUT 4PCS 2.12.25 DR#76989 LIPA A
4pcs 1-6-24 DR#73360 SPC OLD DOT
1PC 11-23-23 JO#29745 BEL
4PCS 8-8-23 JO#27336 JARVIS</t>
        </r>
      </text>
    </comment>
    <comment ref="G320" authorId="0" shapeId="0" xr:uid="{EA106E24-8382-CE4D-A4C2-7A56FE32AA4A}">
      <text>
        <r>
          <rPr>
            <sz val="10"/>
            <rFont val="SimSun"/>
            <charset val="134"/>
          </rPr>
          <t>IN 12PCS 11.29.25 DR#149807 DRAKESTER
IN 4PCS 11.14.25 DR#79878 SPC HACKET
IN 4PCS 6.26.25 DR#77775-76 SPC EMMAN
IN 4PCS 5.01.25 DR#77695 SPC RONNIE
IN 2PCS 1-31-25 DR#77010 SPC
IN 1-30-25 2PCS  DR#77009 SPC HACKET
-----------------------------------------------
IN 4PCS 11/06/24 DR#76589 SPC MASTER
IN 4PCS 10-21-24 DR#76106 LIPA A
IN 4PCS 07/29/24 DR#064463 DRAKESTER
4PCS 12-26-23 DR#74539 SPC
1PC 11-7-23 DR#74375 SPC
4PCS 7-11-23 DR#73241 SPC</t>
        </r>
      </text>
    </comment>
    <comment ref="H320" authorId="0" shapeId="0" xr:uid="{1B24D28F-281D-F945-9178-F0856209BB5C}">
      <text>
        <r>
          <rPr>
            <sz val="10"/>
            <rFont val="SimSun"/>
            <charset val="134"/>
          </rPr>
          <t>OUT 8PCS 12.12.25 DR#80064 SPC ROBIN
OUT 12.2.25 DR80044 1PCS SPC ROBIN
11-12-25
52181 4 PCS ALY 
6-7-25
47227 4PCS JARVIS
 4 PCS OUT 3-13-25 JO43991
 DALIA
4PC OUT 1/19/25 JO41925 ALY
10/21/2024	38675 4PCS SALES
10/19/2024	38520 4pcs sales
4pcs 1-6-24 DR#73360 SPC OLD DOT
4PC 11-27-23 JO#29798 BEL
1PC 10-19-23 JO#28919 BEL</t>
        </r>
      </text>
    </comment>
    <comment ref="G321" authorId="0" shapeId="0" xr:uid="{84E02551-5226-BF47-AFA8-236709E1E3D9}">
      <text>
        <r>
          <rPr>
            <sz val="10"/>
            <rFont val="SimSun"/>
            <charset val="134"/>
          </rPr>
          <t>IN 2PCS 01.25.26 DR80177 LIPA A
IN 4PCS 5.29.25 DR#78761 SPC HACKET
IN 4PCS 09/21/24 DR#76538 SPC KUYA HACKET
IN 2PCS 04/29/24 DR#75010 SPC KUYA EMMAN
4PCS 2-2-24 DR#74640 SPC
4PCS 1-22-24 DR# SPC
2PCS 12-8-23 DR#34222 DRAKESTER
4PCS 7-11-23 DR#73241 SPC
4PC 12-14-2021 ST005654  SPC</t>
        </r>
      </text>
    </comment>
    <comment ref="H321" authorId="0" shapeId="0" xr:uid="{54419F3A-767C-FA41-93D3-11C49DF842F6}">
      <text>
        <r>
          <rPr>
            <sz val="10"/>
            <rFont val="SimSun"/>
            <charset val="134"/>
          </rPr>
          <t>01.26.25
54552 2PCS ALY
12-9-25
4 PCS 53025 JUN B
3-28-25
4 PCS OUT JO44653 MARIBEL
OUT 2PCS 08/22/24 DR#75381 SPC KUYA EMMAN (OLD DOT)
OUT 07/12/24 35908 2PCS SALES BEL
OUT 03/31/24 33095 2PCS SALES MARLO
4PCS 1-22-24 JO#31216 JUN
2pcs 1-6-24 DR#73360 SPC OLD DOT
4pcs 9-5-23 DR#72255 SPC
4PCS 12-15-21 JO#12426 JARVIS</t>
        </r>
      </text>
    </comment>
    <comment ref="G322" authorId="0" shapeId="0" xr:uid="{918BF0FE-9995-B940-A503-7E502D0034CD}">
      <text>
        <r>
          <rPr>
            <sz val="10"/>
            <rFont val="SimSun"/>
            <charset val="134"/>
          </rPr>
          <t>IN 2PCS 7.28.25 DR#78802 SPC BRY
IN 4PCS 05/20/21 DR#75044 SPC KUYA BOYONG
IN 4PCS 04/13/24 DR#SPS0021 SPC KUYA EMAN
4PCS 2-2-24 DR#74640 SPC
4PCS 7-11-23 DR#73241 SPC
4PCS 10-31-22 STF#7175 SPC
4PCS 3-1-22 STF#5993 SPC
4PCS 01-05-2022 ST005730 SPC</t>
        </r>
      </text>
    </comment>
    <comment ref="H322" authorId="0" shapeId="0" xr:uid="{48B70F26-2BC3-B14D-A594-98EAB0F9B8B5}">
      <text>
        <r>
          <rPr>
            <sz val="10"/>
            <rFont val="SimSun"/>
            <charset val="134"/>
          </rPr>
          <t>02.15.26
55175 4PCS JARVIS
6-29-25
2 PCS 48103 ALY
OUT 3PCS 6.18.25 DR#78324 SPC HACKET
OUT 4PCS 08/22/24 DR#75381 SPC KUYA EMMAN (OLD DOT)
OUT 05/31/24 34737 2PCS SALES JARVIS
4pcs 1-6-24 DR#73360 SPC OLD DOT
4PCS 10-31-22 JO#19109 JARVIS
2PCS 10-5-22 JO#18572 SALES
2PC 8-8-22 JO17188 PAULO
4PC 02-26-2022 JO13773 SALES
4PC 12-18-2021 JO#12508 MARIBEL</t>
        </r>
      </text>
    </comment>
    <comment ref="G323" authorId="0" shapeId="0" xr:uid="{BCB09F79-5567-BD4B-A715-803C992E7149}">
      <text>
        <r>
          <rPr>
            <sz val="10"/>
            <rFont val="SimSun"/>
            <charset val="134"/>
          </rPr>
          <t>IN 2PCS 02.28.26 DR168721 DRAKESTER (3,450
IN 9PCS 11.21.25 DR#147973 DRAKESTER (25)
IN 2PCS 11.19.25 DR#79889 SPC ROBIN
IN 1PC 11.19.25 DR#78666 LIPA A
IN 3PCS 9.22.25 DR#135389 DRAKESTER (TACTICAL 3,450)
IN 4PCS 7.28.25 DR#78802 SPC BRY
IN 4PCS 7.27.25 DR#78899 SPC RONNIE
IN 1PC 7.3.25 DR#78095 LIPA A
IN 4PCS 5.29.25 DR#78761 SPC HACKET
IN 8PCS 3.15.25 DR#98959 DRAKESTER
IN 2PCS 2.1525 DR#77064 LIPA A
IN 2PCS 01-02-25 DR#19674 SPC KUYA ALWIN
IN 4PCS 12-04-24 DR#75738 SPC BRIAN
IN 2PCS 11/25/24 DR#75722 SPC KUYA EMMAN
IN 4PCS 10/30/24 DR#76691 SPC BRIAN
IN 6PCS 08/28/24 DR#68708 DRAKESTER
IN 2PCS 08/27/24 DR#76555 SPC KUYA HACKET
IN 2PCS 08/07/24 DR#76510 SPC KUYA HACKET
IN 2PCS 07/20/24 DR#76063 LIPA A
IN 2PCS 06/26/24 DR# SPC MASTER
IN 2PCS 06/06/24 DR#75177 SPC KUYA HACKET
IN 2PCS 05/18/24 DR#73480 LIPA A
4PCS 12-8-23 DR#34222 DRAKESTER
2PCS 9-7-23 DR#72655 LIPA A
2pcs 9-6-23 STA CRUZ
2PCS 8-18-23 DR#73280 LIPA A
4pcs 3-4-23 STF#7784 SPC
1PC 10-24-22 STF#7148 SPC</t>
        </r>
      </text>
    </comment>
    <comment ref="H323" authorId="0" shapeId="0" xr:uid="{3E3F2A9A-55A1-7C4A-A84C-C30B7A3FC893}">
      <text>
        <r>
          <rPr>
            <sz val="10"/>
            <rFont val="SimSun"/>
            <charset val="134"/>
          </rPr>
          <t>02.01.26
54717 2PCS ALY
OUT 4PCS 12.26.25 DR#80077 SPC HACKET
OUT 4PCS 12.2.25 DR#80045 LIPA A ROI
11-6-25
1 PC 52047 JARVIS
10-29-25
4 PCS 51065  ALY
OUT 3PCS 8.7.25 DR#78395 SPC HACKET
6-26-25
4 PCS 48002 MARIBEL
OUT 4PCS 5.24.25 DR#77980 SPC MIKE
OUT 4PCS 4.16.25 DR#77601 SPC HACKET
2 PCS OUT 2-15-25 JO42919 JARVIS
4PC OUT 1/11/25 JO41672 ALY
4pc out 1/2/25 jo41302 aly
OUT 2PC 12/15/24 JO40706 JARVIS
OUT 4PCS 11/27/24 JO40107 JARVIS
11/09/24
39442 2pcs sales jarvis
10/18/2024	38605 4PCS SALES
OUT 2PCS 09/19/24 DR#75409-10 SPC KUYA HACKET
08/17/24
36871 2PCS SALES JARVIS
07/20/24
36116 4PCS SALES DAHLIA
OUT 2PCS 06/17/24 DR#75109 LIPA A
OUT 05/18/24 34444 4PCS SALES JARVIS 
4PCS 9-28-2023 JO#28464 JARVIS
2PCS 8-18-23 JO#27584 JARVIS
4pcs 4-26-23 STF#2427 SPC
1PC 10-24-22 JO#18927 MARLO</t>
        </r>
      </text>
    </comment>
    <comment ref="G324" authorId="0" shapeId="0" xr:uid="{2278236B-C419-6649-B116-0F1CCC0DC658}">
      <text>
        <r>
          <rPr>
            <sz val="10"/>
            <rFont val="SimSun"/>
            <charset val="134"/>
          </rPr>
          <t>IN 2PCS 06.02.26 DR80726-27 SPC HACKET
IN 12PCS 11.21.25 DR#147973 DRAKESTER (25)
IN 2PCS 10-25-25 DR78741 LIPA A 
IN 2PCS 8.20.25 DR#79034 SPC HACKET
IN 2PCS 8.2.25 DR#78827 SPC HACKET
IN 2PCS 7.29.25 DR#78577 LIPA A
IN 4PCS 6.4.25 DR#77221 BIÑAN HACKET
IN 2PCS 5.29.25 DR#78057 LIPA A
IN 8PCS 3.15.25 DR#98959 DRAKESTER
IN 4PCS 12-30-24 DR#76862 SPC KUYA RONNIE
2PCS 12-19-24 DR085384 DRAKESTER
IN 2PCS 12-03-24 DR#75734 SPC KUYA ALWIN
IN 6PCS 08/28/24 DR#68708 DRAKESTER
IN 4PCS 08/07/24 DR#76510 SPC KUYA HACKET
IN 2PCS 07/21/24 DR#75242 SPC MASTER
IN 2PCS 07/15/24 DR#75236 SPC KUYA EMMAN
IN 4PCS 06/04/24 DR#75176 SPC KUYA HACKET
IN 4PCS 05/31/24 DR#75169 SPC KUYA HACKET
4pcs 2-26-24 dr#73409 LIPA A
4PCS 12-8-23 DR#34222 DRAKESTER
4PCS 7-6-23 SPC
1PC 12-06-2021 ST005623 SPC</t>
        </r>
      </text>
    </comment>
    <comment ref="H324" authorId="0" shapeId="0" xr:uid="{67579C39-8D37-304A-AA0A-BB607F1C27E1}">
      <text>
        <r>
          <rPr>
            <sz val="10"/>
            <rFont val="SimSun"/>
            <charset val="134"/>
          </rPr>
          <t>02.03.26
54820 4PCS JARVIS
1-9-26
2PCS 54041 MARLO
10.25.25
51748 4PCS BEL
9.18.25
50640 2PCS BEL 
7.29.25
49127 2PCS ALY
7-24-25
4 pcs 48971 ALY  
5.29.25
46918 4PCS BEL
5-27-25
4 PCS 46887 JARVIS
5.25.25
46842 2PCS ATE ALY
4 PCS OUT 2-15-25 JO42951 MARLO
12-29-24
41193 4PCS SALES DAHLIA
4PCS OUT 12/23/24 JO40989 DALIA
12-12-24
40579 2PCS SALES BEL
1PCS 11/19/24 JO39727 MARIBEL
11-17-2024 
1PC JO#39858 MARIBEL
08/25/24
37087 2PCS SALES JARVIS
08/02/24
36484 2PCS SALES JARVIS
07/28/24
36327 4PCS SALES JARVIS
07/08/24
35799 2PCS SALES MARLO
OUT 06/19/24 35240 4PCS SALES JARVIS
OUT 3/09/24 32554 4PCS SALES JARVIS
4PCS 2-22-24 32137 JARVIS
4pcs 8-24-23 DR#72234 SPC
1PC 12-2-22 JO#19925 JARVIS
1pc 12-7-21 jo#12263 MARIBEL</t>
        </r>
      </text>
    </comment>
    <comment ref="G325" authorId="0" shapeId="0" xr:uid="{0494A6F6-C589-314E-B5F7-2DCCF4725F7F}">
      <text>
        <r>
          <rPr>
            <sz val="10"/>
            <rFont val="SimSun"/>
            <charset val="134"/>
          </rPr>
          <t>IN 4PCS 02.28.26 DR168721 DRAKESTER (3,500)
IN 4PCS 02.18.26 DR80252 LIPA A
IN 16PCS 11.29.25 DR#149806 DRAKESTER (3,500)
IN 8PCS 11.21.25 DR#147973 DRAKESTER (25)
IN 4PCS 10.22.25 DR#79682 SPC ROBIN
IN 4PCS 10.18.25 DR#79675 SPC BRY
IN 3PCS 10.2.25 DR#78945 SV
IN 1PCS 9.29.25 DR#78941 S.V HACKET
IN 2PCS 9.24.25 DR#79611 SPC HACKET
IN 4PCS 9.4.25 DR#79076 SPC HACKET
IN 8PCS 8.20.25 DR#79034 SPC HACKET
IN 2PCS 7.16.25 DR#78557 LIPA A
IN 2PCS 6.26.25 DR#77775-76 SPC EMMAN
IN 4PCS 6.18.25 DR#78800 SPC HACKET
IN 2PCS 5.29.25 DR#78761 SPC HACKET
IN 2PC 4.8.25 DR#77525 LIPA A
IN 2PCS 3.28.25 DR#77371 SPC HACKET
IN 8PCS 3.15.25 DR#98959 DRAKESTER
IN 1-30-25 4PCS  DR#77009 SPC HACKET
IN 1PC 1-12-25 DR#76170 LIPA A
----------------------------------------------
IN 2PC 12-26-24 DR#76156 LIPA A
IN 3PCS 12-03-24 DR#75734 SPC KUYA ALWIN
IN 3PCS 10/13/24 DR#76646-48 SPC KUYA HACKET
IN 3PCS 10/12/24 DR376642 SPC BRIAN
IN 6PCS 08/28/24 DR#68708 DRAKESTER
IN 2PCS 08/27/24 DR#76555 SPC KUYA HACKET
IN 4PCS 08/07/24 DR#76510 SPC KUYA HACKET
IN 2PCS 07/06/24 DR#75226 SPC MASTER
IN 6PCS 06/04/24 DR#75176 SPC KUYA HACKET
IN 4PCS 04/21/24 DR#SP0049 SPC
IN 4PCS 04/13/24 DR#SPS0021 SPC KUYA EMAN
IN  4PCS 04/10/24 DR#74900 SPC
4pcs 2-1-24 DR#74639 SPC
4PCS 12-8-23 DR#34222 DRAKESTER
4PCS 10-18-23 DR# LIPA A
4PCS 7-12-23 DR#73244 SPC
4PCS 3-30-23 STF#982 STC</t>
        </r>
      </text>
    </comment>
    <comment ref="H325" authorId="0" shapeId="0" xr:uid="{5A79E03B-829E-5F44-8BD7-CD27EC93D439}">
      <text>
        <r>
          <rPr>
            <sz val="10"/>
            <rFont val="SimSun"/>
            <charset val="134"/>
          </rPr>
          <t>OUT 4PCS 02.18.26 DR80864 SPC KUYA MARK
02.14.26
55123 4pcs aly
1-22-26
4 PCS 54434 ALY
12.13.25
53188 1PC JARVIS
OUT 8PCS 12.12.25 DR#80064 SPC ROBIN
OUT 4PCS 12.2.25 DR#80045 LIPA A ROI
11-11-25
1 PC 51568 HANA
11-6-25
2 PCS 51565 HANNA
10-21-25
4 PCS 51596 ALY
10-2-25
4 PCS 50718 HANNA
9.28.25
50956 4PC ALY
9-23-25
4 PCS 50832 MARLO
9-20-25
2 PCS 50697 ALY
OUT 2PCS 8.29.25 DR#78439 SPC HACKET
8-24-25
2 PCS 49951 JARVIS
7-18-25
2  PCS 48837 JARVIS
OUT 4PCS 7.11.25 DR#78361 BINAN EMMAN
6-22-25
2 PCS  47899 JARVIS
6-8-25
4 PCS 47260 ALY
5-22-25
2 PCS 46616 MARIBEL 
4-1-25
2 PCS OUT JO44781 DALIA
4 PCS OUT 3-26-25 JO44632 JARVIS 
3.15.25 DR#77158 2PCS BINAN
OUT 4PCS 2-11-25 DR#76983 BIÑAN
1PC OUT 1/12/25 JO41682 ALY
12-26-24
41095 4PCS SALES DAHLIA
12-26-24
41060 4PCS SALES ALY
OUT 12-14-2024
40655 MARIBEL 2 PCS
OUT 2PCS 11/14/24
JO39812 OFFICE/ HANNA
OUT 4PCS SALES 11/11/2024
JO38549 HANNA/OFFICE
OUT 3PCS 09/19/24 DR#75409-10 SPC KUYA HACKET
09/13/24
37596 2PCS SALES DAHLIA
08/21/24
37001 4PCS SALES JARVIS
08/17/24
36825 2PCS SALES DAHLIA
OUT 4PCS 07/10/24 DR#75138 LIPA A
OUT 06/19/24 35284 2PCS SALES LEN
OUT 05/25/24 34593 2PCS SALES BEL
OUT 05/05/24 34006 4PCS SALES  JARVIS
OUT 04/12/24 33430 4PCS SALES BEL
OUT 04/06/24 33265 4PCS SALES JARVIS
OUT 12-20-2023
30414 4PCS SALES JARVIS
4PCS 10-18-23 JO#28922 MARLO
4PCS 9-4-23 JO#27933 JARVIS
4PCS 4-1-23 JO#23822 BEL</t>
        </r>
      </text>
    </comment>
    <comment ref="G326" authorId="0" shapeId="0" xr:uid="{179F2D06-62D0-8742-ABCE-12D4BE4EC79F}">
      <text>
        <r>
          <rPr>
            <sz val="10"/>
            <rFont val="SimSun"/>
            <charset val="134"/>
          </rPr>
          <t>IN 4PCS 5.28.25 DR#78758 SPC HACKET
IN 4PCS 5.5.25 DR#77704 SPC EMMAN
IN 4PCS 4.7.25 DR#77524 LIPA A
IN 2PCS 1-20-25 DR#76894 SPC KUYA MIKE
IN 2PCS 01-04-25 DR#76869 SPC KUYA MIKE
IN 4PCS 10/13/24 DR#76646-48 SPC KUYA HACKET
IN 4PCS 09/23/24 DR#76093 LIPA A
2PCS 7-19-23 DR#74016 SPC
4PCS 7-12-23 DR#73244 SPC
4pcs 3-4-23 STF#7784 SPC</t>
        </r>
      </text>
    </comment>
    <comment ref="H326" authorId="0" shapeId="0" xr:uid="{5176AE9C-9B33-874E-B124-8676F6CDEE80}">
      <text>
        <r>
          <rPr>
            <sz val="10"/>
            <rFont val="SimSun"/>
            <charset val="134"/>
          </rPr>
          <t>OUT 4PCS 5.24.25 DR#77977 LIPA A
4-7-25
4 PCS OUT JO44965 DALIA
3.15.25
44131 4PCS ALY
1-17-25
41828 4PCS SALES JARVIS
09/23/24
37886 4PCS  SALES JARVIS
4pcs 8-24-23 JO#27696 JARVIS
2PCS 4-19-23 JO#24735 JARVIS</t>
        </r>
      </text>
    </comment>
    <comment ref="G327" authorId="0" shapeId="0" xr:uid="{A007D4EF-8835-E24E-AC7A-11FD8B228C40}">
      <text>
        <r>
          <rPr>
            <sz val="10"/>
            <rFont val="SimSun"/>
            <charset val="134"/>
          </rPr>
          <t>IN 4PCS 06.02.26 DR80726-27 SPC HACKET
IN 4PCS 10.22.25 DR#79682 SPC ROBIN
IN 3PCS 8.20.25 DR#79034 SPC HACKET
IN 3PCS 6.19.25 DR#77758 SPC ALWIN
2PCS 12-19-24 DR085384 DRAKESTER
IN 2PCS 12-10-24 DR#75746 SPC KUYA HACKET
IN 2PCS 12-10-24 DR#83873 DRAKESTER
IN 2PCS 08/28/24 DR#68708 DRAKESTER
IN 2PCS 04/29/24 DR#75010 SPC KUYA EMMAN
IN 4PCS 04/21/24 DR#SP0049 SPC
4pcs 1-29-24 DR#74633 SPC
4PCS 12-8-23 DR#34222 DRAKESTER
4pcs 7-31-23 dr#73260 lipa a
2PCS 7-6-23 SPC
4pcs 3-4-23 STF#7784 SPC</t>
        </r>
      </text>
    </comment>
    <comment ref="H327" authorId="0" shapeId="0" xr:uid="{4C76812A-C42E-074E-8BF2-976F1C2B7B99}">
      <text>
        <r>
          <rPr>
            <sz val="10"/>
            <rFont val="SimSun"/>
            <charset val="134"/>
          </rPr>
          <t>12-19-25
4 PCS 53379 ALY
12-1-25
4 PCS 52817 MARIBEL
6-22-25
2 PCS 47906 ALY
6-16-25
4 PCS 47593 MARIBEL
4 PCS OUT 2-7-25 FOR BIÑAN
out 2pcs 12/5/24 jo40375 jarvis
08/02/24
36488 4PCS SALES JARVIS
OUT 2PSC 5-21-24 DR#75073 SPC ADWIN
OUT 4/20/24 33650 2PCS SALES BEL
4PCS 1-3-24 JO#30753 LEN
4PCS 7-31-23 JO#27088 JARVIS
4PCS 7-15-23 JO#26720 JARVIS
4PCS 7-11-23 JO#26667 BEL
2PCS 3-27-23 JO#23390 MARIBEL</t>
        </r>
      </text>
    </comment>
    <comment ref="G328" authorId="0" shapeId="0" xr:uid="{576DC64C-552D-9440-A26C-E93B77BEF8DC}">
      <text>
        <r>
          <rPr>
            <sz val="10"/>
            <rFont val="SimSun"/>
            <charset val="134"/>
          </rPr>
          <t>IN 8PCS 03.03.26 DR80785 SPC HACKET
IN 1PC 02.28.26 DR168721 DRAKESTER (3,580)
IN 8PCS 11.21.25 DR#147973 DRAKESTER (25)
IN 4PCS 9.29.25 DR#79620 SPC HACKET
IN 4PCS 8.20.25 DR#79034 SPC HACKET
IN 2PCS 7.30.25 DR#78578 LIPA A
IN 4PCS 6.24.25 DR#77765 SPC HACKET
IN 4PCS 5.29.25 DR#78761 SPC HACKET
IN 1PCS 5.5.25 DR#77704 SPC EMMAN
IN 3PCS 4.23.24 DR#77675 SPC MIKE
IN 4PCS 3.28.25 DR#77371 SPC HACKET
IN 4PCS 1-21-25 DR#76896 SPC HACKET
IN 4PCS 1-19-25 DR#76892 SPC SERVICE
IN 4PCS 1-17-25 DR#76892 LIPA A
----------------------------------------------
IN 4PCS 10/03/24 DR#76630 SPC KUYA HACKET
IN 1PCS 08/28/24 DR#68708 DRAKESTER
IN 6PCS 06/04/24 DR#75176 SPC KUYA HACKET
IN 4PCS 04/29/24 DR#75010 SPC KUYA EMMAN
2pcs 2-29-24 dr#74847 spc
4PCS 12-27-23 DR#74540 SPC
4PCS 8-21-23 DR#73283 LIPA A</t>
        </r>
      </text>
    </comment>
    <comment ref="H328" authorId="0" shapeId="0" xr:uid="{573CC8EE-2DB3-0544-AB53-F3DFD76E3BC0}">
      <text>
        <r>
          <rPr>
            <sz val="10"/>
            <rFont val="SimSun"/>
            <charset val="134"/>
          </rPr>
          <t>02.17.26
55209 2PCS JARVIS
OUT 2PCS 02.07.26 DR80241 LIPA A
1-2-26
1 PC OUT 53745 MARLO
12-26-25
4 PCS OUT 53600 ALY
9.28.25
50958 4PCS ALY
7-30-25
2 PCS 49182 ALY
7-14-25
2 PCS 48587 MARIBEL
7.6.25
48436 2PCS JARVIS
6-22-25
4 PCS 47908 ALY
OUT 4PCS 5-16-25 DR#77958 LIPA A
4-7-25
4 PCS OUT JO44963 DALIA
2 PCS OUT 3-20-25 JO44149 JARVIS
3.15.25 DR#77158 2PCS BINAN
OUT 4PCS 1-19-25 DR#76923 LIPA A
OUT 1-18-25 4PCS (FROM A) JO#41879 JARVIS SALES
4PC OUT 1/17/25 JO41728 ROSE
OUT 4PCS 11/21/24 JO39915 MARLO
OUT 4PCS 09/19/24 DR#75409-10 SPC KUYA HACKET
08/16/24
36847 1PC SALES BEL
OUT 05/23/24 34553 2PCS SALES JARVIS
4PCS 2-9-24 JO#30678 SALES
OUT 2-8-24 DR#74664-65 4PCS  SPC
2pcs 1-10-24 DR#73374 SPC
4pcs 8-21-23 JO#27646 MARLO</t>
        </r>
      </text>
    </comment>
    <comment ref="G329" authorId="0" shapeId="0" xr:uid="{B337EB0D-B947-8F40-97E1-2F18C02D4C79}">
      <text>
        <r>
          <rPr>
            <sz val="10"/>
            <rFont val="SimSun"/>
            <charset val="134"/>
          </rPr>
          <t>IN 8PCS 02.28.26 DR168721 DRAKESTER (3,650)
IN 12PCS 11.29.25 DR#149806 DRAKESTER (3,650)
IN 2PCS 11.8.25 DR#79877 SPC SERVICE
IN 2PCS 11.14.25 DR#78663 LIPA A
IN 2PCS 11.13.25 DR#78661 LIPA A
IN 4PCS 8.12.25 DR#79011 SPC SERVICE
IN 1PC 7.25.25 DR#78570 LIPA A
IN 3PCS 5-2-25 DR#77702 SPC HACKET
IN 1PC 4.8.25 DR#77527 LIPA A
IN 3PCS 1-31-25 DR#77010 SPC
---------------------------------------------
IN 1PC 11-16-24 DR#76122 LIPA A
IN 4PCS 10/13/24 DR#76646-48 SPC KUYA HACKET
IN 2PCS 05/20/24 DR#75044 SPC KUYA BOYONG
IN 4PCS 05/15/24 DR#75038 SPC KUYA PING
IN 4PCS 04/23/24 DR#74897 SPC 
IN 4PCS 04/20/24 DR#73455 LIPA A
4PCS 7-12-23 DR#73244 SPC</t>
        </r>
      </text>
    </comment>
    <comment ref="H329" authorId="0" shapeId="0" xr:uid="{1C986E04-03C7-234E-BC03-ECECA47B0FFF}">
      <text>
        <r>
          <rPr>
            <sz val="10"/>
            <rFont val="SimSun"/>
            <charset val="134"/>
          </rPr>
          <t>03.02.26
55497 2PCS ROSE
02.10.26
54963 4PCS ALY
02.04.26
54853 4PCS JARVIS
OUT 4PCS 12.3.25 DR#80048 SPC HACKET
OUT 4PCS 12.2.25 DR#80045 LIPA A ROI
11-13-25
2 PCS 52239 JARVIS
11.12.25
52186 4pcs aly
7-25-25
4 PCS 49014 ALY
4-8-25
4 PCS OUT JO44910 ROSE
OUT 4 PCS 10/29/24
JO#38893 MARIBEL 
09/22/24
37818 4PCS SALES JARVIS
OUT 05/18/24 34418 2PCS SALES  BEL
OUT 04/24/24 33736 4PCS SALES ROSE
OUT 4/20/24 33645 4PCS SALES BEL
OUT 04/07/24 33296 4PCS SALES  BEL
4PCS 8-4-23 JO#27224 JARVIS</t>
        </r>
      </text>
    </comment>
    <comment ref="G330" authorId="0" shapeId="0" xr:uid="{24910478-9A36-B04E-92CB-2FEB45CE94CE}">
      <text>
        <r>
          <rPr>
            <sz val="10"/>
            <rFont val="SimSun"/>
            <charset val="134"/>
          </rPr>
          <t>IN 2PCS 02.26.26 DR80774 SPC RONNIE
IN 1PCS 12.26.25 DR79915-17 SPC HACKET
IN 9PCS 11.21.25 DR#147973 DRAKESTER (25)
IN 3PCS 4.15.24 DR#77664 SPC HACKET
IN 4PCS 2.11.25 DR#77352 SPC KUYA EMMAN
----------------------------------------------
IN 2PCS 07/21/24 DR#75242 SPC MASTER
IN 2PCS 07/06/24 DR#75226 SPC MASTER
IN 2PCS 07/04/24 DR#75223 SPC KUYA HACKET
4pcs 1-6-24 DR#74603 SPC
4PCS 12-8-23 DR#34222 DRAKESTER
4PCS 10-25-23 STA CRUZ
4PCS 7-11-23 DR#73241 SPC
4pcs 7-7-23 spc
4pcs 3-4-23 STF#7784 SPC</t>
        </r>
      </text>
    </comment>
    <comment ref="H330" authorId="0" shapeId="0" xr:uid="{F362EF84-2A7F-6E4B-A6B6-5FD63E4D28D3}">
      <text>
        <r>
          <rPr>
            <sz val="10"/>
            <rFont val="SimSun"/>
            <charset val="134"/>
          </rPr>
          <t>02.20.26
55304 2PCS JARVIS
12-11-25
4 PCS 53103 ALY
12-8-25
2 PCS 53036 JARVIS
11.16.25 
52363 4PCS ALY
OUT 1PCS 7.21.25 DR#78372 LIPA A BRY
5.3.25
46013 2PCS JARVIS
4-4-25
1 PC OUT JO44854 ALY
OUT 3PCS 2.20.25 DR#77120 SPC ALWIN
OUT 2PCS 2.14.25 DR#76992 STC
1 PC OUT 1/28/25 JO42176 ALY
OUT 03/18/24 32797 2PCS SALES BEL
2PCS 12-30-23 JO#30699 BEL
2PCS 12-27-23 JO#30506 JARVIS
4PCS 7-28-23 JO#27046 JARVIS
4pcs 7-8-23 JO#26594 JARVIS
4PCS 6-11-23 JO#25925 MARLO</t>
        </r>
      </text>
    </comment>
    <comment ref="G331" authorId="0" shapeId="0" xr:uid="{91D30323-5471-354B-A3CD-E3106739B22C}">
      <text>
        <r>
          <rPr>
            <sz val="10"/>
            <rFont val="SimSun"/>
            <charset val="134"/>
          </rPr>
          <t>IN 4PCS 03.03.26 DR80785 SPC HACKET
IN 1PC 11.3.25 DR#78750 LIPA A
IN 2PCS 11/21/24 DR#75716 SPC
IN 4PCS 10/30/24 76691 SPC
IN 4PCS 2/26/24 DR# 74838 SPC
2pcs 9-28-23 DR#72663 LIPA A
2PCS 9-3-23 DR#72652 LIPA A</t>
        </r>
      </text>
    </comment>
    <comment ref="H331" authorId="0" shapeId="0" xr:uid="{42449C1C-1A3F-494B-B746-03E2D962BEAE}">
      <text>
        <r>
          <rPr>
            <sz val="10"/>
            <rFont val="SimSun"/>
            <charset val="134"/>
          </rPr>
          <t>OUT 5PCS 12.18.25 DR#80068 SPC HACKET
11/18/2024	39742 2pcs sales
OUT 4PCS 08/17/24 DR#75373 SPC (OLD DOT)
4pcs 1-6-24 DR#73360 SPC OLD DOT
2PCS 9-28-23 JO#28462 JARVIS
2PCS 9-3-23 JO#27922 BEL</t>
        </r>
      </text>
    </comment>
    <comment ref="H332" authorId="0" shapeId="0" xr:uid="{73062230-192A-4F41-9BEA-79C3C42CA47C}">
      <text>
        <r>
          <rPr>
            <sz val="10"/>
            <rFont val="SimSun"/>
            <charset val="134"/>
          </rPr>
          <t>1PC - 11/19/2021 ST001492 SPC
1PC - 11/03/2021 LIPA A</t>
        </r>
      </text>
    </comment>
    <comment ref="G333" authorId="0" shapeId="0" xr:uid="{092108E2-F5EA-AE4F-AAA2-353C1345D0C5}">
      <text>
        <r>
          <rPr>
            <sz val="10"/>
            <rFont val="SimSun"/>
            <charset val="134"/>
          </rPr>
          <t>IN 4PCS 4.7.25 DR#77524 LIPA A
IN 4PCS 2/26/24 DR# 74838 SPC
4PCS 7-6-23 SPC
4PCS 3-30-23 STF#2370 LIPA A</t>
        </r>
      </text>
    </comment>
    <comment ref="H333" authorId="0" shapeId="0" xr:uid="{7B68D552-0E57-9949-B644-E839D193ED7A}">
      <text>
        <r>
          <rPr>
            <sz val="10"/>
            <rFont val="SimSun"/>
            <charset val="134"/>
          </rPr>
          <t>OUT 4PCS 5.9.25 DR#77641 SPC ROI
OUT 4PCS 08/17/24 DR#75373 SPC (OLD DOT)
4pcs 1-7-24 DR#73365 SPC OLD DOT
2PCS 9-10-23 DR#72263 LIPA A
2pcs 9-2-23 dr#72250 lipa a
4PCS 3-29-23 JO#23439 JARVIS</t>
        </r>
      </text>
    </comment>
    <comment ref="G334" authorId="0" shapeId="0" xr:uid="{B12E032E-8E7F-4C4E-A1A8-617CD2B21027}">
      <text>
        <r>
          <rPr>
            <sz val="10"/>
            <rFont val="SimSun"/>
            <charset val="134"/>
          </rPr>
          <t>IN 4PCS 02.28.26 DR168721 DRAKESTER (5,650)
4PCS 7-6-23 SPC</t>
        </r>
      </text>
    </comment>
    <comment ref="H334" authorId="0" shapeId="0" xr:uid="{6F20A1AE-F30D-FE42-A6C6-03EC6F0B6EFF}">
      <text>
        <r>
          <rPr>
            <sz val="10"/>
            <rFont val="SimSun"/>
            <charset val="134"/>
          </rPr>
          <t>4PCS 10-7-23 JO#28672 BEL</t>
        </r>
      </text>
    </comment>
    <comment ref="G335" authorId="0" shapeId="0" xr:uid="{9829B394-93FC-474B-9DF7-58A84AC52203}">
      <text>
        <r>
          <rPr>
            <sz val="10"/>
            <rFont val="SimSun"/>
            <charset val="134"/>
          </rPr>
          <t>IN 5PCS 12-14-24 DR#84801 DRAKESTER
IN 4PCS 07/05/24 DR#061528 DRAKESTER</t>
        </r>
      </text>
    </comment>
    <comment ref="H335" authorId="0" shapeId="0" xr:uid="{1552777E-176D-F243-958D-08D39AF02BB5}">
      <text>
        <r>
          <rPr>
            <sz val="10"/>
            <rFont val="SimSun"/>
            <charset val="134"/>
          </rPr>
          <t>5PC 12/15/24  JO40555 JARVIS
OUT 07/05/24 35736 4PCS SALES JARVIS</t>
        </r>
      </text>
    </comment>
    <comment ref="G336" authorId="0" shapeId="0" xr:uid="{F874EBD6-9B4C-5841-A6E4-24CA7D8FEC6A}">
      <text>
        <r>
          <rPr>
            <sz val="10"/>
            <rFont val="SimSun"/>
            <charset val="134"/>
          </rPr>
          <t>IN 4PCS 01.31.26 DR80718 SPC YONG
IN 1PC 4.16.25 DR#77667 SPC HACKET
IN 3PCS 4.8.25 DR#75763 STC
1pc 3.28.25 dr#75755 stc
IN 4PCS 3.29.25 DR#77373 SPC mike
IN 4PCS 04/17/24 DR# SPC KUYA HACKET
IN 5PCS DRAKESTER</t>
        </r>
      </text>
    </comment>
    <comment ref="H336" authorId="0" shapeId="0" xr:uid="{31CD1B28-4BA4-3140-89C7-6B24482E6987}">
      <text>
        <r>
          <rPr>
            <sz val="10"/>
            <rFont val="SimSun"/>
            <charset val="134"/>
          </rPr>
          <t xml:space="preserve">01.31.26
54687 4PCS ALY
OUT 4PCS 9.9.25 DR#79252 SPC HACKET
OUT 5PCS 3.31.25 DR#77200 SPC BRY
OUT 04/23/24 33723 4PCS SALES JARVIS
OUT 04/09/24 33332 5PCS BOSS JUN
</t>
        </r>
      </text>
    </comment>
    <comment ref="G337" authorId="0" shapeId="0" xr:uid="{9650C04C-A78E-A547-AACC-2BBA19CEF027}">
      <text>
        <r>
          <rPr>
            <sz val="10"/>
            <rFont val="SimSun"/>
            <charset val="134"/>
          </rPr>
          <t>4PCS 7-7-23 SPC</t>
        </r>
      </text>
    </comment>
    <comment ref="H337" authorId="0" shapeId="0" xr:uid="{AC2EF521-EFB8-5049-90F1-1BE03AA948A4}">
      <text>
        <r>
          <rPr>
            <sz val="10"/>
            <rFont val="SimSun"/>
            <charset val="134"/>
          </rPr>
          <t xml:space="preserve">
1PC 6-15-22 STF#1822 SPC
4pc 05-11-2022 JO15302 SALES
1PC 4-21-22 STF#1740 SPC
4pcs 1-31-22 stf#1614 spc</t>
        </r>
      </text>
    </comment>
    <comment ref="G338" authorId="0" shapeId="0" xr:uid="{33D7DE94-E883-4247-981B-2EF57BCBC1C8}">
      <text>
        <r>
          <rPr>
            <sz val="10"/>
            <rFont val="SimSun"/>
            <charset val="134"/>
          </rPr>
          <t>IN 4PCS 4.25.25 DR#78008 LIPA A BRIAN
IN 4PCS 11/07/24 DR#76591 SPC
4PCS 7-6-23 SPC</t>
        </r>
      </text>
    </comment>
    <comment ref="H338" authorId="0" shapeId="0" xr:uid="{096AE0C5-2F3B-0E46-9FC4-9D2DC3CBD477}">
      <text>
        <r>
          <rPr>
            <sz val="10"/>
            <rFont val="SimSun"/>
            <charset val="134"/>
          </rPr>
          <t>OUT 4PCS 12.2.25 DR#80043 LIPA A ROI
4PC OUT 1/24/25 JO41910 ROSE
4Pcs 1-7-24 DR#73365 SPC OLD DOT</t>
        </r>
      </text>
    </comment>
    <comment ref="G339" authorId="0" shapeId="0" xr:uid="{1A6614ED-8481-CC4C-80D3-DAB87F24AD2F}">
      <text>
        <r>
          <rPr>
            <sz val="10"/>
            <rFont val="SimSun"/>
            <charset val="134"/>
          </rPr>
          <t>IN 2PCS 06.02.26 DR80726-27 SPC HACKET
IN 4PCS 9.30.25 DR#79624 SPC HACKET</t>
        </r>
      </text>
    </comment>
    <comment ref="H339" authorId="0" shapeId="0" xr:uid="{9EFE8073-E290-1145-80B6-E4754616FA4B}">
      <text>
        <r>
          <rPr>
            <sz val="10"/>
            <rFont val="SimSun"/>
            <charset val="134"/>
          </rPr>
          <t xml:space="preserve">12-11-25
2 PCS OUT 53102 ALY
</t>
        </r>
      </text>
    </comment>
    <comment ref="G340" authorId="0" shapeId="0" xr:uid="{7D7F3BE1-FBC5-D64E-93CE-386ACE050B77}">
      <text>
        <r>
          <rPr>
            <sz val="10"/>
            <rFont val="SimSun"/>
            <charset val="134"/>
          </rPr>
          <t>IN 20PCS 11.29.25 DR#149806 DRAKESTER (3,450)
IN 4PCS 11.25.25 DR#79899 SPC HACKET
IN 2PCS FROM LIPA A 11-23-2025 DR#78672 JOSHUA
IN 2PCS 8.10.25 DR#79648 SPC ROBIN
IN 6PCS 9.22.25 DR#135389 DRAKESTER (TACTICAL 3,450)
IN 2PCS 8.28.25 DR#79053 SPC HACKET
IN 7PCS 5.29.25 DR#78761 SPC HACKET
IN 3PCS 3.18.25 DR#77434 SPC HACKET
IN 1PCS 2.18.25 DR#77025 SPC
IN 4PCS 2.14.25 DR#77026 SPC
IN 1PC 2.12.25 DR#77057 LIPA A
IN 4PCS 12-30-24 DR#76862 SPC KUYA RONNIE
IN 4PCS 12-18-24 DR#76855 SPC KUYA MIKE
8PCS 12-19-24 DR085384 DRAKESTER
IN 3PCS 12-03-24 DR#75734 SPC KUYA ALWIN
IN 3PCS 11-18-24 DR#75710 SPC KUYA EMMANIN 1PCS 11/04/24 DR#19261 SPC
IN 1PCS 11/04/24 DR#76113 LIPA A
IN 2PCS 10/13/24 DR#76646-48 SPC KUYA HACKET
IN 3PCS 10/03/24 DR#76630 SPC KUYA HACKET
IN 2PCS 08/28/24 DR#68708 DRAKESTER
IN 4PCS 08/15/24 DR#76521 SPC KUYA HACKET
IN 2PCS 08/13/24 DR#76071 LIPA A
IN 2PCS 07/06/24 DR#75226 SPC MASTER
IN 4PCS 06/04/24 DR#75176 SPC KUYA HACKET
IN 1PCS 05/02/24 DR#73473 LIPA A
IN 4PCS 03/20/24 DR#74873 SPC
IN 4PCS 03/19/24 DR#74872 SPC 
IN 4PCS 03/11/24 DR#73424 LIPA A
4pcs 1-29-24 DR#74633 SPC
4PCS 8-11-23 DR#73271 LIPA A
4PCS 7-6-23 SPC</t>
        </r>
      </text>
    </comment>
    <comment ref="H340" authorId="0" shapeId="0" xr:uid="{3E613C33-2435-3348-93EC-EAB528CD4E26}">
      <text>
        <r>
          <rPr>
            <sz val="10"/>
            <rFont val="SimSun"/>
            <charset val="134"/>
          </rPr>
          <t>OUT 4PCS 12.26.25 DR#80077 SPC HACKET
OUT 10PCS 12.3.25 DR#80048 SPC HACKET
OUT 2PCS 12.2.25 DR#80045 LIPA A ROI
11-23-2025 SALES
JO#52585 4PCS JARVIS
11.16.25
52393 2PCS JARVIS
10-9-25
4 PCS 51248 MARLO
9.28.25
50957 2PCS ALY
8-15-25
4 PCS 49689 JARVIS]
OUT 1PCS 7.26.25 DR#78379 SPC RONNIE
OUT 3PCS 6.11.25 DR#78317 SPC BRY
4-29-25
1 PC 45614 ALY
4-29-25
2 PCS 45847 MARIBEL
2 PCS OUT 3-12-25 JO43957 MARIBEL
3.8.25 2PCS DR#77142 BIÑAN HACKET
1 PC OUT 2-12-25 JO42824 ALY
4 PCS OUT 2-11-25 JO42810 MARIBEL 
4PC OUT 1/21/25 JO41995 JARVIS
OUT 1-18-25 4PCS JO#41696 ALY SALES
12-26-24
41085 4PCS SALES JARVIS
OUT 12-14-2024
40656 MARIBEL 4PCS
12-12-24
40606 2PCS SALES JARVIS
2pcs out 12/11/24 jo40572 maribel 
11-04-2024
39176 4pcs sales dahlia
OUT 2PCS 11/02/2024
JO39141 JARVIS
OUT 2PCS 10/30/24
JO38923 JARVIS
10/05/24
38178 2PCS SALES DAHLIA
OUT 3PCS 09/16/24 DR#75406 LIPA A
08/13/24
36782 4PCS SALES BEL
OUT 2PCS 06/29/24 DR#75124 LIPA A
OUT 05/02/24 33974 2PCS SALES BEL
OUT 1PCS 04/20/24 DR#74784 LIPA A
OUT 04/06/24 33274 2PCS SALES BEL
OUT 03/30/24 33084 4PCS SALES JARVIS
OUT 3/11/24 4PCS 32634 BEL
OUT 03/04/2024 32447 4PCS SALES MARLO
4PCS 8-31-23 JO#27863 JARVIS
4PCS 7-11-23 JOP#26656 MARLO</t>
        </r>
      </text>
    </comment>
    <comment ref="G341" authorId="0" shapeId="0" xr:uid="{320EC146-A7D5-DD42-9A72-815D45433275}">
      <text>
        <r>
          <rPr>
            <sz val="10"/>
            <rFont val="SimSun"/>
            <charset val="134"/>
          </rPr>
          <t>IN 4PCS 01.12.26 DR79961 SPC HACKET
IN 4PCS 11.11.25 DR#79873 SPC HACKET
IN 4PCS 10.28.25 DR#79695 SPC BRY
IN 4PCS 10.18.25 DR#79675 SPC BRY
IN 4PCS 3.22.25 DR#77443 SPC BRY
IN 4PCS 1-7-25 DR#76165 LIPA A
IN 4PCS 12-07-24 DR#75744 SPC 
IN 4PCS 05/11/24 DR#73478 LIPA A
IN 4pcs 4-16-24 DR73452 LIPA A
4PCS 12-8-23 DR#34222 DRAKESTER</t>
        </r>
      </text>
    </comment>
    <comment ref="H341" authorId="0" shapeId="0" xr:uid="{0026B6FD-6B65-9149-B2E7-144095A0E79E}">
      <text>
        <r>
          <rPr>
            <sz val="10"/>
            <rFont val="SimSun"/>
            <charset val="134"/>
          </rPr>
          <t>1-10-26
4PCS 54056 ALY
1-3-26
4PCS OUT 53833 JARVIS
10-26-2025
4PCS 51777 JARVIS SALES
6-29-25
4 PCS 48115 JARVIS
01-07-25
41511 4PCS SALES DAHALI
4PC OUT 12/15/24 JO40679 ALY
OUT  4PCS 12/7/24 JO40472 JARVIS
OUT 04/16/24 33561 4PCS SALES BEL
OUT 03/21/24 32857 4PCS SALES JHONLY</t>
        </r>
      </text>
    </comment>
    <comment ref="G342" authorId="0" shapeId="0" xr:uid="{CB3320E4-5058-4F45-9579-9627B3EC7832}">
      <text>
        <r>
          <rPr>
            <sz val="10"/>
            <rFont val="SimSun"/>
            <charset val="134"/>
          </rPr>
          <t>IN 4PCS 06.02.26 DR80726-27 SPC HACKET
IN 20PCS 11.29.25 DR#149806 DRAKESTER (4,290)
IN 2PCS 8.20.25 DR#79034 SPC HACKET
IN 2PCS 8.19.25 DR#78611 lipa a HACKET
IN 4PCS 7.25.25 DR#78897 SPC MIKE
IN 2PCS 7.14.25 DR#78553 LIPA A
IN 2PCS 5.5.25 DR#77704 SPC EMMAN
IN 4PCS 4.14.25 DR#77538 LIPA A
IN 2PCS 1-06-25 DR#76164 LIPA A
IN 2PCS 01-04-25 DR#76871 SPC
IN 2PCS 12-30-24 DR#76862 SPC KUYA RONNIE
4PCS 12-19-24 DR085384 DRAKESTER
IN 4PCS 10/03/24 DR#76630 SPC KUYA HACKET
IN 1PCS 08/28/24 DR#68708 DRAKESTER
IN 4PCS 2/26/24 DR# 74838 SPC
4PCS 12-8-23 DR#34222 DRAKESTER
4PCS 7-12-23 DR#73244 SPC
4pcs 3-4-23 STF#7784 SPC</t>
        </r>
      </text>
    </comment>
    <comment ref="H342" authorId="0" shapeId="0" xr:uid="{F279FA96-CFBD-FA40-B187-24A4B58938B2}">
      <text>
        <r>
          <rPr>
            <sz val="10"/>
            <rFont val="SimSun"/>
            <charset val="134"/>
          </rPr>
          <t>1-14-26
4PCS 54213 JARVIS
1-2-26
4 PCS 53801 JARVIS
OUT 10PCS 12.3.25 DR#80047 SPC HACKET
OUT 12.2.25 DR80044 2PCS SPC ROBIN
11.26.25
52626 2PCS ALY
10-30-25
2 PCS 51886 MARIBEL
OUT 1PCS 9.6.25 DR#78448 SPC RONNIE
8-13-25
4 PCS 49618 JARVIS
7-14-25
4 PCS 48637 JARVIS
OUT 2PCS 5.4.25 DR#77636 LIPA A
4-29-25
2 PCS 45874 MARLO
4 PCS OUT 3-20-25 JO44276  ALY
4 PC OUT 2/6/25 JO42652 ALY
4PC OUT 1/4/25 JO41355 DALIA
12-28-2024 SALES
41134 4PCS ALY
41174 2PCS MARIBEL
11-30-24
40241 4PCS SALES JARVIS
OUT 1PCS 08/17/24 DR#75373 SPC (OLD DOT)
4PCS 1-6-24 JO#30849 JARTBIS
4PCS 9-1-23 JO#27867 JARVIS
4PCS 3-27-23 JO#23405 JARVIS</t>
        </r>
      </text>
    </comment>
    <comment ref="G343" authorId="0" shapeId="0" xr:uid="{B14678B9-7FF5-9A46-B4B0-F6FA52F3CA57}">
      <text>
        <r>
          <rPr>
            <sz val="10"/>
            <rFont val="SimSun"/>
            <charset val="134"/>
          </rPr>
          <t>IN 12PCS 11.29.25 DR#149807 DRAKESTER
IN 4PCS 9.24.25 DR#79611 SPC HACKET
IN 1PCS 3.10.25 DR#77088 LIPA A
4PCS 12-19-24 DR085384 DRAKESTER
IN 4PCS 12-03-24 DR#75734 SPC KUYA ALWIN
IN 3PCS 11/23/24
IN 1PCS 11/06/24 DR#76589 SPC MASTER
IN 4PC 10-18-24 DR#76661 SPC KUYA HACKET
IN 1PC 10/16/24 DR# SPC
IN 4PCS 10-16-24 DR#76103 LIPA A
IN 4PCS 07/21/24 DR#75242 SPC MASTER
IN 4PCS 07/20/24 DR#76063 LIPA A</t>
        </r>
      </text>
    </comment>
    <comment ref="H343" authorId="0" shapeId="0" xr:uid="{4E103A28-314A-154A-9EAC-60A3C42CB6FA}">
      <text>
        <r>
          <rPr>
            <sz val="10"/>
            <rFont val="SimSun"/>
            <charset val="134"/>
          </rPr>
          <t xml:space="preserve">OUT 2PCS 02.20.26 DR80869 BIÑAN BRY
1-4-26
2PCS OUT 53850 ALY
OUT 8PCS 12.12.25 DR#80064 SPC ROBIN
7-13-25
4 PCS 48598 ALY
1 PC OUT 3-6-25 JO43770 JARVIS
OUT 1PCS 2.20.25 DR#77120 SPC ALWIN
OUT 4PCS 2.5.25 DR#76961 BIÑAN
2PC OUT 1/8/25 JO41532 ALY
11/23/24
39988 2PCS SALES MARLO
OUT 4PCS 11/07/24 DR#75464 LIPA A
10/16/24
38506 5PCS SALES DAHLIA
09/30/24
38084 4PCS SALES BEL
07/20/24
36107 4PCS SALES BEL
</t>
        </r>
      </text>
    </comment>
    <comment ref="G344" authorId="0" shapeId="0" xr:uid="{486BCE77-B3D6-2C46-92D1-523FF892B52A}">
      <text>
        <r>
          <rPr>
            <sz val="10"/>
            <rFont val="SimSun"/>
            <charset val="134"/>
          </rPr>
          <t>IN 2PCS 03.03.26 DR80785 SPC HACKET
IN 2PCS 02.11.26 DR80739-40 SPC HACKKET
IN 8PCS 11.21.25 DR#147973 DRAKESTER (25)
IN 1PC 10.11.25 DR#79658 SPC RONNIE
IN 4PCS 10.9.25 DR#79653 SPC BRY
IN 4PCS 5.3.25 DR#107748 DRAKESTER
IN 4PCS 5.01.25 DR#77695 SPC RONNIE
IN 1PC 4.21.25 DR#77547 LIPA A
IN 2PCS 3.29.25 DR#77381 SPC MIKE
IN 1PCS 3.15.25 DR#98959 DRAKESTER
IN 3PCS 2.25.25 DR#77033 SPC HACKET
IN 2PCS 2.6.25 DR#77012 SPC KUYA MIKE
IN 1-30-25 2PCS  DR#77009 SPC HACKET
IN 2PCS 1-6-25 DR#76873 SPC
IN 2PCS 01-03-25 DR#76161 LIPA A
---------------------------------------------
IN 3PCS 12/11/24 DR#75747 SPC 
IN 1PC 12-5-24 DR#76140 LIPA A
IN 4PCS 06/04/24 DR#75176 SPC KUYA HACKET
3pcs 2-29-24 dr#74847 spc
IN 4PCS SALES 2/29/24 DR#74842 SPC
4PCS 1-4-24 DR#73323  LIPA A
4PCS 12-8-23 DR#34222 DRAKESTER</t>
        </r>
      </text>
    </comment>
    <comment ref="H344" authorId="0" shapeId="0" xr:uid="{5FE525BC-CCDC-F74B-80A2-705FFCF79C9E}">
      <text>
        <r>
          <rPr>
            <sz val="10"/>
            <rFont val="SimSun"/>
            <charset val="134"/>
          </rPr>
          <t>02.10.26
54988 4PCS BEL
1-6-26
4PCS OUT 53856 ALY
12.7.25
53016 4PCS JARVIS
10-10-25
1 PC 51315 ALY
OUT 1PC 9.20.25 DR#79270 SPC LALAMOVE
OUT 2PCS 7.10.25 DR#78358 STC
OUT 1PC 6.27.25 DR#78338 BINAN SERVICE
OUT 4PCS 5.6.25 DR#77640 SPC ALWIN
4-21-25
5 PC JO45486 MARLO
3-29-25
2 PCS OUT JO44691 ALY
4PC OUT 2/6/25 JO42644 MARIBEL
OUT 2PCS 1-15-25 DR#76914 LIPA A
2PC OUT 1/3/25 JO41345 MARLO
----------------------------------------------
12-12-24
40590 4PCS SALES ALY
out 4pcs 12/5/24 jo40169 MJEN
OUT 4PCS 05/20/24 DR#75074 SPC KUYA BOYONG
4PCS 1-4-24 JO#30750 JOHNLY
4PCS 1-4-24 DR#73354 SPC</t>
        </r>
      </text>
    </comment>
    <comment ref="G345" authorId="0" shapeId="0" xr:uid="{F4DD9BC8-F7E1-1843-8BD5-933A46141361}">
      <text>
        <r>
          <rPr>
            <sz val="10"/>
            <rFont val="SimSun"/>
            <charset val="134"/>
          </rPr>
          <t>IN 12PCS 11.29.25 DR#149807 DRAKESTER
IN 2PCS 10.3.25 DR#79638 SPC SERVICE
IN 4PCS 10.1.25 DR#78713 LIPA A HACKET
IN 4PCS 9.24.25 DR#79611 SPC HACKET
IN 2PCS 9.16.25 DR#78644 LIPA A
IN 4PCS 5.01.25 DR#77695 SPC RONNIE
IN 2PCS 1-22-25 DR#76898 SPC KUYA EMMAN
IN 2PCS 1-22-25 DR#76899 SPC KUYA EMMAN
IN 4PCS 01-02-25 DR#19674 SPC KUYA ALWIN
----------------------------------------------
IN 4PCS 12-10-24 DR#83873 DRAKESTER
IN 2PCS 11/07/24 DR#76591 SPC
IN 6PCS 10/03/24 DR#76630 SPC KUYA HACKET
IN 4PCS 07/06/24 DR#75226 SPC MASTER
4PCS 12-8-23 DR#34222 DRAKESTER</t>
        </r>
      </text>
    </comment>
    <comment ref="H345" authorId="0" shapeId="0" xr:uid="{F6415E70-7DCD-934C-865C-8686E932355E}">
      <text>
        <r>
          <rPr>
            <sz val="10"/>
            <rFont val="SimSun"/>
            <charset val="134"/>
          </rPr>
          <t>01.05.25
53894 1pc marlo
OUT 8PCS 12.3.25 DR#80047 SPC HACKET
10-2-25
2 PCS 51061 ALY
9-30-25
4 PCS 50960 ALY
9-16-25
4 PCS 50631 MARIBEL
8-18-25
2 PCS 49745 JARVIS
5-23-25
2 PCS 46768 JARVIS
OUT 2PCS 2.5.25 DR#76968 SPC 
4PC OUT 1/21/25 JO41994 JARVIS
12-31-24
41227 4pcs sales aly
4pcs 12/20/24 jo40848 dalia
11-03-2024
39129 2pcs sales maribel
10/05/24
38243 4PCS SALES JARVIS
09/28/24
38019 2PCS SALES MARLO
3PCS 2-19-24 DR# LIPA A
OUT 2-3-24 DR#74658-59 1PC SPC</t>
        </r>
      </text>
    </comment>
    <comment ref="G346" authorId="0" shapeId="0" xr:uid="{D30B86D7-CB05-2F49-AD47-84A9CC0B98D7}">
      <text>
        <r>
          <rPr>
            <sz val="10"/>
            <rFont val="SimSun"/>
            <charset val="134"/>
          </rPr>
          <t>IN 2PCS 02.11.26 DR80739-40 SPC HACKKET
IN 4PCS 10.22.25 DR#79682 SPC ROBIN
IN 2PCS 01-02-24 DR#76160 LIPA A
4PCS 12-19-24 DR085384 DRAKESTER
IN 2PCS 08/28/24 DR#68708 DRAKESTER
IN 2PCS 06/06/24 DR#75177 SPC KUYA HACKET
IN 4PCS 06/04/24 DR#75176 SPC KUYA HACKET
2pcs 1-16-24 dr#74515 spc
4PCS 12-26-23 DR#74539 SPC
4pcs 4-25-23 STF#8036 SPC</t>
        </r>
      </text>
    </comment>
    <comment ref="H346" authorId="0" shapeId="0" xr:uid="{E9380E86-E81C-F341-B27D-A5F275DB6778}">
      <text>
        <r>
          <rPr>
            <sz val="10"/>
            <rFont val="SimSun"/>
            <charset val="134"/>
          </rPr>
          <t>1-13-26
2PCS OUT 54173 MARIBEL
OUT 2PCS 10.10.25 DR#79752 SPC
OUT 4PCS 2.6.25 DR#76972 BIÑAN
2PC OUT 1/2/25 JO41246
DALIA
08/03/24
36514 2pcs sales jarvis
OUT 06/05/24 34834 2PCS SALES MARLO 
OUT 04/17/24 33535 4PCS SALES JHONLY
2pcs 1-7-24 DR#73366 SPC OLD DOT
2PCS 6-21-23 JO#26211 JARVIS</t>
        </r>
      </text>
    </comment>
    <comment ref="G347" authorId="0" shapeId="0" xr:uid="{5178CEA4-8646-4743-A2B4-8ED05773C92D}">
      <text>
        <r>
          <rPr>
            <sz val="10"/>
            <rFont val="SimSun"/>
            <charset val="134"/>
          </rPr>
          <t>IN 8PCS 02.28.26 DR168721 DRAKESTER (3,390)
IN 1PC 02.19.26 DR80764  SPC LALAMOVE
IN 4PCS 02.18.26 DR80252 LIPA A
IN 4PCS 06.02.26 DR80726-27 SPC HACKET
IN 1PCS 01.30.26 DR80716 SPC HACKET
IN 30PCS 11.29.25 DR#149806 DRAKESTER (3,990)
IN 4PCS 11.28.25 DR#77846 BINAN
IN 4PCS 10.22.25 DR#79682 SPC ROBIN
IN 4PCS 9.22.25 DR#135389 DRAKESTER (TACTICAL 3,990)
IN 2PCS 8.18.25 DR#79027 SPC LALAMOVE
IN 4PCS 8.6.25 DR#126084 DRAKESTER
IN 2PCS 8.5.25 DR#78832 SPC SERVICE
IN 2PCS 8.4.25 DR#78591 LIPA A
IN 2PCS 7.20.25 DR#78565 LIPA A
IN 2PCS 3.6.25 DR#78769 SPC EMMAN
IN 2PCS 5.16.25 DR#77734 SPC ROI
IN 1PC 5.9.25 DR#77717 SPC ROI
IN 5PCS 5-2-25 DR#77702 SPC HACKET
IN 2PCS 4.8.25 DR#77398 HACKET
IN 4PCS 3.22.25 DR#77442 SPC MIKE
in 2pcs 3.7.25 dr# spc meet up
IN 4PCS 2.8.25 DR# SPC MEET UP
IN 4PCS 1-16-25 DR#76888 SPC KUYA MIKE
IN 2PCS 1-14-25 DR#76885 SPC KUYA MIKE
IN 4PCS 1-13-25 DR#76884 SPC KUYA MIKE
IN 1PC 1-11-25 DR#76168 LIPA A
----------------------------------------------
IN 4PCS 12-28/24 DR#76860 SPC KUYA HACKET
IN 2PCS 12-27-24 DR#76858 SPC KUYA HACKET
IN 6PCS 12-10-24 DR#83873 DRAKESTER
IN 2PCS 12-03-24 DR#75734 SPC KUYA ALWIN
IN 4PCS 10/03/24 DR#76630 SPC KUYA HACKET
IN 8PCS 08/28/24 DR#68708 DRAKESTER
IN 4PCS 08/19/24 DR#76074 LIPA A
IN 4PCS 06/26/24 DR# SPC MASTER
IN 2PCS 06/25/24 DR#75195 SPC KUYA BOYONG
IN 2PCS 05/15/24 DR#75038 SPC KUYA PING
IN  4PCS 04/10/24 DR#74900 SPC</t>
        </r>
      </text>
    </comment>
    <comment ref="H347" authorId="0" shapeId="0" xr:uid="{96F17666-8AA1-AA43-9849-2980F6390424}">
      <text>
        <r>
          <rPr>
            <sz val="10"/>
            <rFont val="SimSun"/>
            <charset val="134"/>
          </rPr>
          <t>03.02.26
55638 2PCS MARLO
02.19.26
55294 2PCS JARVIS
02.18.26
55199 4PCS ALY
02.17.26
551952 4PCS ALY
OUT 1PCS 02.16.26 DR80860 SPC
ALWIN
01.28.26
54627 3PCS ALY
1-21-26
2 PCS 54413 MARIBEL
01.15.26
54234 2PCS JARVIS
12-6-25
4 PCS 52977 JARVIS
OUT 13PCS 12.3.25 DR#80047 SPC HACKET
OUT 4PCS 12.2.25 DR#80045 LIPA A ROI
OUT 12.2.25 DR80044 4PCS SPC ROBIN
12.01.25
52844 1PC BEL
OUT 2PCS 11.25.25 DR#80031 SPC
11-22-25
2 PCS 52583 JARVIS
11-19-25
4 PCS 52471 MARIBEL
8-18-25
2 PCS 49748 JARVIS
8-18-25
4 PCS 49744 JARVIS 
OUT 4PCS 8.12.25 DR#78403 SPC SERVICE
7-20-25
4 PCS 48875 ALY
7-4-25
2 PCS 48344 ALY
5.29.25
46936 2PCS MARLO
5-10-25
2 PCS 46150 ALY
5.6.25
46124 2PCS JARVIS
4-10-25
2 PCS OUT JO45157 ROSE
4 PCS OUT 3-26-25 JO44634 JARVIS
2 PCS OUT 3-7-25 JO43779  MARIBEL
4 PCS OUT 2-26-25 JO43399 JARVIS
1 PC OUT 2-25-25 JO43358 DALIA
2.24.25
43289 2PCS BEL
02-08-2025 OUT
4PCS JO42717 JARVIS
2PC OUT 2/6/25 JO42636 ALY
4PC OUT 1/13/25 JO41744 JARVIS
1PC OUT 1/10/25 JO41556 DALIA
4PC OUT 1/9/25 JO41538 ALY
4PC OUT 1/4/25 JO41376 JARVIS
4PC OUT 12/19/24  JO40858 ALY 
2PC 12/17/24 JO40791 JARVIS
4PCS OUT 12/7/24 JO39943 HANNA
12-04-24
40336 2PCS SALES JARVIS
OUT 2PCS 11/20/24 JO39782 JARVIS
09/11/24
37542 4PCS SALES BEL
08/19/24
36881 2PCS SALES BEL
36886 2PCS SALES BEL
OUT 2PCS 08/17/24 DR#75373 SPC (OLD DOT)
07/26/24
36324 2pcs sales jarvis
07/24/24
36232 2PCS SALES JARVIS
07/13/24
35955 2PCS SALES JARVIS
OUT 2PCS 06/24/24 35387 2PCS SALES BEL
OUT 05/11/24 34149 2PCS SALES MARLO</t>
        </r>
      </text>
    </comment>
    <comment ref="G348" authorId="0" shapeId="0" xr:uid="{1493D1DD-630A-3B4C-9EBF-E3D9576CAA40}">
      <text>
        <r>
          <rPr>
            <sz val="10"/>
            <rFont val="SimSun"/>
            <charset val="134"/>
          </rPr>
          <t>IN 2PCS 7.27.25 DR#78899 SPC RONNIE
IN 4PCS 4.25.25 DR#78008 LIPA A BRIAN
IN 2PCS 3.22.25 DR#77443 SPC BRY
IN 2PCS 1-13-25 DR#76884 SPC KUYA MIKE
IN 2PCS 01-02-25 DR#19674 SPC KUYA ALWIN
IN 4PCS 11/06/24 DR#76589 SPC MASTER
4PCS 7-11-23 DR#73241 SPC
2PCS 4-18-23 STF#8008 SPC
4PCS 4-18-23 STF#7984  SPC
1PC 4-12-23 STF#7984 SPC</t>
        </r>
      </text>
    </comment>
    <comment ref="H348" authorId="0" shapeId="0" xr:uid="{AEB92851-E29B-DA48-B45D-7BD80C17CAE1}">
      <text>
        <r>
          <rPr>
            <sz val="10"/>
            <rFont val="SimSun"/>
            <charset val="134"/>
          </rPr>
          <t>11-15-25
2 PCS 52305 MARLO
6.19.25
47801 2PCS ALY
OUT 4PCS 5.6.25 DR#77640 SPC ALWIN
2 PCS OUT 3-8-25 JO43809 ALY
2pc out 1/6/25 jo41394 rose
2pc 12/30/24 jo41237 maribel 
4PCS 7-27-23 JO#27005 MARLO
4PCS 4-19-23 JO#24721 ROSE
2pcs 4-17-23 STF#2403 SPC</t>
        </r>
      </text>
    </comment>
    <comment ref="G349" authorId="0" shapeId="0" xr:uid="{B626A3A9-F45E-814D-BFED-75C35DD0DB40}">
      <text>
        <r>
          <rPr>
            <sz val="10"/>
            <rFont val="SimSun"/>
            <charset val="134"/>
          </rPr>
          <t xml:space="preserve">IN 1PCS 10.30.25 DR#79698 SPC BRY
IN 4PCS 10.9.25 DR#79653 SPC BRY
IN 4PCS 5.21.25 DR#77742 SPC HACKET
</t>
        </r>
      </text>
    </comment>
    <comment ref="H349" authorId="0" shapeId="0" xr:uid="{66E5A401-BA24-3149-831C-5A625B4EF02A}">
      <text>
        <r>
          <rPr>
            <sz val="10"/>
            <rFont val="SimSun"/>
            <charset val="134"/>
          </rPr>
          <t xml:space="preserve">7-21-25
4 PCS 48936 MARIBEL
</t>
        </r>
      </text>
    </comment>
    <comment ref="H351" authorId="0" shapeId="0" xr:uid="{54FFDE54-D357-634B-B6E9-35EE3A837197}">
      <text>
        <r>
          <rPr>
            <sz val="10"/>
            <rFont val="SimSun"/>
            <charset val="134"/>
          </rPr>
          <t>4PCS - 10/20/2021 JO11328 ELRICK</t>
        </r>
      </text>
    </comment>
    <comment ref="G353" authorId="0" shapeId="0" xr:uid="{A16D4ABB-A94B-5248-B029-9A9D60B7D05E}">
      <text>
        <r>
          <rPr>
            <sz val="10"/>
            <rFont val="SimSun"/>
            <charset val="134"/>
          </rPr>
          <t>IN 3PCS 11-18-24 DR#75710 SPC KUYA EMMAN
IN 4PCS 04/22/24 DR#SP0050 SPC</t>
        </r>
      </text>
    </comment>
    <comment ref="H353" authorId="0" shapeId="0" xr:uid="{B5D96242-B338-B045-A0C7-CC015745D7B5}">
      <text>
        <r>
          <rPr>
            <sz val="10"/>
            <rFont val="SimSun"/>
            <charset val="134"/>
          </rPr>
          <t>OUT 4PCS 03.03.26 DR80885 SPC HACKET
OUT 4PCS 5.9.25 DR#77641 SPC ROI
OUT 3PCS 2.16.25 DR#77103 SPC</t>
        </r>
      </text>
    </comment>
    <comment ref="G354" authorId="0" shapeId="0" xr:uid="{7AEC5620-548F-2C4E-96DF-E979529A3D4C}">
      <text>
        <r>
          <rPr>
            <sz val="10"/>
            <rFont val="SimSun"/>
            <charset val="134"/>
          </rPr>
          <t xml:space="preserve">IN 2PCS 06.02.26 DR80726-27 SPC HACKET
IN 2PCS 11.11.25 DR#79873 SPC HACKET
IN 4PCS 8.28.25 DR#79053 SPC HACKET
IN 1PC 8.2.25 DR#78586 LIPA A
IN 1PCS 7.28.25 DR#78802 SPC BRY
IN 4PCS 4.3.25 DR#77387 SPC HACKET
IN 3PCS 3.29.25 DR#77381 SPC MIKE
IN 4PCS 3.11.25 DR#77410 SPC
4PCS 12-19-24 DR085384 DRAKESTER
IN 3PCS 10/30/24 DR#76691 SPC BRIAN
IN 1PC 09/30/24 DR#76098 LIPA A
IN 3PCS 07/06/24 DR#75226 SPC MASTER
IN 4PCS 04/05/24 DR#74897  SPC
</t>
        </r>
      </text>
    </comment>
    <comment ref="H354" authorId="0" shapeId="0" xr:uid="{990363C0-A26A-A249-9497-5E49C0926514}">
      <text>
        <r>
          <rPr>
            <sz val="10"/>
            <rFont val="SimSun"/>
            <charset val="134"/>
          </rPr>
          <t>OUT 2PCS 03.03.26 DR80885 SPC HACKET
11-3-25
4 PCS 51967 JARVIS
8.2.25
49331 4PCS JARVIS
7-19-25
4 PCS 48891 MARIBEL 
OUT 1PCS 6.11.25 DR#78317 SPC BRY
OUT 3PCS 4.16.25 DR#77601 SPC HACKET
4 PCS OUT 3-11-25 JO43934 JARVIS
2 PCS OUT 3-10-25 JO43816 MAM JEN 
OUT 4PCS 3.10.25 DR#77146 LIPA A
3.3.25
DR#77135 1PC LIPA A 
09/30/24
38092 4PCS SALES DAHLIA
OUT 05/28/24 34672 3PCS SALES MARLO</t>
        </r>
      </text>
    </comment>
    <comment ref="G355" authorId="0" shapeId="0" xr:uid="{5595B1D4-74F0-194E-95CD-778416641290}">
      <text>
        <r>
          <rPr>
            <sz val="10"/>
            <rFont val="SimSun"/>
            <charset val="134"/>
          </rPr>
          <t>IN 4PCS 02.16.26 DR80753 SPC ALWIN
IN 2PCS 02.06.26 DR80726-27 SPC HACKET
IN 4PCS 12.19.25 DR#78695 LIPA A
IN 2PCS 10.28.25 DR#79695 SPC BRY
IN 4PCS 10.9.25 DR#79653 SPC BRY
IN 2PCS 10.7.25 DR#78719 A
IN 1PC 7.2.25 DR#78094 LIPA A
IN 3PCS 7.2.25 DR#77758 SPC BRY
IN 4PCS 6.26.25 DR#77775-76 SPC EMMAN
IN 2PCS 5.9.25 DR#78032 LIPA A
IN 4PCS 4.3.25 DR#77387 SPC HACKET
IN 4PCS 2.11.25 DR#77015 SPC
IN 4PCS 11/06/24 DR#76589 SPC MASTER</t>
        </r>
      </text>
    </comment>
    <comment ref="H355" authorId="0" shapeId="0" xr:uid="{136043C7-3C77-2749-8A10-EBC2923512A2}">
      <text>
        <r>
          <rPr>
            <sz val="10"/>
            <rFont val="SimSun"/>
            <charset val="134"/>
          </rPr>
          <t xml:space="preserve">OUT 4PCS 02.14.26 DR80855 LIPA A
01.18.26
54335 2PCS JARVIS
12.14.25
53247 4PCS ALY
10-25-25
2 PCS 51730 JARVIS
10-7-25
2 PCS 51187 ALY
7-2-25
4 PCS 48290 MARIBEL
6-28-25
4 PCS 8067 JARVIS
5-9-25
4 PCS 46168 JARVIS
4-15-25
2 PCS OUT JO45341 ALY
OUT 4PCS 3.20.25 DR#77174 SPC RONNIE
4PC OUT 1/2/25 JO41287 JARVIS
</t>
        </r>
      </text>
    </comment>
    <comment ref="G356" authorId="0" shapeId="0" xr:uid="{D295F01B-22C0-4D49-B7F3-FF6A6CF410EA}">
      <text>
        <r>
          <rPr>
            <sz val="10"/>
            <rFont val="SimSun"/>
            <charset val="134"/>
          </rPr>
          <t>IN 4PCS 01.08.26 DR79950 SPC SERVICE
IN 2PCS 01.07.26 DR80161 LIPA A
IN 10PCS 11.21.25 DR#147973 DRAKESTER (25)
IN 4PCS 10.28.25 DR#79695 SPC BRY
IN 4PCS 10.18.25 DR#79675 SPC BRY
IN 4PCS 9.24.25 DR#79611 SPC HACKET
IN 4PCS 7.11.25 DR#78558 SPC EMMAN
6-24-25
4 PCS 47946 JARVIS
IN 4PCS 6.18.25 DR#78800 SPC HACKET
IN 4PCS 4.3.25 DR#77518 LIPA A
IN 4PCS 3.15.25 DR#98959 DRAKESTER
IN 1PC 1-22-25 DR#76180 LIPA A
IN 1PCS 1-6-25 DR#76873 SPC
7PCS 12-19-24 DR085384 DRAKESTER
IN 4PCS 10/03/24 DR#76630 SPC KUYA HACKET
IN 4PCS 08/27/24 DR#76555 SPC KUYA HACKET</t>
        </r>
      </text>
    </comment>
    <comment ref="H356" authorId="0" shapeId="0" xr:uid="{697B97AC-23F6-EC45-95CE-1ECAD164E7F1}">
      <text>
        <r>
          <rPr>
            <sz val="10"/>
            <rFont val="SimSun"/>
            <charset val="134"/>
          </rPr>
          <t xml:space="preserve">01.07.26
53954 4PCS ALY
1-6-26
4 PCS OUT 53888 MARIBEL
12-29-25
2 PCS 53722 MARIBEL
12-5-25
4 PCS 52954 MARIBEL
10.31.25
51911 2PCS BEL
OUT 4PCS 10.25.25 DR#79781 LIPA A
10-7-25
4 PCS 51251 JARVIS
9-4-25
4 PCS 50233 JARVIS
6-24-25
4 PCS 47946 JARVIS
OUT 1PCS  6.7.25 DR#78315 LIPA A ROI
OUT 4PCS 6.4.25 DR#78305 STC LALAMOVE
4-11-25
4 PCS OUT JO45135 DALIA
4-3-25
2 PCS OUT JO44820  JARVIS
1PCS 3.16.24 DR#77159 SPC
1PC OUT 1/22/25 JO42023 MARLO 
4PC OUT 1/9/25 JO41582 MARIBEL
1PC OUT 1/4/25 JO41402 MARLO 
4PC OUT 1/3/25 JO41372 JARVIS
12-12-24
40621 3PCS SALES BEL 
09/24/24
37945 4PCS SALES DAHLIA
</t>
        </r>
      </text>
    </comment>
    <comment ref="G357" authorId="0" shapeId="0" xr:uid="{FF16538B-BD5B-9E46-88FF-37336FE2DE0F}">
      <text>
        <r>
          <rPr>
            <sz val="10"/>
            <rFont val="SimSun"/>
            <charset val="134"/>
          </rPr>
          <t>IN 8PCS 11.4.25 DR#144211 DRAKESTER
IN 4PCS 10.20.25 DR#141306 DRAKESTER</t>
        </r>
      </text>
    </comment>
    <comment ref="H357" authorId="0" shapeId="0" xr:uid="{A1BDA36A-39F5-2045-8F11-603285D851F1}">
      <text>
        <r>
          <rPr>
            <sz val="10"/>
            <rFont val="SimSun"/>
            <charset val="134"/>
          </rPr>
          <t>OUT 4PCS 02.05.26 DR80237 LIPA A
OUT 4PCS 12.18.25 DR#80068 SPC HACKET
OUT 4PCS 10.29.25 DR#79788 LIPA A</t>
        </r>
      </text>
    </comment>
    <comment ref="G358" authorId="0" shapeId="0" xr:uid="{F45CDCAC-B52F-DB4B-82C6-C213179E60E8}">
      <text>
        <r>
          <rPr>
            <sz val="10"/>
            <rFont val="SimSun"/>
            <charset val="134"/>
          </rPr>
          <t>IN 3PCS 03.03.26 DR80785 SPC HACKET
IN 1PC 02.20.26 DR80256 LIPA A
IN 2PCS 02.10.26 DR80737 SPC ALWIN
IN 3PCS 01.22.26 DR79992 SPC RONNIE
IN 4PCS 01.16.26 DR#80169 LIPA A ROI
IN 4PCS 01.12.26 DR79961 SPC HACKET
IN 2PCS 01.09.26 DR80162 LIPA A
IN 1PCS 12.26.25 DR79915-17 SPC HACKET
IN 1PCS 11.14.25 DR#79878 SPC HACKET
IN 4PCS 10.9.25 DR#79653 SPC BRY
IN 2PCS 7.20.25 DR#77235 BINAN HACKET
IN 4PCS 5.01.25 DR#77695 SPC RONNIE
IN 3PCS 3.22.25 DR#77442 SPC MIKE
IN 1PCS 3.5.25 DR#77045 SPC MIKE
4PCS 12-19-24 DR085384 DRAKESTER
IN 4PCS 09/25/24 DR#76005 SPC KUYA HACKET</t>
        </r>
      </text>
    </comment>
    <comment ref="H358" authorId="0" shapeId="0" xr:uid="{8087D395-AB14-0F48-8AAC-491AD32085B6}">
      <text>
        <r>
          <rPr>
            <sz val="10"/>
            <rFont val="SimSun"/>
            <charset val="134"/>
          </rPr>
          <t xml:space="preserve">02.20.26
55342 4PCS JARVIS
02.07.26
54958 2PCS JARVIS
01.17.26
54290 4PCS JARVIS
01.16.26
54239 4PCS JARVIS
1-9-26
4PCS 54042 MARLO
11-12-25
1 PC 52225 MARIBEL
10.31.25
51889 2PCS BEL
10-6-25
2 PCS 51169 JARVIS
5-8-25
2 PCS 46166 JARVIS
5-2-25
45996 1PC JARVIS
3-29-25
4 PCS OUT JO44680 ALY
4 PCS OUT 2-11-25 JO42777 ALY
2.4.25
42468 4pcs sales jarvis
</t>
        </r>
      </text>
    </comment>
    <comment ref="G359" authorId="0" shapeId="0" xr:uid="{715C5929-76EF-DB44-A5B0-C09DAE9F42D7}">
      <text>
        <r>
          <rPr>
            <sz val="10"/>
            <rFont val="SimSun"/>
            <charset val="134"/>
          </rPr>
          <t>IN 1PCS 02.18.26 DR80762 SPC HACKET
IN 4PCS 01.30.26 DR80716 SPC HACKET
IN 4PCS 12.26.25 DR79915-17 SPC HACKET
IN 1PC 6.24.25 DR#77765 SPC HACKET
IN 4PCS 4.5.25 ST002508 BIÑAN HACKET
IN 4PCS 3.14.25 DR#77154 STC
IN 1PCS 3.11.25 DR#77408 SPC KUYA MIKE
IN 1PCS 3.5.25 DR#77045 SPC MIKE
6PCS 12-19-24 DR085384 DRAKESTER
IN 4PCS 11/02/24 DR#76697 SPC KUYA HACKET</t>
        </r>
      </text>
    </comment>
    <comment ref="H359" authorId="0" shapeId="0" xr:uid="{3D5E25C2-5F0E-D747-8385-76B7F8C4C4C4}">
      <text>
        <r>
          <rPr>
            <sz val="10"/>
            <rFont val="SimSun"/>
            <charset val="134"/>
          </rPr>
          <t xml:space="preserve">02.12.26
55030 2PCS ALY
01.29.26
54661 4PCS JARVIS
OUT 4PCS 12.10.25 DR#77899 SPC
6-23-25
2 PCS 47922 JARVIS
4-28-25
4 pcs 45842 MARIBEL
 2PCS OUT 3-10-25 JO43819 MAM JEN 
2-28-25
4PCS OUT JO43476 MARIBEL
OUT 2PCS 2.16.25 DR#77103 SPC
12-12-24
40611 2PCS SALES ALY
</t>
        </r>
      </text>
    </comment>
    <comment ref="G360" authorId="0" shapeId="0" xr:uid="{A0AAAEC7-B163-EC4D-8C52-015DA2AA11B3}">
      <text>
        <r>
          <rPr>
            <sz val="10"/>
            <rFont val="SimSun"/>
            <charset val="134"/>
          </rPr>
          <t>IN 4PCS 12.26.25 DR79915-17 SPC HACKET
IN 4PCS 11.11.25 DR#79873 SPC HACKET
IN 4PCS 9.24.25 DR#79611 SPC HACKET
IN 4PCS 8.13.25 DR#78602 LIPA A
IN 1PCS 6.18.25 DR#78800 SPC HACKET
4PCS 12-19-24 DR085384 DRAKESTER
IN 4PCS 11-18-24 DR#75710 SPC KUYA EMMAN
IN 4PCS 09/25/24 DR#76005 SPC KUYA HACKET</t>
        </r>
      </text>
    </comment>
    <comment ref="H360" authorId="0" shapeId="0" xr:uid="{EB096AC6-F97F-4548-9C9E-FD28058E2660}">
      <text>
        <r>
          <rPr>
            <sz val="10"/>
            <rFont val="SimSun"/>
            <charset val="134"/>
          </rPr>
          <t>11-25-25
4 PCS 52618 JARVIS
10-15-25
4 PCS 51442 JARVIS
8-25-25
4 PCS 49979 MARIBEL
8-13-25
4 PCS  49641 JARVIS
OUT 1PC 6.5.25 DR#78308 LIPA A
2 PCS OUT 2-10-25 JO42803 MARIBEL 
01/07/25
41506 4PCS SALES JARVIS
11/16/2024	39886 4PCS SA;ES</t>
        </r>
      </text>
    </comment>
    <comment ref="G361" authorId="0" shapeId="0" xr:uid="{075BEBCC-7315-2145-A6A5-C42EE4371BC3}">
      <text>
        <r>
          <rPr>
            <sz val="10"/>
            <rFont val="SimSun"/>
            <charset val="134"/>
          </rPr>
          <t>IN 4PCS 01.20.26 DR79983 SPC RONNIE
IN 6PCS 11.29.25 DR#149806 DRAKESTER (7,250)
IN 4PCS 5.29.25 DR#78761 SPC HACKET
2PCS 5-13-25 DR78036 LIPA A
IN 2PCS 5.7.25 DR#78030 LIPA A
IN 2PCS 4.3.25 DR#77387 SPC HACKET
IN 4PC 3-27-25 DR#77508 LIPA A
IN 2PCS 2.11.25 DR#77352 SPC KUYA EMMAN
IN 4PCS 1-16-25 DR#76890 SPC KUYA EMMAN
------------------------------------------------
IN 8PCS 11/06/24 DR#76589 SPC MASTER</t>
        </r>
      </text>
    </comment>
    <comment ref="H361" authorId="0" shapeId="0" xr:uid="{01AAEB85-2F2C-2B4E-8DFE-EF9935FF5D10}">
      <text>
        <r>
          <rPr>
            <sz val="10"/>
            <rFont val="SimSun"/>
            <charset val="134"/>
          </rPr>
          <t>01.15.26
54224 2PCS ALY
OUT 6PCS 12.3.25 DR#80047 SPC HACKET
5.13.25
46247 2PCS ALY
4.17.25
45414 2PCS BEL
3.31.25
44743 2PCS ALY
3.30.25 
44735 4PCS SALES JARVIS
4 PCS OUT 2-10-25 JO42710 MARIBEL 
12-28-2024 SALES
41180 4PCS MARIBEL</t>
        </r>
      </text>
    </comment>
    <comment ref="E362" authorId="0" shapeId="0" xr:uid="{301F53C9-6121-A74A-8360-99252F2ADFAD}">
      <text>
        <r>
          <rPr>
            <sz val="10"/>
            <rFont val="SimSun"/>
            <charset val="134"/>
          </rPr>
          <t>THAI 10PR WHITE SIDE WALL</t>
        </r>
      </text>
    </comment>
    <comment ref="G362" authorId="0" shapeId="0" xr:uid="{3C42006D-1373-DE4B-8391-19E42A7EEFCE}">
      <text>
        <r>
          <rPr>
            <sz val="10"/>
            <rFont val="SimSun"/>
            <charset val="134"/>
          </rPr>
          <t>IN 4PCS 1-11-25 DR#76171 LIPA A
IN 4PCS 06/12/24 DR# SPC KUYA HACKET
IN 4PCS 06/04/24 DR#75176 SPC KUYA HACKET
4PCS 12-8-23 DR#34222 DRAKESTER
4PCS 2-21-23 STF#7711 SPC</t>
        </r>
      </text>
    </comment>
    <comment ref="H362" authorId="0" shapeId="0" xr:uid="{120B6B53-C10D-A94F-9F2F-342EEBB11297}">
      <text>
        <r>
          <rPr>
            <sz val="10"/>
            <rFont val="SimSun"/>
            <charset val="134"/>
          </rPr>
          <t>5-7-25
2 PCS 46154 MARIBEL
4PC OUT  1/11/25 JO41560 DALIA
12-27-24
41133 4PCS SALES ALY
10/20/2024	38659 4PCS SALES
OUT 06/06/24 34885 4PCS SALES LEN
OUT 4PCS 04/23/24 DR#74788 SPC
4PCS 8-22-23 JO#27688 BEL</t>
        </r>
      </text>
    </comment>
    <comment ref="G363" authorId="0" shapeId="0" xr:uid="{FC32709F-5090-1544-B465-D3DC05D71154}">
      <text>
        <r>
          <rPr>
            <sz val="10"/>
            <rFont val="SimSun"/>
            <charset val="134"/>
          </rPr>
          <t>2PCS 12-19-22 STF#7403 SPC
4PCS 5-26-22 STF#6400 SPC
4PCS 4-2-22 STF#6149 SPC
2PC 03-09-2022 ST006036 SPC
1PC 03-07-2022 ST006022 SPC
8PCS 01-08-2022 ST005740 SPC
4PCS 01-05-2022 ST005730 SPC</t>
        </r>
      </text>
    </comment>
    <comment ref="H363" authorId="0" shapeId="0" xr:uid="{8C066186-5C1B-7047-955E-5BBD1BD373C3}">
      <text>
        <r>
          <rPr>
            <sz val="10"/>
            <rFont val="SimSun"/>
            <charset val="134"/>
          </rPr>
          <t xml:space="preserve">4pcs 1-7-24 DR#73365 SPC OLD DOT
2PC 12-10-22 JO20073 ALY
4PCS 9-30-22 STF#1997 SPC
2PCS 9-20-22 STF#1981 SPC
2PCS 8-15-22 STF#1922 SPC
4PC 04-09-2022 JO14640 SALES
4PC 03-19-2022 JO14205 SALES
2PC 02-17-2022 JO13603 SALES
</t>
        </r>
      </text>
    </comment>
    <comment ref="G364" authorId="0" shapeId="0" xr:uid="{39EA5939-8F48-4B42-B763-D540711C3BAB}">
      <text>
        <r>
          <rPr>
            <sz val="10"/>
            <rFont val="SimSun"/>
            <charset val="134"/>
          </rPr>
          <t>IN 8PCS 02.26.26 DR80774 SPC RONNIE (25DOT)
IN 4PCS 02.21.26 DR80771 SPC BOYONG
IN 4PCS 01.29.26 DR80710 SPC ROBIN
IN 4PCS 01.09.26 DR79951-53 SPC HACKET
IN 3PCS 12.27.25 DR79918 SPC
IN 12PCS 11.10.25 DR#79871 SPC HACKET
IN 4PCS 10.5.25 DR#79642 SPC RONNIE
IN 4PCS 9.15.25 DR#79097 SPC
IN 8PCS 5.22.25 DR#77747 SPC RONNIE
IN 4PCS 5.16.25 DR#77734 SPC ROI
IN 2PCS 5-2-25 DR#77699 SPC HACKET
IN 4PCS 2.11.25D DR#093418 DRAKESTER
IN 4PCS 12-30-24 DR#76862 SPC KUYA RONNIE</t>
        </r>
      </text>
    </comment>
    <comment ref="H364" authorId="0" shapeId="0" xr:uid="{DDCCED4D-A0FA-EF4C-A056-2E1E956AD0B2}">
      <text>
        <r>
          <rPr>
            <sz val="10"/>
            <rFont val="SimSun"/>
            <charset val="134"/>
          </rPr>
          <t>02.22.24
554114PCS JARVIS
02.19.26
55247 4PCS JARVIS
1-14-26
4PCS OUT 54167 ALY
12-27-25
4 PCS OUT 53618 JARVIS
11-18-25
4 PCS 52389 ALY
OUT 8PCS 10.29.25 DR#79789 SPC RONNIE
9.14.25
50571 4PCS JARVIS
8-26-25
4 PCS 49988 JARVIS
OUT 4PCS 5.14.25 DR#77650 STC LALAMOVE
OUT 2PCS 4.24.25 DR#77612 SPC MIKE
4PC OUT 1/10/25 JO41607 JARVIS</t>
        </r>
      </text>
    </comment>
    <comment ref="E365" authorId="0" shapeId="0" xr:uid="{5612AC51-B67B-2B4F-880B-9F48010C1C9A}">
      <text>
        <r>
          <rPr>
            <sz val="10"/>
            <rFont val="SimSun"/>
            <charset val="134"/>
          </rPr>
          <t>10PR WHITE SIDE WALL THAI</t>
        </r>
      </text>
    </comment>
    <comment ref="G365" authorId="0" shapeId="0" xr:uid="{276AEB4C-B690-EF4F-958C-308A26412DFE}">
      <text>
        <r>
          <rPr>
            <sz val="10"/>
            <rFont val="SimSun"/>
            <charset val="134"/>
          </rPr>
          <t>IN 3PCS 4.11.25 DR#77531 LIPA A
IN 4PCS 10/03/24 DR#76630 SPC KUYA HACKET
IN 4PCS 07/18/24 DR# SPC KUYA HACKET
IN 4PCS 05/25/24 DR#75162 SPC KUYA HACKET
4pcs 1-22-24 DR#74620 SPC
4PCS 12-8-23 DR#34222 DRAKESTER
2PCS 9-30-23 DR#73735 SPC
4PCS 8-14-23 DR#73276 LIPA A
4pcs 4-18-23 STF#8009 SPC
4PCS 2-18-23 STF#7701 SPC</t>
        </r>
      </text>
    </comment>
    <comment ref="H365" authorId="0" shapeId="0" xr:uid="{E9335D75-AD30-3043-9CDC-185EAA26F162}">
      <text>
        <r>
          <rPr>
            <sz val="10"/>
            <rFont val="SimSun"/>
            <charset val="134"/>
          </rPr>
          <t>4-4-25
4 PCS OUT JO44894 JARVIS
12-26-24
41087 4PCS SALES JARVIS
12-22-24
40940 1PC SALES DALIA
OUT 4PCS 07/14/24 REF#75648 STC
4PCS 2-23-24 JO#32058 BOSS SAM COMPANY VEHICLE
4PCS 01-03-24 JO#30738 JARVIS
4pcs 10-5-23 JO#28573 BEL
1PC  9-19-23 DR#72280 LIPA A
1pc 8-15-23 dr#72219 lipa a
4PCS 8-6-23 JO#27278 BEL
4PCS 3-30-23 JO#23753 BEL</t>
        </r>
      </text>
    </comment>
    <comment ref="G366" authorId="0" shapeId="0" xr:uid="{40712071-A409-1D4D-8040-2FB604FD92A2}">
      <text>
        <r>
          <rPr>
            <sz val="10"/>
            <rFont val="SimSun"/>
            <charset val="134"/>
          </rPr>
          <t>IN 4PCS 12.26.25 DR79915-17 SPC HACKET
IN 4PCS 12.16.25 DR#78691 LIPA A
IN 8PCS 5.16.25 DR#77734 SPC ROI
IN 4PCS 5-2-25 DR#77699 SPC HACKET
3.22.25 4PCS DR#77186 STC
IN 4PCS 11/06/24 DR#76589 SPC MASTER</t>
        </r>
      </text>
    </comment>
    <comment ref="H366" authorId="0" shapeId="0" xr:uid="{300EE278-3F3F-9B45-88EF-CB725A25E13F}">
      <text>
        <r>
          <rPr>
            <sz val="10"/>
            <rFont val="SimSun"/>
            <charset val="134"/>
          </rPr>
          <t>12-23-25
4 PCS 53529 MARIBEL
12.16.25
53333 4PCS JARVIS
6-7-25
47228 4PCS JARVIS
5-12-25
4 PCS 46291 JARVIS
3.22.25
44337 4PCS JARVIS
out 4pcs 3.18.25 dr#77162 stc hacket</t>
        </r>
      </text>
    </comment>
    <comment ref="G367" authorId="0" shapeId="0" xr:uid="{84BE67C8-5944-1E4A-A6F3-BC88E0660913}">
      <text>
        <r>
          <rPr>
            <sz val="10"/>
            <rFont val="SimSun"/>
            <charset val="134"/>
          </rPr>
          <t>IN 2PCS 4.26.25 DR#77683 SPC MIKE
IN 4PCS 4.12.25 DR#77534 LIPA A  HACKET
IN 4PCS 3.20.25 DR#77437 SPC EMMAN
IN 4PCS 06/26/24 DR# SPC MASTER
IN 4PCS 10/28/24 DR#76682 SPC BRIAN</t>
        </r>
      </text>
    </comment>
    <comment ref="H367" authorId="0" shapeId="0" xr:uid="{8BA8F7FB-0075-B44C-9925-E6782AAFA782}">
      <text>
        <r>
          <rPr>
            <sz val="10"/>
            <rFont val="SimSun"/>
            <charset val="134"/>
          </rPr>
          <t>OUT 2PC 5.27.25 DR#77985 SPC ROI
4.26.25
45766 4PCS JARVIS
4-6-25
4 PCS OUT JO44952 JARVIS
4 PCS OUT 3-18-25 JO44237 DALIA
4PCS 12/16/24 JO40695 BOSS JUN</t>
        </r>
      </text>
    </comment>
    <comment ref="G368" authorId="0" shapeId="0" xr:uid="{E6005030-F1A2-154C-B458-33C2E8A22907}">
      <text>
        <r>
          <rPr>
            <sz val="10"/>
            <rFont val="SimSun"/>
            <charset val="134"/>
          </rPr>
          <t>IN 4PCS 11.17.25 DR#78980 S.V
IN 1PC 11.15.25 DR#79883 SPC SERVICE
IN 3PCS 7.19.25 DR#78881 SPC EMMAN
IN 1PC 5.28.25 DR#78758 SPC HACKET
IN 1PCS 5.27.25 DR#78756 SPC ROI
IN 4PCS 5.22.25 DR#78052 LIPA A
IN 5PCS 1-16-25 DR#76890 SPC KUYA EMMAN
----------------------------------------------
IN 4PCS 10/28/24 DR#76682 SPC BRIAN
IN 4PCS 10-18-24 DR#76661 SPC KUYA HACKET
IN 4PCS 10/13/24 DR#76646-48 SPC KUYA HACKET
3PCS 1-3-23 DR#73323 LIPA A
1PC 12-29-23 DR#73321 LIPA A</t>
        </r>
      </text>
    </comment>
    <comment ref="H368" authorId="0" shapeId="0" xr:uid="{401DEC7D-6031-2040-B5D2-5FB395E70B1E}">
      <text>
        <r>
          <rPr>
            <sz val="10"/>
            <rFont val="SimSun"/>
            <charset val="134"/>
          </rPr>
          <t>12.18.25
53274 2pcs hannah
OUT 3PCS 11.25.25 DR#80029 BINAN MIKE
7-15-25
4 PCS 48764 MARIBEL
5-22-25
4 PCS 46761 JARVIS
OUT 8PCS 5.18.25 DR#77968 SPC RONNIE
4pcs 1-25-24 DR#73400 SPC</t>
        </r>
      </text>
    </comment>
    <comment ref="G369" authorId="0" shapeId="0" xr:uid="{98005105-DE6A-D844-8A43-D26B8F512D00}">
      <text>
        <r>
          <rPr>
            <sz val="10"/>
            <rFont val="SimSun"/>
            <charset val="134"/>
          </rPr>
          <t>IN 4PCS 5.28.25 DR#78758 SPC HACKET
1PC ACTUAL 5.18.25 DISPLAY SHOWROOM
IN 3PCS 5.16.25 DR#77734 SPC ROI
(1PC ACTUAL 5-16-25)
IN 4PCS 4.8.25 DR#77399 SPC EMMAN
IN 4PCS 3.11.25 DR#77408 SPC KUYA MIKE
IN 2PCS 3.7.25 DR#77084 LIPA A
IN 4PCS 10/28/24 DR#76682 SPC BRIAN
4pcs 12-20-23 DR#74596 SPC
2pcs 11-7-23 dr#74381 spc
2pcs 10-27-23 DR#74360 SPC
4PCS 9-7-23 DR#74188 SPC
4PS 8-15-23 DR# LIPA A
4PCS 7-7-23 SPC
4PCS 2-18-23 STF#7701 SPC</t>
        </r>
      </text>
    </comment>
    <comment ref="H369" authorId="0" shapeId="0" xr:uid="{877A8D52-458A-8F41-8927-C5BE1157DFF2}">
      <text>
        <r>
          <rPr>
            <sz val="10"/>
            <rFont val="SimSun"/>
            <charset val="134"/>
          </rPr>
          <t>7-25-25
4 PCS 48964 MARIBEL
OUT 1PCS 5.19.25 DR#77970 SPC
5-16-25
4 PCS 46422 JARVIS
OUT 4PCS 5.15.25 DR#77957 SPC HACKET
5-9-25
4 PCS 46217 JARVIS
4 PCS OUT 3-7-25 JO43801 ALY
3-2-25
2PCS OUT JO43530 ALY
2 PCS OUT 3-1-25 JO43518  ALY
4PCS 12-29-23 JO#30681 JEN
4pcs 11-18-23 DR#74275 SPC
2pcs 9-17-23 dr#72275 spc
2PCS 9-7-23 Jo#28015 BEL
4PCS 8-15-23 JO#27516 BEL
4PCS 8-14-23 JO#27475 BEL
4PCS 4-14-23 JO24299 JARVIS</t>
        </r>
      </text>
    </comment>
    <comment ref="G370" authorId="0" shapeId="0" xr:uid="{16C3B9AE-DCD0-764A-ADA9-5B553055513B}">
      <text>
        <r>
          <rPr>
            <sz val="10"/>
            <rFont val="SimSun"/>
            <charset val="134"/>
          </rPr>
          <t xml:space="preserve">
IN 4PCS 06/17/24 DR#75187 SPC MASTER
IN 3PCS 5-17-24 DR#75040 SPC
IN 2PCS 04/24/24 DR#73459 LIPA A
IN 4PCS 2/27/2024 DR#74840 SPC
4pcs 1-29-24 DR#74633 SPC</t>
        </r>
      </text>
    </comment>
    <comment ref="H370" authorId="0" shapeId="0" xr:uid="{634D2AC9-536F-9447-8242-3B2929E82B46}">
      <text>
        <r>
          <rPr>
            <sz val="10"/>
            <rFont val="SimSun"/>
            <charset val="134"/>
          </rPr>
          <t>10/16/24 
38574 4pcs sales rose
08/26/24
37123 4PCS SALES BEL
OUT 06/16/24 35171 4PCS SALES BEL
OUT 06/13/24 35080 4PCS SALES 
BEL
OUT 04/23/24 33704 1PC SALES MARLO
4PCS 2-12-24 31844 SALES</t>
        </r>
      </text>
    </comment>
    <comment ref="E371" authorId="0" shapeId="0" xr:uid="{5597B5D7-98D7-F444-8C37-671F85CACC75}">
      <text>
        <r>
          <rPr>
            <sz val="10"/>
            <rFont val="SimSun"/>
            <charset val="134"/>
          </rPr>
          <t>BLACK SIDE WALL THAILAND</t>
        </r>
      </text>
    </comment>
    <comment ref="G371" authorId="0" shapeId="0" xr:uid="{6C1CBB32-4E0E-4243-A4B2-42750D8FB55C}">
      <text>
        <r>
          <rPr>
            <sz val="10"/>
            <rFont val="SimSun"/>
            <charset val="134"/>
          </rPr>
          <t>IN 4PCS 09/19/24 DR#76535 SPC MASTER</t>
        </r>
      </text>
    </comment>
    <comment ref="H371" authorId="0" shapeId="0" xr:uid="{28BBC39C-7168-8C46-94DC-008C5BA57B36}">
      <text>
        <r>
          <rPr>
            <sz val="10"/>
            <rFont val="SimSun"/>
            <charset val="134"/>
          </rPr>
          <t>OUT 4PCS SALES 11/14/24 JO39695 JARVIS</t>
        </r>
      </text>
    </comment>
    <comment ref="G372" authorId="0" shapeId="0" xr:uid="{106AF00A-585C-1A4D-8C93-E30F60A20D8C}">
      <text>
        <r>
          <rPr>
            <sz val="10"/>
            <rFont val="SimSun"/>
            <charset val="134"/>
          </rPr>
          <t xml:space="preserve">IN 4PCS 3.11.25 DR#77408 SPC KUYA MIKE
IN 4PCS 09/19/24 DR#76535 SPC MASTER
IN 4PCS 09/09/24 DR#76529 SPC MASTER 
IN 4PCS 09/09/24 DR#76527 SPC KUYA MIKE 
IN 4PCS 09/08/24 DR#76084 LIPA A
IN 4PCS 08/23/24 DR#76554 SPC service 
IN 4PCS 08/03/24 DR#76507 SPC BOSS JUN
</t>
        </r>
      </text>
    </comment>
    <comment ref="H372" authorId="0" shapeId="0" xr:uid="{505224BB-3D7E-3B49-B253-943778B8B07E}">
      <text>
        <r>
          <rPr>
            <sz val="10"/>
            <rFont val="SimSun"/>
            <charset val="134"/>
          </rPr>
          <t xml:space="preserve">4PC 12/23/24 JO40985 DALIA
10/20/2024	38612 4PCS SLAES
09/25/24
37971 2PCS SALES JARVIS
09/15/24
37682 4PCS SALES MARLO
09/08/24
37449 4PCS SALES BEL
08/25/24
37070 4PCS SALES BEL
08/22/24
37015 4PCS SALES BEL
</t>
        </r>
      </text>
    </comment>
    <comment ref="G373" authorId="0" shapeId="0" xr:uid="{904BE38B-7CED-A346-8BA4-07B2665D8C1E}">
      <text>
        <r>
          <rPr>
            <sz val="10"/>
            <rFont val="SimSun"/>
            <charset val="134"/>
          </rPr>
          <t>IN 4PCS 02.26.26 DR80774 SPC RONNIE
IN 16PCS 01.19.26 DR159715 DRAK
IN 4PCS 01.15.26 DR79974 SPC BRY
IN 2PCS 01.13.26 DR79969 SPC ROI
IN 4PCS 12.3.25 DR#79716 SPPC HACKET
IN 4PCS 11.19.25 DR#79889 SPC ROBIN
IN 1PCS 10.17.25 DR#79671 SPC ROBIN/ALWIN
IN 4PCS 10.2.25 DR#79633 SPC HACKET
IN 12PCS 9.22.25 DR#135388 DRAKESTER (TACTICAL 12,860.63)
IN 4PCS 2.21.25 DR#095041 DRAKESTER</t>
        </r>
      </text>
    </comment>
    <comment ref="H373" authorId="0" shapeId="0" xr:uid="{AB52316E-E2F4-0C42-AB74-93D16E5644E6}">
      <text>
        <r>
          <rPr>
            <sz val="10"/>
            <rFont val="SimSun"/>
            <charset val="134"/>
          </rPr>
          <t>02.28.26
55456 4PCS BEL
02.11.26
55083 4PCS JARVIS
OUT 4PCS 01.29.26 DR80227 SPC ROBINE
OUT 4PCS 01.21.26 DR#80214 SPC RONNIE
OUT 4PCS 01.16.26 DR80203 STC ROI
1-14-26
4 PCS 54160 MARLO
1-3-26
2PCS OUT 53813 ALY
12-15-25
4 PCS OUT 53251 JARVIS
11-11-25
4 PCS 52153 ALY
OUT 4PCS 10.2.25 DR#79284 BINAN HACKET
10-2-25
1 PC 51064 ALY
9-24-25
4 PCS 50847 JARVIS
OUT 4PCS 9.23.25 DR#79272 SPC RONNIE
2.21.25 4PCS SALES JARVIS</t>
        </r>
      </text>
    </comment>
    <comment ref="G375" authorId="0" shapeId="0" xr:uid="{1A68B9C0-3F2C-724A-AEE9-46E10016EE91}">
      <text>
        <r>
          <rPr>
            <sz val="10"/>
            <rFont val="SimSun"/>
            <charset val="134"/>
          </rPr>
          <t>IN 4PCS 02.28.26 DR168721 DRAKESTER (5,359)
IN 3PCS 01.30.26 DR80716 SPC HACKET
IN 2PCS 01.22.26 DR79992 SPC RONNIE
IN 4PCS 11.11.25 DR#79873 SPC HACKET
IN 4PCS 10.28.25 DR#79693 SPC ROI
IN 8PCS 9.4.25 DR#79076 SPC HACKET
IN 4PCS 09/09/24 DR#76529 SPC MASTER</t>
        </r>
      </text>
    </comment>
    <comment ref="H375" authorId="0" shapeId="0" xr:uid="{59CAA3D5-2E76-644B-891E-4FAFC30344AD}">
      <text>
        <r>
          <rPr>
            <sz val="10"/>
            <rFont val="SimSun"/>
            <charset val="134"/>
          </rPr>
          <t xml:space="preserve">02.05.26
54866 4PCS BEL
01.29.26
54634 4PCS ALY
01.17.26
54296 2PCS ALY
10-28-25
4 PCS 51841 ALY
10-20-25
4 PCS 51551 MARIBEL 
09/20/24
37791 4PCS SALES ALY
</t>
        </r>
      </text>
    </comment>
    <comment ref="G377" authorId="0" shapeId="0" xr:uid="{EEDA8392-BFDD-A249-83CF-6AC9057BABA1}">
      <text>
        <r>
          <rPr>
            <sz val="10"/>
            <rFont val="SimSun"/>
            <charset val="134"/>
          </rPr>
          <t>IN 4PCS 12.26.25 DR79915-17 SPC HACKET
IN 4PCS 8.1.25 DR#78819 SPC EMMAN
IN 4PCS 7.29.25 DR#78577 LIPA A
IN 2PCS 6.26.25 DR#77775-76 SPC EMMAN
IN 4PCS 6.18.25 DR#78800 SPC HACKET
IN 4PCS 6.4.25 DR#78772 SPC HACKET
IN 4PCS 5.26.25 DR#78056 LIPA A
IN 4PCS 5.01.25 DR#77695 SPC RONNIE
1PC 4-12-25 DR77536 LIPA A
IN 4PCS 3.28.25 DR#77371 SPC HACKET
IN 4PCS 1-16-25 DR#76890 SPC KUYA EMMAN
------------------------------------------------
IN 2PCS 12-28/24 DR#76860 SPC KUYA HACKET
IN 8PCS 08/28/24 DR#68708 DRAKESTER
in 4pcs 06/25/24 dr#73498 lipa a
IN 2PCS 05/09/24 DR#75031 SPC MASTER
IN 4PCS 04/29/24 DR#75010 SPC KUYA EMMAN
IN 2PCS 04/17/24 DR#73453 LIPA A</t>
        </r>
      </text>
    </comment>
    <comment ref="H377" authorId="0" shapeId="0" xr:uid="{1DFBCA66-C4AD-B04A-810A-F7BD63D45A42}">
      <text>
        <r>
          <rPr>
            <sz val="10"/>
            <rFont val="SimSun"/>
            <charset val="134"/>
          </rPr>
          <t>OUT 4PCS 1.3.26. DR80084 SPC HACKET
7.29.25
49147 4PCS JARVIS
OUT 2PCS 7.2.25 DR#78344 LIPA A
6-18-25
2 PCS 47682 MARIBEL 
6-16-25
4 PCS 47617 MARLO
05-31-2025
4PCS OUT JO#46977 JARVIS
5.3.25
45980 4PCS BEL
4-12-25
4 PCS OUT JO45200 JARVIS
OUT 1PC 4.8.25 DR#77566 SPC MEET UP
4 PCS  OUT 1/25/25 JO42090 JARVIS
4PC OUT 1/11/25 JO41673 MARIBEL
4pcs out 12/13/24 jo40643 jarvis
10/21/2024	38694 2PCS SALES
OUT 07/10/24 35869 4PCS SALES LEN
OUT 06/09/24 34991 4PCS SALES BEL
OUT 2PCS 05/07/24 DR#75059 LIPA A
OUT 04/18/24 33545 2PCS SALES MARLO</t>
        </r>
      </text>
    </comment>
    <comment ref="G378" authorId="0" shapeId="0" xr:uid="{3B6D8F43-8C48-DE46-9E30-7DFAEE05BCF2}">
      <text>
        <r>
          <rPr>
            <sz val="10"/>
            <rFont val="SimSun"/>
            <charset val="134"/>
          </rPr>
          <t>IN 4PCS 12.8.25 DR#151925 DRAKESTER
IN 4PCS 11.8.25 DR#2486 GUDA
IN 4PCS 4.10.25 DR#2002 GUDA</t>
        </r>
      </text>
    </comment>
    <comment ref="H378" authorId="0" shapeId="0" xr:uid="{16FB3436-5BC5-1D47-B52C-C89F877B71C7}">
      <text>
        <r>
          <rPr>
            <sz val="10"/>
            <rFont val="SimSun"/>
            <charset val="134"/>
          </rPr>
          <t xml:space="preserve">11.11.25
52995 4PCS HANNAH
11-8-25
4 PCS 52121 ALY 
4-10-25
4 PCS OUT JO44997 MARLO </t>
        </r>
      </text>
    </comment>
    <comment ref="G379" authorId="0" shapeId="0" xr:uid="{4E1F5669-8975-9942-9215-C2741E5BBDBE}">
      <text>
        <r>
          <rPr>
            <sz val="10"/>
            <rFont val="SimSun"/>
            <charset val="134"/>
          </rPr>
          <t>4pcs 2-24-24 DR#74803 SPC</t>
        </r>
      </text>
    </comment>
    <comment ref="H379" authorId="0" shapeId="0" xr:uid="{F58EF2B2-35A4-CC40-8100-213B5F074023}">
      <text>
        <r>
          <rPr>
            <sz val="10"/>
            <rFont val="SimSun"/>
            <charset val="134"/>
          </rPr>
          <t>4PCS 2-18-24 SALES LEN</t>
        </r>
      </text>
    </comment>
    <comment ref="G380" authorId="0" shapeId="0" xr:uid="{161F5433-6C76-5F48-A7DE-89D77E4C0DD3}">
      <text>
        <r>
          <rPr>
            <sz val="10"/>
            <rFont val="SimSun"/>
            <charset val="134"/>
          </rPr>
          <t xml:space="preserve">IN 2PCS 12.23.25 DR#79919 SPC HACKET
IN 4PCS 11.22.25 DR#79895 SPC
IN 1PCS 8.30.25 DR#130931 DRAKESTER
2PCS 12-19-24 DR085384 DRAKESTER
IN 4PCS 12-10-24 DR#83873 DRAKESTER
IN 4PCS 08/27/24 DR#76555 SPC KUYA HACKET
IN 4PCS 06/04/24 DR#75176 SPC KUYA HACKET
</t>
        </r>
      </text>
    </comment>
    <comment ref="H380" authorId="0" shapeId="0" xr:uid="{BFBB21EB-D224-4641-AF2A-947E2C7A8601}">
      <text>
        <r>
          <rPr>
            <sz val="10"/>
            <rFont val="SimSun"/>
            <charset val="134"/>
          </rPr>
          <t>11-22-25
4 PCS 52566 JARVIS
11.17.25
52404 2PCS BEL
OUT 1PC 8.15.25 DR#78410 LIPA A
OUT 4PCS 2.16.25 DR#77103 SPC
OUT 2PCS 11/22/24 DR#75449 SPC
OUT 2PCS 06/07/24 DR#75102 LIPA A
OUT 2PCS 06/06/24 DR#75101 LIPA A</t>
        </r>
      </text>
    </comment>
    <comment ref="G381" authorId="0" shapeId="0" xr:uid="{B9E495A0-9F2D-CE43-9F0E-E32F0EBB3F95}">
      <text>
        <r>
          <rPr>
            <sz val="10"/>
            <rFont val="SimSun"/>
            <charset val="134"/>
          </rPr>
          <t>1PC 6-10-22 STF#6473 SPC
8PCS 01-08-2022 ST005740 SPC
4PCS 01-05-2022 ST005730 SPC</t>
        </r>
      </text>
    </comment>
    <comment ref="H381" authorId="0" shapeId="0" xr:uid="{CF6DB439-26AC-1747-A76F-7C47CF06973B}">
      <text>
        <r>
          <rPr>
            <sz val="10"/>
            <rFont val="SimSun"/>
            <charset val="134"/>
          </rPr>
          <t>1PC 6-15-22 STF#1822 SPC
3PC 6-11-22 JO15991 SALES
1PC 6-5-22 JO#15788 JARVIS
4PCS  3-21-22 JO#14263 JARVIS
1PC 03-02-2022 JO13847 SALES
4PC 02-15-2022 JO13533 MARLO</t>
        </r>
      </text>
    </comment>
    <comment ref="G382" authorId="0" shapeId="0" xr:uid="{CAC87E0E-C388-1142-BB30-BCFAD14797CE}">
      <text>
        <r>
          <rPr>
            <sz val="10"/>
            <rFont val="SimSun"/>
            <charset val="134"/>
          </rPr>
          <t>IN 4PCS 5.31.25 DR#75786 STC
IN 4PCS 4.12.25 DR#77534 LIPA A HACKET
IN 4PCS 08/27/24 DR#76555 SPC KUYA HACKET
IN 7-26-24 DR#75250 4PCS  SPC
IN 8PCS 07/06/24 DR#75226 SPC MASTER
IN 4PCS 06/25/24 DR#75196 SPC KUYA MIKE
4PCS 2-2-24 DR#74640 SPC
4PCS 12-8-23 DR#34222 DRAKESTER
1pc 11-7-23 dr#4381 sp[c
4PCS 9-8-23 DR#74192 SPC
4pcs 8-7-23 DR#73268 LIPA A
4PCS 7-7-23 SPC</t>
        </r>
      </text>
    </comment>
    <comment ref="H382" authorId="0" shapeId="0" xr:uid="{A160D843-024C-7942-8D40-FA251C7B9E0F}">
      <text>
        <r>
          <rPr>
            <sz val="10"/>
            <rFont val="SimSun"/>
            <charset val="134"/>
          </rPr>
          <t>4.26.25
45762 4PCS JARVIS
2-28-25
4 PCS OUT JO43477 MARIBEL
4pcs 7-31-24 JO#36433 JARVIS
OUT 8PCS 07/23/24 DR#75355 SPC KUYA BOYONG
OUT 06/26/24 35456 4PCS SALES LEN 
OUT 06/24/24 35395 4PCS SALES MARLO
out 01-27-2024
31432 4pcs sales jonhly
5pcs 11-12-23 29427 BEL
4PCS 8-7-23 JO#27320 BEL
4PCS 7-11-23 JO#26611 MARLO</t>
        </r>
      </text>
    </comment>
    <comment ref="G383" authorId="0" shapeId="0" xr:uid="{F42A69C7-467F-764E-B114-FB5B7BED5A51}">
      <text>
        <r>
          <rPr>
            <sz val="10"/>
            <rFont val="SimSun"/>
            <charset val="134"/>
          </rPr>
          <t>IN 2PCS 10.18.25 DR#79675 SPC BRY
IN 2PCS 9.22.25 DR#135389 DRAKESTER (TACTICAL 7,750)
IN 3PCS 7.2.25 DR#77758 SPC BRY
IN 3PCS 5.16.25 DR#78043 LIPA A MIKE
IN 1PC 5.14.25 DR#78040 LIPA A
IN 2PCS 4.21.25 DR#77546 LIPA A
IN 3PCS 4.24.25 DR#776979 SPC HACKET
IN 1PC 4.22.25 DR#77672 SPC HACKET
IN 2PCS 4.15.24 DR#77664 SPC HACKET
1PCS 12-19-24 DR085384 DRAKESTER
IN 4PCS 10/28/24 DR#76682 SPC BRIAN
IN 4PCS 10/12/24 DR#76641 SPC KUYA HACKET
IN 4PCS 09/09/24 DR#76529 SPC MASTER
IN 4PCS 03/14/24 DR#74868 SPC
IN 4PCS 03/12/24 DR#74865 SPC</t>
        </r>
      </text>
    </comment>
    <comment ref="H383" authorId="0" shapeId="0" xr:uid="{F9B67DA9-EBFD-774C-A433-B975EAD419D2}">
      <text>
        <r>
          <rPr>
            <sz val="10"/>
            <rFont val="SimSun"/>
            <charset val="134"/>
          </rPr>
          <t>10-6-25
2 PCS 51130 MARIBEL
OUT 2PCS 8.20.25 DR#78421 LIPA A
OUT 3PCS 6.18.25 DR#78324 SPC HACKET
5-27-25
1 PC 46860 MARIBEL
5.14.25
46339 2PCS JARVIS
5.13.25
46321 3PCS JARVIS
5-10-25
1 PC 46264 JARVIS
4-21-25
1PC JO45502 JARVIS
4.17.25
45413 2PCS BEL
4-16-25
4 PCS OUT JO45368 MARIBEL 
OUT 4PCS 4.8.25 DR#77565 SPC HACKET
OUT 12-18-2024
40808 1PC SALES MARIBEL
OUT 1PC 12/6/24 JO40407 MARLO 
10/03/24
38161 4PCS SALES ALY
OUT 8PCS 08/17/24 DR#75373 SPC (OLD DOT)
OUT 4PCS 03/21/24 DR#74731 LIPA B</t>
        </r>
      </text>
    </comment>
    <comment ref="G384" authorId="0" shapeId="0" xr:uid="{CD32EC09-725C-4443-B947-30D9B47D9BFB}">
      <text>
        <r>
          <rPr>
            <sz val="10"/>
            <rFont val="SimSun"/>
            <charset val="134"/>
          </rPr>
          <t>IN 4PCS 02.10.26 DR80737 SPC ALWIN
IN 4PCS 01.30.26 DR80716 SPC HACKET
IN 4PCS 01.29.26 DR80710 SPC ROBIN
IN 4PCS 01.12.26 DR79961 SPC HACKET
IN 8PCS 11.10.25 DR#79871 SPC HACKET
IN 4PCS 10.5.25 DR#79642 SPC RONNIE
IN 2PCS 9.13.25 DR#79093 SPC HACKET
IN 4PCS 7.9.25 DR#79082 SPC RONNIE
IN 4PCS 8.7.25 DR#75810 STC
IN 4PCS 8.1.25 DR#78814 SPC MIKE
IN 4PCS 7.15.25 DR#78556 LIPA A
IN 4PCS 6.26.25 DR#77775-76 SPC EMMAN
IN 4PCS 6.18.25 DR#77754 SPC HACKET
IN 4PCS 5.29.25 DR#78761 SPC HACKET
IN 3PCS 5.10.25 DR#77721 SPC HACKET
IN 2PCS 4.30.25 DR#78020 LIPA A ROI
2PCS 3.31.25 DR#77515 LIPA A
(3.31.25 ACTUAL 2PCS)
IN 4PCS 1-16-25 DR#76890 SPC KUYA EMMAN
----------------------------------------------
IN 4PCS 12-14-24 DR#76852 SPC KUYA ALWIN
IN 4PCS 08/27/24 DR#76555 SPC KUYA HACKET</t>
        </r>
      </text>
    </comment>
    <comment ref="H384" authorId="0" shapeId="0" xr:uid="{5F98B249-4305-A04D-8838-DFF94ED4E806}">
      <text>
        <r>
          <rPr>
            <sz val="10"/>
            <rFont val="SimSun"/>
            <charset val="134"/>
          </rPr>
          <t xml:space="preserve">02.04.26
54854 4PCS JARVIS
01.29.26
54662 4PCS JARVIS
1-9-26
4PCS 54039 JARVIS
12.22.25
53486 4PCS JEN
10-18-25
4 PCS 51510 JARVIS
10-16-25
4 PCS 51455 MARLO 
9-11-25
2 PCS 50468 JARVIS
9-6-25
4 PCS 50299 MARLO
8-4-25
4 PCS 49382 JARVIS
7.31.25
49180 4PCS JARVIS
7-15-25
4 PCS 48771 ALY
7-14-25
4 pcs 48590 MARIBEL
OUT 4PCS 6.18.25 DR#78326 LIPA A
OUT 4PCS 5.11.25 DR#77647 SPC HACKET
OUT 1PC 4.30.25 DR#77630 SPC KUYA HACKET
3.31.25
44764 4PCS JARVIS
4 PCS OUT 2-10-25 JO42807 MARIBEL 
4 PC OUT 2-8-25 JO42716 JARVIS
4pcs out 12/13/24 jo40662 marlo </t>
        </r>
      </text>
    </comment>
    <comment ref="G385" authorId="0" shapeId="0" xr:uid="{BD24D46B-0C91-994A-BB42-D644FAD99EE9}">
      <text>
        <r>
          <rPr>
            <sz val="10"/>
            <rFont val="SimSun"/>
            <charset val="134"/>
          </rPr>
          <t>IN 2PCS 11-18-24 DR#75710 SPC KUYA EMMAN
IN 4PCS 09/21/24 DR#76538 SPC KUYA HACKET</t>
        </r>
      </text>
    </comment>
    <comment ref="H385" authorId="0" shapeId="0" xr:uid="{1C1C2D01-ECC0-1649-8A1E-0AD03C21EEC2}">
      <text>
        <r>
          <rPr>
            <sz val="10"/>
            <rFont val="SimSun"/>
            <charset val="134"/>
          </rPr>
          <t xml:space="preserve">OUT 2PCS SALES 11/12/24
JO39636 DALIA 
</t>
        </r>
      </text>
    </comment>
    <comment ref="G386" authorId="0" shapeId="0" xr:uid="{3C473FD3-29A5-7E48-9E70-85D35B74E4D8}">
      <text>
        <r>
          <rPr>
            <sz val="10"/>
            <rFont val="SimSun"/>
            <charset val="134"/>
          </rPr>
          <t>IN 2PCS 3.26.25 DR#77367 SMS HACKET
IN 4PCS 2.17.25 DR#77029 SPC
IN 4PCS 2.1525 DR#77064 LIPA A
3PCS 1-30-25 DR#091389 DRAKESTER 
IN 1PCS 1-22-25 DR#76898 SPC KUYA EMMAN
----------------------------------------------
IN 4PCS 12-10-24 DR#83873 DRAKESTER
IN 4PCS 12-03-24 DR#75733 SPC KUYA mike
IN 4PCS 08/27/24 DR#76555 SPC KUYA HACKET
IN 4PCS 08/07/24 DR#76510 SPC KUYA HACKET
4pcs 2-13-24 74815 spc
4PCS 12-30-23 DR# SPC
4PCS 9-8-23 DR#74192 SPC
4PCS 7-7-23 SPC</t>
        </r>
      </text>
    </comment>
    <comment ref="H386" authorId="0" shapeId="0" xr:uid="{2D6CAFD4-ABD8-4B45-8810-181A843C38A3}">
      <text>
        <r>
          <rPr>
            <sz val="10"/>
            <rFont val="SimSun"/>
            <charset val="134"/>
          </rPr>
          <t>4-2-25
4 PCS OUT JO44817 JARVIS
2 PCS OUT 2-17-25 JO42999 DALIA
2.16.25
42972 4PCS JARVIS
2.4.25
42470 4pcs sales jarvis
4PC OUT 1/21/25 JO42011  MARIBEL
4PC OUT 1/20/25 JO41857 MARLO 
4PCS 11/28/24 JO40173 MARLO
08/22/24
37006 4PCS SALES JARVIS
OUT 02-17-2024
31995 4PCS SALES MARIBEL
4PCS 1-6-24 JO#30864 BEL
4PCS 10-28-23 DR#73943 SPC
4PCS 7-24-23 JO#26943 BEL</t>
        </r>
      </text>
    </comment>
    <comment ref="G387" authorId="0" shapeId="0" xr:uid="{9A8397C6-B556-BA41-A9FE-888510ECD69B}">
      <text>
        <r>
          <rPr>
            <sz val="10"/>
            <rFont val="SimSun"/>
            <charset val="134"/>
          </rPr>
          <t xml:space="preserve">IN 4PCS 02.21.26 DR80771 SPC BOYONG
IN 4PCS 02.16.26 DR80753 SPC ALWIN
IN 4PCS 01.22.26 DR79993 SPC RONNIE
IN 2PCS 01.09.26 DR80162 LIPA A
IN 4PCS 01.09.26 DR80470 BIÑAN ROI
IN 2PCS 01.07.26 DR80161 LIPA A
IN 4PCS 12.10.25 DR78685 LIPA A
IN 4PCS 12.10.25 DR79729 SPC
IN 4PCS 7.9.25 DR#79082 SPC RONNIE
IN 2PCS 8.29.25 DR#79056 SPC HACKET
IN 4PCS 6.26.25 DR#77775-76 SPC EMMAN
IN 4PCS 6.18.25 DR#78800 SPC HACKET
IN 4PCS 5.23.25 DR#111577 DRAKESTER
IN 4PCS 5.20.25 DR#77741 SPC 
IN 4PCS 5.16.25 DR#78043 LIPA A MIKE
IN 4PCS 2.26.25 DR#95834 DRAKESTER
</t>
        </r>
      </text>
    </comment>
    <comment ref="H387" authorId="0" shapeId="0" xr:uid="{0B7597CC-FDA6-F84C-A654-BF32F5902F80}">
      <text>
        <r>
          <rPr>
            <sz val="10"/>
            <rFont val="SimSun"/>
            <charset val="134"/>
          </rPr>
          <t>02.20.26
55347 4PCS JARVIS
OUT 4PCS 01.28.26 DR80223 SNV BRY
01.22.26
54433 4PCS ALY
1-9-26
4PCS 54036 JARVIS
01.07.26
53925 4PCS JEN
OUT 4PCS 1.3.26. DR80084 SPC HACKET
12-10-25
4 PCS 53084 JARVIS
11-29-25
4 PCS 52728 ALY
8-23-25
4 PCS 49900 ALY
8-22-25
2 PCS 49875 ALY
05-31-2025
4PCS OUT JO#47022 JARVIS
5-24-25
4 PCS 46831 JARVIS 
4PCS 05/19/2025 DR#77971 LIPA B
5.3.25
46043 4PCS MARLO</t>
        </r>
      </text>
    </comment>
    <comment ref="G388" authorId="0" shapeId="0" xr:uid="{30BD4939-02E1-C342-8F33-371564225262}">
      <text>
        <r>
          <rPr>
            <sz val="10"/>
            <rFont val="SimSun"/>
            <charset val="134"/>
          </rPr>
          <t>IN 4PCS 08/27/24 DR#76555 SPC KUYA HACKET</t>
        </r>
      </text>
    </comment>
    <comment ref="H388" authorId="0" shapeId="0" xr:uid="{03774A8F-0735-1742-A023-F32B94B46997}">
      <text>
        <r>
          <rPr>
            <sz val="10"/>
            <rFont val="SimSun"/>
            <charset val="134"/>
          </rPr>
          <t xml:space="preserve">
09/13/24
37614 2PCS SALES JARVIS
37615 2PCS SALES JARVIS
</t>
        </r>
      </text>
    </comment>
    <comment ref="G389" authorId="0" shapeId="0" xr:uid="{E023E87E-15AB-7441-9E62-622D0AB48D4F}">
      <text>
        <r>
          <rPr>
            <sz val="10"/>
            <rFont val="SimSun"/>
            <charset val="134"/>
          </rPr>
          <t>4pcs 3.19.25 ST002490 BINAN
IN 8PCS 12-30-24 DR#76862 SPC KUYA RONNIE
IN 4PCS 09/28/24 DR#76614 SPC
IN 4PCS 09/21/24 DR#76370 SPC KUYA HACKET</t>
        </r>
      </text>
    </comment>
    <comment ref="H389" authorId="0" shapeId="0" xr:uid="{B01D0E5A-7DAF-B74F-B1A1-62955B59ED69}">
      <text>
        <r>
          <rPr>
            <sz val="10"/>
            <rFont val="SimSun"/>
            <charset val="134"/>
          </rPr>
          <t>OUT 4PCS 2.20.25 DR#77117 BIÑAN HACKET
OUT 4PCS 2.15.25 FOR BARAKO FEST C/O BOSS JUN
4PCS OUT 12/24/24 JO41010 JARVIS
OUT 4PCS 09/27/24 DR#75417 LIPAA</t>
        </r>
      </text>
    </comment>
    <comment ref="G390" authorId="0" shapeId="0" xr:uid="{02E8DA1B-9463-8D41-8622-21F0FDB921A6}">
      <text>
        <r>
          <rPr>
            <sz val="10"/>
            <rFont val="SimSun"/>
            <charset val="134"/>
          </rPr>
          <t>IN 4PCS 01.27.26 DR80339 SNV BRY
IN 4PCS 11.21.25 DR#78668 LIPA A
IN 4PCS 6.26.25 DR#77775-76 SPC EMMAN
IN 4PCS 5-2-25 DR#77699 SPC HACKET</t>
        </r>
      </text>
    </comment>
    <comment ref="H390" authorId="0" shapeId="0" xr:uid="{21041141-CE74-4945-AAE2-51DCA79533DF}">
      <text>
        <r>
          <rPr>
            <sz val="10"/>
            <rFont val="SimSun"/>
            <charset val="134"/>
          </rPr>
          <t>12-10-25
4 PCS 53068 MARIBEL
11.15.25
52353 4PCS BEL
OUT 4PCS 8.20.25 DR#78419 SPC HACKET</t>
        </r>
      </text>
    </comment>
    <comment ref="G391" authorId="0" shapeId="0" xr:uid="{E4657787-4207-BE4E-91E6-89ADC8F4627B}">
      <text>
        <r>
          <rPr>
            <sz val="10"/>
            <rFont val="SimSun"/>
            <charset val="134"/>
          </rPr>
          <t>IN 4PCS 4.8.25 DR#77398 HACKET
IN 4PCS 12-30-24 DR#76862 SPC KUYA RONNIE</t>
        </r>
      </text>
    </comment>
    <comment ref="H391" authorId="0" shapeId="0" xr:uid="{3DF076B8-E204-3E42-82B4-F8CDD92E6E33}">
      <text>
        <r>
          <rPr>
            <sz val="10"/>
            <rFont val="SimSun"/>
            <charset val="134"/>
          </rPr>
          <t xml:space="preserve">OUT 4PCS 02.26.26 DR80877 SPC RONNIE
3-6-25 4 PCS OUT JO4379 MARLO </t>
        </r>
      </text>
    </comment>
    <comment ref="G392" authorId="0" shapeId="0" xr:uid="{F34FBADE-00E6-1A4B-B0D5-793C93BDDCE7}">
      <text>
        <r>
          <rPr>
            <sz val="10"/>
            <rFont val="SimSun"/>
            <charset val="134"/>
          </rPr>
          <t>IN 4PCS 2.10.25 DR#093209 DRAKESTER</t>
        </r>
      </text>
    </comment>
    <comment ref="G393" authorId="0" shapeId="0" xr:uid="{DF7A2860-ACC3-EE45-B701-38FF716B0A2A}">
      <text>
        <r>
          <rPr>
            <sz val="10"/>
            <rFont val="SimSun"/>
            <charset val="134"/>
          </rPr>
          <t>IN 4PCS 09/27/24 DR#072867 DRAKESTER</t>
        </r>
      </text>
    </comment>
    <comment ref="H393" authorId="0" shapeId="0" xr:uid="{A6B0CE8D-131B-7043-8E36-AF6C025CB903}">
      <text>
        <r>
          <rPr>
            <sz val="10"/>
            <rFont val="SimSun"/>
            <charset val="134"/>
          </rPr>
          <t xml:space="preserve">09/27/24
37968 4PCS SALES DAHLIA
</t>
        </r>
      </text>
    </comment>
    <comment ref="G394" authorId="0" shapeId="0" xr:uid="{F6935F55-815B-344D-9F2F-B6530D9DA3D9}">
      <text>
        <r>
          <rPr>
            <sz val="10"/>
            <rFont val="SimSun"/>
            <charset val="134"/>
          </rPr>
          <t>IN 3PCS 12.7.25 DR#78681 LIPA A
IN 1PCS 12.6.25 DR#79907 SPC
IN 1PCS 12.3.25 DR#79716 SPPC HACKET
IN 4PCS 11.14.25 DR#77838 BINAN HACKET
IN 3PCS 10.18.25 DR#79675 SPC BRY
IN 4PCS 9.25.25 DR# 78711 LIPA A
IN 2PCS 9.4.25 DR#79076 SPC HACKET
IN 4PCS 5.21.25 DR#111205 DRAKESTER
IN 8PCS 3.5.25 DR#77046 SPC HOWARD
IN 4PCS 2.26.25 DR#77037 SPC HACKET
IN 4PCS 2.12.25 DR#77016 SPC
IN 1PC 1-8-25 DR#19823 SPC
IN 1PCS 12-03-24 DR#75734 SPC KUYA ALWIN
2PCS 12-02-24 DR#75732 SPC KUYA MIKE
IN 4PCS 11-19-24 DR#76124 SPC
IN 2PCS 08/09/24 DR#76516 SPC KUYA HACKET
IN 4PCS 07/18/24 DR# SPC KUYA HACKET
IN 2PCS 07/04/24 DR#75223 SPC KUYA HACKET
IN 4PCS 06/11/24 DR#75326 SPC KUYA MIKE 
IN 4PCS 06/06/24 DR#75177 SPC KUYA HACKET
IN 8PCS 05/25/24 DR#75162 SPC KUYA HACKET</t>
        </r>
      </text>
    </comment>
    <comment ref="H394" authorId="0" shapeId="0" xr:uid="{14E52E61-4F85-C441-B017-83D75C628D24}">
      <text>
        <r>
          <rPr>
            <sz val="10"/>
            <rFont val="SimSun"/>
            <charset val="134"/>
          </rPr>
          <t>01.15.26
54241 2PCS MARLO
OUT 4PCS 1.3.26. DR80084 SPC HACKET
12-5-25
4 PCS 52971 JARVIS
10.6.25
51206 1PC MARLO
9-26-25
1 PC 50889 ALY
9-25-25
2 PCS 50892 JARVIS
9-25-25
4 PCS 50877 MARIBEL
8-16-25
2 PCS 49695 ALY
4-6-25
4 PCS OUT JO44900 JARVIS
4 PCS OUT 3-10-25 JO43885 JARVIS
3-2-25 
4 PCS OUT JO43564 ALY
4 PCS OUT 2-17-25 JO42975 JARVIS
1PC OUT 1/13/25 JO41723 MJEN
4PCS OUT 12/23/24 JO40995 MARIBEL
12-02-24
40248 1pc sales jarvis
OUT 4PCS 11/29/24 DR#75478 SPC KUYA HACKET
OUT 4PCS 11/15/2024 JO39673 
MAM JEN  SALES
OUT 2PCS 10/31/2024
JO38943 MARLO
08/05/24
36559 2PCS SALES JARVIS
7/16/24
36017 4PCS SALES JARVIS
OUT 07/01/24 35612 2PCS SALES  JARVIS
OUT 06/06/24 34896 4PCS SALES JARVIS
OUT 06/05/24 34891 4PCS SALES  JARVIS</t>
        </r>
      </text>
    </comment>
    <comment ref="G395" authorId="0" shapeId="0" xr:uid="{ED8391F1-6024-FB48-A49F-4F8F34E8C475}">
      <text>
        <r>
          <rPr>
            <sz val="10"/>
            <rFont val="SimSun"/>
            <charset val="134"/>
          </rPr>
          <t>4-17-23 STF#8004 SPC</t>
        </r>
      </text>
    </comment>
    <comment ref="H395" authorId="0" shapeId="0" xr:uid="{347C322D-4E10-CA49-98AB-C13D762F3C3E}">
      <text>
        <r>
          <rPr>
            <sz val="10"/>
            <rFont val="SimSun"/>
            <charset val="134"/>
          </rPr>
          <t>4PCS 4-17-23 JO#24605 MARLO</t>
        </r>
      </text>
    </comment>
    <comment ref="G396" authorId="0" shapeId="0" xr:uid="{6CF65AB1-0725-8C4D-B1AD-F395D2F12990}">
      <text>
        <r>
          <rPr>
            <sz val="10"/>
            <rFont val="SimSun"/>
            <charset val="134"/>
          </rPr>
          <t>IN 4PCS 11.27.25 DR#79704 SPC BRY
IN 4PCS 8.30.25 DR#130931 DRAKESTER TACTICAL (17,361.84)
IN 4PCS 3-27-25 DR#77508 LIPA A
IN 4PCS 10/28/24 DR#76682 SPC BRIAN
IN 4PCS 10-17-24 DR#76659 SPC
IN 4PCS 05/15/24 DR#75038 SPC KUYA PING</t>
        </r>
      </text>
    </comment>
    <comment ref="H396" authorId="0" shapeId="0" xr:uid="{2342C54B-D34A-634A-AF8D-93C58B91E3E0}">
      <text>
        <r>
          <rPr>
            <sz val="10"/>
            <rFont val="SimSun"/>
            <charset val="134"/>
          </rPr>
          <t>01.17.26
54269 4PCS JEN
11-21-25
4 PCS 52480 MARIBEL
5-20-25
4 PCS 46567 JARVIS
4 PCS OUT 3-19-25 JO44197 MAM JEN 
4 PC OUT 2-7-25 FOR BIÑAN 
10/18/2024	38623 4PCS SALES</t>
        </r>
      </text>
    </comment>
    <comment ref="G397" authorId="0" shapeId="0" xr:uid="{AA6A0817-330E-1D43-A24C-6B0488E3E9B4}">
      <text>
        <r>
          <rPr>
            <sz val="10"/>
            <rFont val="SimSun"/>
            <charset val="134"/>
          </rPr>
          <t>IN 4PCS 02.18.26 DR80762 SPC
IN 8PCS 02.04.26 DR163284 DRAKESTER TACTICAL (18,304.96)
IN 4PCS 02.03.26 DR163060 DRAKESTER TACTICAL (18,304.96)</t>
        </r>
      </text>
    </comment>
    <comment ref="H397" authorId="0" shapeId="0" xr:uid="{2EF2CA17-4DAC-EE4A-9042-A8860F0DFF7D}">
      <text>
        <r>
          <rPr>
            <sz val="10"/>
            <rFont val="SimSun"/>
            <charset val="134"/>
          </rPr>
          <t>OUT 4PCS 02.16.26 DR80860 SPC
ALWIN
02.04.26
54836 4PCS JARVIS
OUT 4PCS 02.04.26 DR80236 SNV</t>
        </r>
      </text>
    </comment>
    <comment ref="G398" authorId="0" shapeId="0" xr:uid="{C705AC9D-8521-6E4C-A645-BF90E0B63B8F}">
      <text>
        <r>
          <rPr>
            <sz val="10"/>
            <rFont val="SimSun"/>
            <charset val="134"/>
          </rPr>
          <t>IN 5PCS 02.2126 DR167580 DRAKESTER PROMO PRICE (20,534.13)</t>
        </r>
      </text>
    </comment>
    <comment ref="H398" authorId="0" shapeId="0" xr:uid="{D98026CE-9E40-1745-9C92-FDBE8F897E93}">
      <text>
        <r>
          <rPr>
            <sz val="10"/>
            <rFont val="SimSun"/>
            <charset val="134"/>
          </rPr>
          <t>02.23.26
55420 5PCS JARVIS</t>
        </r>
      </text>
    </comment>
    <comment ref="G399" authorId="0" shapeId="0" xr:uid="{AF3D8E27-1ACD-9444-8E6E-F0775D5CB612}">
      <text>
        <r>
          <rPr>
            <sz val="10"/>
            <rFont val="SimSun"/>
            <charset val="134"/>
          </rPr>
          <t>IN 4PCS 10.30.25 DR#143563 DRAKESTER
IN 4PCS 2.10.25 DR#093209 DRAKESTER</t>
        </r>
      </text>
    </comment>
    <comment ref="H399" authorId="0" shapeId="0" xr:uid="{D530EE59-ADBF-2749-BF53-623ED19A0C20}">
      <text>
        <r>
          <rPr>
            <sz val="10"/>
            <rFont val="SimSun"/>
            <charset val="134"/>
          </rPr>
          <t>10.31.25
51881 4PCS BEL</t>
        </r>
      </text>
    </comment>
    <comment ref="G402" authorId="0" shapeId="0" xr:uid="{B8C2B5AF-FD2D-A648-96B3-752BD603A2FA}">
      <text>
        <r>
          <rPr>
            <sz val="10"/>
            <rFont val="SimSun"/>
            <charset val="134"/>
          </rPr>
          <t>2PCS SITE A
4PCS 4-27-23 STF#8051 SPC</t>
        </r>
      </text>
    </comment>
    <comment ref="H402" authorId="0" shapeId="0" xr:uid="{CC9AF2E8-1671-4C45-9278-726D0233E4A0}">
      <text>
        <r>
          <rPr>
            <sz val="10"/>
            <rFont val="SimSun"/>
            <charset val="134"/>
          </rPr>
          <t>2PCS 1-9-24 DR#73373 SPC OLD DOT
1PC  10-4-23 DR#73992 SPC
1PC 9-29-23 STA CRUZ
2PCS 07-30-2023 DR#73891 LIPA A</t>
        </r>
      </text>
    </comment>
    <comment ref="G403" authorId="0" shapeId="0" xr:uid="{AC6BC5F0-2FD0-B745-8494-1A8107C456A4}">
      <text>
        <r>
          <rPr>
            <sz val="10"/>
            <rFont val="SimSun"/>
            <charset val="134"/>
          </rPr>
          <t>2PCS 6-23-23 SPC
8pcs 6-12-23 spc
4pcs 5-18-23 stf#2429 liap aa
4pcs 5-2-23 STF#8060 SPC
4PCS 3-30-23 STF#7926 SPC
1PC 1-9-23 STF#2276 LIPA A
4PCS 12-15-22 STF#7384 SPC
4PCS 12-12-22 JO#7369 SPC
2pcs 11-26-22 stf#7287 spc
4PCS 11-25-22 STF#7284 SPC
2PCS 11-22-22 STF#2212 SITE A
2PCS 11-21-22 STF#7261 SPC
4PCS 112-21-22 STF#2210 SITE A
2PCS 11-19-22 STF#2208 SPC
5PCS 11-16-22 STF#7247 SPC
8PCS 10-22-22 STF#7140 SPC
8PCS 10-1-22 STF#7029 SPC
4PCS 8-23-22 STF#6818 SPC
6PCS 8-22-22 STF#6812 SPC
4PCS 8-16-22 STF#6788 SPC
4PCS 8-11-22 STF#6764 SPC
2PCS 7-18-22 STF#6648 SPC
4PCS 7-9-22 STF#6605 SPC
4PCS 7-1-22 STF#2004 SITE A
4PCS 6-2-22 STF#6428 SPC</t>
        </r>
      </text>
    </comment>
    <comment ref="H403" authorId="0" shapeId="0" xr:uid="{361282EA-E326-4D47-9975-4531CE96369F}">
      <text>
        <r>
          <rPr>
            <sz val="10"/>
            <rFont val="SimSun"/>
            <charset val="134"/>
          </rPr>
          <t>4PCS 7-5-23 JO#26525 JARVIS
4PCS 6-26-23 jo#26315 bel
2PCS 6-12-23 JO#25993 JARVIS
4PCS 5-18-23 JO#25394 JARVIS
2PCS 5-12-23 STF#2453 STC
2PCS 5-11-23 JIO#25217 ROSE
4PCS 4-14-23 JO24603 MARLO
4pcs 1-8-23 JO#20707 ALY
1PC 1-7-23 STF#2196 STC
2PCS 1-3-22 JO#20625 JARVIS
4pcs 12-22-22 jo20373 aly
4PCS 12-16-22 JO#20213 JARVIS
4pcs 11-26-22 JO#19730 JARVIS
4pcs 11-26-22 JO#19754 ALY
4PCS 11-25-22 JO#19749 ALY
4pcs 11-21-22 JO#19607 JARVIS
4pcs 11-19-22 jo19612 maribel
2PCS 11-18-22 JO#19248 JOJO
4pcs 11-17-22 JO#19540 JARVIS
2pcs 11-11-22 JO#19396 JARVIS
1PC 11-7-22 JO#19312 BEL
2PCS 11-1-22 JO#19145 BEL
4PCS 10-18-22 JO#18862 JARVIS
4PC 10-04-22 JO18560 JARVIS
4PC 9-8-22 JO17910 MARIBEL
4PCS 8-29-22 JO#17704 MARIBEL
2PCS 8-19-22 STF#1937 SITE A
4PCS 8-11-22 JO#17267 ALY
4PCS 8-10-22 STF#1914 SITE A
2PC 7-16-22 JO16744 JARVIS
2pcs 7-4-22 JO# SALES
2PCS 7-4-22 STF#1856 SPC
4PC 6-25-22 JO16260 SALES</t>
        </r>
      </text>
    </comment>
    <comment ref="G405" authorId="0" shapeId="0" xr:uid="{983B7B7D-19C4-0B4D-9B3B-AAEB3E35ABEC}">
      <text>
        <r>
          <rPr>
            <sz val="10"/>
            <rFont val="SimSun"/>
            <charset val="134"/>
          </rPr>
          <t>1PC  7-7-23 SPC
4PCS 6-29-23 SPC
2PCS 6-7-23 SPC
4PCS 5-29-23 STF#8177 SPC
4pcs 5-22-23 STF#8141 SPC
2PCS 4-19-23 STF#8012 SPC
4PCS 3-30-23 STF#7926 SPC
2PCS 1-3-22 STF#2267 LIPA A
2PCS 12-19-22 STF#7403 SPC
6PCS 12-3-22 STF#7323 SPC
8PCS 10-1-22 STF#7029 SPC
4PCS 9-27-22 STF#6994 SPC
1PC  9-15-22 STF#6935 SPC
4PCS 7-9-22 STF#6605 SPC
4PCS 6-24-22 STf#6536 SPC
4PCS 6-2-22 STF#6428 SPC
2PCS - 10/25/2021 ST001581 LIPA A</t>
        </r>
      </text>
    </comment>
    <comment ref="H405" authorId="0" shapeId="0" xr:uid="{1D2757D1-D25B-E846-994D-7A490795CB8A}">
      <text>
        <r>
          <rPr>
            <sz val="10"/>
            <rFont val="SimSun"/>
            <charset val="134"/>
          </rPr>
          <t>4pcs 7-30-23 sta cruz
2PCS 7-8-23 JO#26601 RSOE
2PCS 6-12-23  JO#25961 BEL
2PCS 6-5-23 JO#25742 ROSE
4PCS 5-26-23 JO#24958 BEL
2PCS 5-10-23 JO25212 ROSE 
2PCS 5-9-23 JO#25168 ROSE
2pcs 4-17-23 STF#2402 LIPA A
2PCS 1-3-22 JO#20622 JARVIS
4PCS 12-29-22 JO#20495 BEL
2PC 12-17-22 JO20233 JARVIS
4PCS 12-13-22 STF#2146 SPC
4PCS 12-2-22 JO#19902 ALY
2PCS 11-26-22 JO#19792 JARVIS
4pc 11-19-22 jo19580 jarvis
2PC 10-23-22 JO18984 ALY
2PC 10-23-22 JO18983 ALY
4PCS 9-24-22 JO#18344 BEL
1PC 9-13-22 JO#18035 ALY
4PC 6-20-22 JO16134 SALES
4PCS - 10/29/2021 JO11527 JARVIS</t>
        </r>
      </text>
    </comment>
    <comment ref="G406" authorId="0" shapeId="0" xr:uid="{45793AC9-FEB2-4843-88B4-229D7F49BFC2}">
      <text>
        <r>
          <rPr>
            <sz val="10"/>
            <rFont val="SimSun"/>
            <charset val="134"/>
          </rPr>
          <t>4PCS 6-29-23 SPC
2pcs 5-22-23 STF#8141 SPC
4pcs 4-27-23 STF#8051 SPC
2pcs 2-13-23 stf#7677 spc
8PCS 10-1-22 STF#7029 SPC
2PCS 7-13-22 STF#6626 SPC
4PCS 7-9-22 STF#6605 SPC</t>
        </r>
      </text>
    </comment>
    <comment ref="H406" authorId="0" shapeId="0" xr:uid="{39E23194-C02F-0542-B5E2-BD5C3032E063}">
      <text>
        <r>
          <rPr>
            <sz val="10"/>
            <rFont val="SimSun"/>
            <charset val="134"/>
          </rPr>
          <t>2pcs 8-31-23 DR#72243 LIPA A
4pcs 8-16-23 JO#27564 ROSE
2PCS 8-10-23 JO#27386 BEL
2PCS 6-8-23 JO#25861 JARVIS
1PC 5-23-23 JO#25499 BEL
OUT 2PCS 5-5-23 STFG#2441 LIPA A
2pcs 3-27-23 STF#2368 SPC
2PCS 1-12-23 JO#20881 BEL
4PCS 12-27-22 STF#2172 SPC
4PC 12-17-22 JO20232 JARVIS
2PC 7-11-22 JO16508 OFFICE</t>
        </r>
      </text>
    </comment>
    <comment ref="G407" authorId="0" shapeId="0" xr:uid="{5AE301B9-E5A2-134B-AAF4-4CC010DA2DFE}">
      <text>
        <r>
          <rPr>
            <sz val="10"/>
            <rFont val="SimSun"/>
            <charset val="134"/>
          </rPr>
          <t>IN 4PCS 10/11/24 DR#33551 SVB
4pcs 11-14-23 svb
2pcs 8-9-23 dr# spc
4PCS 8-9-23 DR#73270 LIPA A
4PCS 7-11-23 DR#73241 SPC
4PCS 7-7-23 SPC
4PCS 7-6-23 SPC
2PCS 6-23-23 SPC
3PCS 6-14-23 SPC
5PCS 6-12-23 STF#2454 LIPA A
4PCS 5-29-23 STF#8177 SPC
4pcs 5-2-23 STF#8060 SPC
4pcs 4-27-23 STF#8051 SPC
4PCS 3-30-23 STF#7926 SPC
2PCS 9-9-22 STF#6904 SPC
2PCS 9-5-22 STF#6875 SPC
4PCS 8-16-22 STF#6788 SPC
4PCS 7-9-22 STF#6605 STC
2P[CS 7-1-22 STF#6567 SPC
2PCS 6-24-22 STf#6536 SPC
4PCS 6-22-22 STF#6519 SPC
1PC 12-10-21 STF#5640 SPC</t>
        </r>
      </text>
    </comment>
    <comment ref="H407" authorId="0" shapeId="0" xr:uid="{206E70EC-CE8C-5448-932D-11022ECFCE94}">
      <text>
        <r>
          <rPr>
            <sz val="10"/>
            <rFont val="SimSun"/>
            <charset val="134"/>
          </rPr>
          <t>10/11/24
38361 4PCS SALES ALY
2pcs 11-15-23 29516 LEN
2PCS 11-15-23 29503 ROSE
2PCS 8-16-23 JO#27562 ROSE
2PCS 8-16-23 JO#27561 ROSE
2PCS 8-15-23 JO#27514 BEL
2PCS 8-9-23 JO#27284 ROSE
2PCS 7-24-23 JO#26952 ROSE
4PCS 7-7-23 JO#26578 ROSE
4PCS 6-23-23 JO#26243 ROSE
2PCS 6-19-23 JO#26076 EOSE
4PCS 6-12-23 JO#25975 ROSE
1PC 6-12-23 JO#25974 ROSE
2PCS 6-12-23 JO#25991 JARVIS
4PCS 5-23-23 JO#25509 JARVIS
4pcs 5-23-23 stF#2471 spc
2PCS 4-25-23 STF#2425 LIPA A
2PCS 4-8-23 STF#2383 LIPA A
2PCS 9-10-22 JO#17986 ALY
2PC 9-6-22 JO17893 ALY
4pcs 8-17-22 STF#1932 SITE A
2PCS 8-9-22 STF#1911 STC
2PCS 8-6-22 STF#1908 SPC
2PC 7-1-22 JO#16363 2PC MARLO
2PC 7-01-22 JO#16387 2PC ALY 
2PC 6-23-22 JO16183 SALES
1PC 12-29-21 STF#1565 SPC</t>
        </r>
      </text>
    </comment>
    <comment ref="G408" authorId="0" shapeId="0" xr:uid="{8A54A45C-151B-5F4D-B3D4-5CF68C9643B2}">
      <text>
        <r>
          <rPr>
            <sz val="10"/>
            <rFont val="SimSun"/>
            <charset val="134"/>
          </rPr>
          <t>4PCS 2-21-23 STF#7711 SPC
4PCS 9-28-22 STF#7013 SPC</t>
        </r>
      </text>
    </comment>
    <comment ref="H408" authorId="0" shapeId="0" xr:uid="{F39322C3-A8CC-EA45-8987-75F7500D98AA}">
      <text>
        <r>
          <rPr>
            <sz val="10"/>
            <rFont val="SimSun"/>
            <charset val="134"/>
          </rPr>
          <t>4PCS 2-22-23 JO#21901 JARVIS
4PCS 10-1-22 JO#18447 SALES</t>
        </r>
      </text>
    </comment>
    <comment ref="G410" authorId="0" shapeId="0" xr:uid="{5CA2CCF9-0808-824A-8280-2D09C95DA229}">
      <text>
        <r>
          <rPr>
            <sz val="10"/>
            <rFont val="SimSun"/>
            <charset val="134"/>
          </rPr>
          <t>4pcs 8-11-23 DR#73272 LIPA A
4PCS 7-7-23 SPC
4PCS 6-22-23 SPC
2PCS 6-21-23 STF#2460 SPC
2PCS 6-14-23 SPC
4pcs 5-2-23 STF#8060 SPC</t>
        </r>
      </text>
    </comment>
    <comment ref="H410" authorId="0" shapeId="0" xr:uid="{228DA3B6-37F1-E645-88E1-B69E0FF1C38F}">
      <text>
        <r>
          <rPr>
            <sz val="10"/>
            <rFont val="SimSun"/>
            <charset val="134"/>
          </rPr>
          <t>4PCS 8-11-23 JO#27440 BEL
4PCS 8-10-23 JO#27393 JARVIS
4PCS 6-22-23 JO#26236 JARVIS
4PCS 6-21-23 JO#26199 BEL
4PCS 6-10-23 JO#25923 MARLO</t>
        </r>
      </text>
    </comment>
    <comment ref="G411" authorId="0" shapeId="0" xr:uid="{3CB2EA9F-CFE1-4D48-88A7-1C970AA5A1AD}">
      <text>
        <r>
          <rPr>
            <sz val="10"/>
            <rFont val="SimSun"/>
            <charset val="134"/>
          </rPr>
          <t>4PCS 8-12-23 SPC
1PC 8-11-23 DR#73271 LIPA A
2PCS 8-1-23 DR#74954 SPC
8PCS 6-29-23 SPC
4PCS 6-21-23 STF#2460 LIPA A
4PCS 6-7-23 SPC
8pcs 5-2-23 STF#8060 SPC</t>
        </r>
      </text>
    </comment>
    <comment ref="H411" authorId="0" shapeId="0" xr:uid="{10609082-4918-B242-9529-D24AD810CDD0}">
      <text>
        <r>
          <rPr>
            <sz val="10"/>
            <rFont val="SimSun"/>
            <charset val="134"/>
          </rPr>
          <t>4pcs 8-28-23 DR#72237 SPC
4PCS 8-11-23 JO#27416 BEL
1PC 8-10-23 JO#27290 ROSE
4PCS 7-29-23 JO#27094 ROSE
2PCS 7-18-23 JO#26798 JARVIS
4PCS 6-21-23 JO#26182 ROSE
4PCS 6-19-23 JO#26145 BEL
4PCS 6-1-23 JO#25706 JARVIS
4PCS 5-17-23 JO#25353 BEL</t>
        </r>
      </text>
    </comment>
    <comment ref="G412" authorId="0" shapeId="0" xr:uid="{D0B59F54-DD2D-A14C-88C5-28930CEB41C9}">
      <text>
        <r>
          <rPr>
            <sz val="10"/>
            <rFont val="SimSun"/>
            <charset val="134"/>
          </rPr>
          <t xml:space="preserve">
4PCS 3-30-23 STF#7926 SPC
4PCS 12-20-22 STF#7413 SPC
4PCS 11-22-22 STF#7265 SPC
4PCS 11-21-22 STF#7261 SPC</t>
        </r>
      </text>
    </comment>
    <comment ref="H412" authorId="0" shapeId="0" xr:uid="{29867E77-367C-A744-8BDC-B13C8FC918C0}">
      <text>
        <r>
          <rPr>
            <sz val="10"/>
            <rFont val="SimSun"/>
            <charset val="134"/>
          </rPr>
          <t>4PCS 5-13-23 JO25275 MARIBEL
4pcs 1-9-23 stf#2200 spc
2PC 12-13-22 JO20119 ALY
4pcs 12-5-22 jo#20000 ALY
2PCS 12-3-22 JO#19964 JARVIS</t>
        </r>
      </text>
    </comment>
    <comment ref="G413" authorId="0" shapeId="0" xr:uid="{7C4C5578-ACBE-5C47-9FD4-F52A2DAFF05A}">
      <text>
        <r>
          <rPr>
            <sz val="10"/>
            <rFont val="SimSun"/>
            <charset val="134"/>
          </rPr>
          <t>2PCS 8-23-23 DR#73286 MARLO
4PCS 5-29-23 STF#8177 SPC
4PCS 5-31-23 STF#8186 SPC</t>
        </r>
      </text>
    </comment>
    <comment ref="H413" authorId="0" shapeId="0" xr:uid="{666FB1B4-EF45-424C-B881-FBA0573F9981}">
      <text>
        <r>
          <rPr>
            <sz val="10"/>
            <rFont val="SimSun"/>
            <charset val="134"/>
          </rPr>
          <t>4pcs 8-20-23 dr#72228 spc
2PCS 8-16-23 JO#27541 MARLO
2PCS 6-20-23 JO#26176 BEL</t>
        </r>
      </text>
    </comment>
    <comment ref="G414" authorId="0" shapeId="0" xr:uid="{25F8DD90-CFEA-6746-BE32-1E11ABD94156}">
      <text>
        <r>
          <rPr>
            <sz val="10"/>
            <rFont val="SimSun"/>
            <charset val="134"/>
          </rPr>
          <t>4PCS 7-11-23 DR#72629 LIPA A
2pcs 6-17-23 SPC
4pcs 5-2-23 STF#8060 SPC</t>
        </r>
      </text>
    </comment>
    <comment ref="H414" authorId="0" shapeId="0" xr:uid="{F8F99F37-078A-3240-BF06-4F7438579523}">
      <text>
        <r>
          <rPr>
            <sz val="10"/>
            <rFont val="SimSun"/>
            <charset val="134"/>
          </rPr>
          <t xml:space="preserve">4PCS 8-18-23 JO#27578 MARLO
2PCS 7-22-23 JO#26895 ROSE
4PCS 7-11-23 JO#26669 MARIBEL
2PCS 6-17-23 JO#26121 JARVIS
4PCS 5-8-23 JO#25149 BEL
</t>
        </r>
      </text>
    </comment>
    <comment ref="G416" authorId="0" shapeId="0" xr:uid="{30D974DA-E457-9243-B6D5-F456371BD1A3}">
      <text>
        <r>
          <rPr>
            <sz val="10"/>
            <rFont val="SimSun"/>
            <charset val="134"/>
          </rPr>
          <t>IN 2PCS 12.23.25 DR02879 MS TIRE (6,500)
IN 2PCS 4.24.25 DR#83180 SUN PRINCE
2pcs 10-24-23 DR#74356 SPC
4PCS 8-2-23 DR#74056 SPC
4PCS 7-7-23 SPC
4PCS 5-29-23 STF#8177 SPC
4PCS 12-6-22 STF#7339 SPC
4PCS 11-21-22 STF#7261 SPC
6PCS 10-21-22 STF#7131 SPC
4PCS 9-17-22 STF#6940 SPC
4PCS 7-9-22 STF#6605 SPC
4PCS 7-6-22 STF#6587 SPC
2pcs 6-23-22 STF#6532 SPC
4pcs 6-11-22 STF#6481 SPC
3PC 03-14-2022 ST006060 SPC
1PC 02-18-22 ST005935 SPC
4PCS 1-12-22 STF#5760 SPC
4PCS - 11/20/2021 ST005552 SPC</t>
        </r>
      </text>
    </comment>
    <comment ref="H416" authorId="0" shapeId="0" xr:uid="{A23A253A-89E3-BE40-B3B6-DB70DE490FDE}">
      <text>
        <r>
          <rPr>
            <sz val="10"/>
            <rFont val="SimSun"/>
            <charset val="134"/>
          </rPr>
          <t>12-23-25
2 PCS 53556 JARVIS
4-25-25
2 PCS 45564 JARVIS
2pcs 11-21-23 DR#74279 SPC
4PCS 8-2-23 JO#27135 JARVIS
4PCS 7-16-23 DR#73870 LIPA A
4PCS 6-14-23 JO#26018 JARVIS
2PCS 12-19-22 STF#2161 SPC
4PCS 12-6-22 JO#200593 BEL
2PCS 11-26-22 STF#2093 SITE A
2PCS 11-16-22 ST002072 SPC
2PCS 11-5-22 STF#2057 SITE A
2PCS 11-1-22 JO#19112 ALY
4PC 10-04-22 JO18555 JARVIS
2PCS 9-17-22 STF#1975 SPC
2PCS 9-12-22 JO#18051 PAUL
4PCS 8-24-22 STF#1941 SITE A
4PC 6-24-22 JO16196 SALES
2PC 6-23-22 JO16218 SALES
4PCS 4-12-22 STF#1728 SPC
4PCS 2-9-22 STF#1630 SPC
2PCS 11-30-21 JO#12149 MARLO
2PCS 11-22-21 JO#12041 MARIBEL</t>
        </r>
      </text>
    </comment>
    <comment ref="G418" authorId="0" shapeId="0" xr:uid="{B29C4066-D92C-674D-84F6-66208FDF26A5}">
      <text>
        <r>
          <rPr>
            <sz val="10"/>
            <rFont val="SimSun"/>
            <charset val="134"/>
          </rPr>
          <t>4PCS  8-22-23 DR#74152 S[PC
2PCS 6-3-23 ST008198 SPC
4pcs 4-27-23 STF#8051 SPC
4PCS 3-30-23 STF#7926 SPC
4pcs 1-21-23 stf#7544 spc
1PC 10-17-22 STF#7111 SPC
4pcs 8-25-22 STF#6832 SPC
2PCS 8-22-22 STF#6812 SPC
4PCS 8-16-22 STF#6788 SPC
2PCS 8-12-22 STF#6770 SPC
4PCS 7-28-22 STF#0760 STC
4pcs 7-9-22 STF#6605 SPC
4PCS 6-2-22 STF#6428 SPC</t>
        </r>
      </text>
    </comment>
    <comment ref="H418" authorId="0" shapeId="0" xr:uid="{FE5A844F-8E84-E24D-9935-58823C62028A}">
      <text>
        <r>
          <rPr>
            <sz val="10"/>
            <rFont val="SimSun"/>
            <charset val="134"/>
          </rPr>
          <t>4PCS 8-22-23 JO#27659 JARVIS
4PCS 6-3-23 JO#25755 JARVIS
2PCS 4-30-23 JO#24930 MARLO
4PCS 4-12-23 ST002398 LIPA A
4PCS 1-30-23 JO#21365 BEL
4PCS 12-29-22 JO#20523 MARLO
5PCS 10-12-22 JO#18728 ALY
4PCS 7-30-22 STF#2061 SPC
4PC 7-21-22 JO16844 ALY
4pcs 6-27-22 STF#1841 STC</t>
        </r>
      </text>
    </comment>
    <comment ref="G419" authorId="0" shapeId="0" xr:uid="{89F0D952-8333-9444-B26D-DCE8F91F1CFF}">
      <text>
        <r>
          <rPr>
            <sz val="10"/>
            <rFont val="SimSun"/>
            <charset val="134"/>
          </rPr>
          <t>4PCS 6-29-23 SPC
2PCS 5-29-23 STF#8177 SPC
4pcs 4-27-23 STF#8051 SPC</t>
        </r>
      </text>
    </comment>
    <comment ref="H419" authorId="0" shapeId="0" xr:uid="{FDD0E825-A654-2840-ABD8-01E77AFA7310}">
      <text>
        <r>
          <rPr>
            <sz val="10"/>
            <rFont val="SimSun"/>
            <charset val="134"/>
          </rPr>
          <t>4PCS 8-4-23 DR#72202 SPC
2PCS 5-5-23 JO#25088 JARVIS</t>
        </r>
      </text>
    </comment>
    <comment ref="G420" authorId="0" shapeId="0" xr:uid="{984A89F8-9112-B149-ADBD-A9703E845394}">
      <text>
        <r>
          <rPr>
            <sz val="10"/>
            <rFont val="SimSun"/>
            <charset val="134"/>
          </rPr>
          <t>2PCS 11-13-23 DR#74403 SPC
2PCS 10-1-22 STF#7033 SPC
4PC 8-20-22 STF#6808 SPC</t>
        </r>
      </text>
    </comment>
    <comment ref="H420" authorId="0" shapeId="0" xr:uid="{83DA0CC3-6B9A-D940-A2F3-4CCC354DBCDD}">
      <text>
        <r>
          <rPr>
            <sz val="10"/>
            <rFont val="SimSun"/>
            <charset val="134"/>
          </rPr>
          <t>2PCS 12-27-23 STA CRUZ
4PC 10-01-22 JO18479 ALY
2PCS 9-9-22 JO#17991 MARLO</t>
        </r>
      </text>
    </comment>
    <comment ref="G421" authorId="0" shapeId="0" xr:uid="{30F21AEC-5966-AF48-BDD3-0A919616BBCB}">
      <text>
        <r>
          <rPr>
            <sz val="10"/>
            <rFont val="SimSun"/>
            <charset val="134"/>
          </rPr>
          <t>4pcs 1-26-22 STF#5812 SPC</t>
        </r>
      </text>
    </comment>
    <comment ref="H421" authorId="0" shapeId="0" xr:uid="{14044078-5179-8949-BD8C-06A24C4611CF}">
      <text>
        <r>
          <rPr>
            <sz val="10"/>
            <rFont val="SimSun"/>
            <charset val="134"/>
          </rPr>
          <t>4PC 03-22-22 ST001688 STC
2PCS 12-15-21 JO#12372 LIZA</t>
        </r>
      </text>
    </comment>
    <comment ref="G422" authorId="0" shapeId="0" xr:uid="{36624BC8-B7EC-7B44-97C2-F509AB242D0A}">
      <text>
        <r>
          <rPr>
            <sz val="10"/>
            <rFont val="SimSun"/>
            <charset val="134"/>
          </rPr>
          <t>4pcs 1-26-22 STF#5812 SPC</t>
        </r>
      </text>
    </comment>
    <comment ref="H422" authorId="0" shapeId="0" xr:uid="{98818195-383A-4B4F-8DAF-B7A71B790A88}">
      <text>
        <r>
          <rPr>
            <sz val="10"/>
            <rFont val="SimSun"/>
            <charset val="134"/>
          </rPr>
          <t>4PC 03-22-22 ST001688 STC
2PCS 12-15-21 JO#12372 LIZA</t>
        </r>
      </text>
    </comment>
    <comment ref="G423" authorId="0" shapeId="0" xr:uid="{3FB2ED9F-16B8-304C-B5AD-1C1B6AD6F76C}">
      <text>
        <r>
          <rPr>
            <sz val="10"/>
            <rFont val="SimSun"/>
            <charset val="134"/>
          </rPr>
          <t>4PCS 10-20-23 STA CRUZ
1PC 10-7-23 DR#73906 LIPA A
4pcs 4-27-23 STF#8051 SPC</t>
        </r>
      </text>
    </comment>
    <comment ref="H423" authorId="0" shapeId="0" xr:uid="{A9844D46-3589-D44F-B7CD-BF781E33F320}">
      <text>
        <r>
          <rPr>
            <sz val="10"/>
            <rFont val="SimSun"/>
            <charset val="134"/>
          </rPr>
          <t>3PCS 11-7-23 DR#74256 SPC
4PC 03-22-22 ST001688 STC
2PCS 12-15-21 JO#12372 LIZA</t>
        </r>
      </text>
    </comment>
    <comment ref="G426" authorId="0" shapeId="0" xr:uid="{DE36C40E-03F6-4449-89CC-96E648B1B636}">
      <text>
        <r>
          <rPr>
            <sz val="10"/>
            <rFont val="SimSun"/>
            <charset val="134"/>
          </rPr>
          <t xml:space="preserve">4PCS 3.21.25 DR#006231 TIREWIZARD
2PCS TIREWIZARD </t>
        </r>
      </text>
    </comment>
    <comment ref="H426" authorId="0" shapeId="0" xr:uid="{55B11404-D13B-AD49-BDFA-16785661E366}">
      <text>
        <r>
          <rPr>
            <sz val="10"/>
            <rFont val="SimSun"/>
            <charset val="134"/>
          </rPr>
          <t>3.23.25
44258 4PCS ALY
2PCS 1-4-22 JO#12749 JARVIS</t>
        </r>
      </text>
    </comment>
    <comment ref="G428" authorId="0" shapeId="0" xr:uid="{86226A1A-D8F6-7548-B26A-6F8849764028}">
      <text>
        <r>
          <rPr>
            <sz val="10"/>
            <rFont val="SimSun"/>
            <charset val="134"/>
          </rPr>
          <t>IN 4PCS 11.8.25 DR#005481 TIREWIZARD (4,824.40)
4PCS 6.12.25 SI#9497 MS TIRE (6,100)
4pcs 5-2-23 STF#8060 SPC</t>
        </r>
      </text>
    </comment>
    <comment ref="H428" authorId="0" shapeId="0" xr:uid="{D421D24E-45B5-C243-8A28-66AD91ABECD8}">
      <text>
        <r>
          <rPr>
            <sz val="10"/>
            <rFont val="SimSun"/>
            <charset val="134"/>
          </rPr>
          <t>11-8-25
4 PCS 52095 ALY
6-12-25
4 PCS 47367 MARIBEL
4PCS 6-10-23 JO#25938 BEL</t>
        </r>
      </text>
    </comment>
    <comment ref="G429" authorId="0" shapeId="0" xr:uid="{E9A0043A-AC03-A74E-93C3-8D1DBC0EDF79}">
      <text>
        <r>
          <rPr>
            <sz val="10"/>
            <rFont val="SimSun"/>
            <charset val="134"/>
          </rPr>
          <t>2pcs 6-21-23 STF#2460 LIPA A
4pcs 5-2-23 STF#8060 SPC
8PCS 8-16-22 STF#6788 SPC</t>
        </r>
      </text>
    </comment>
    <comment ref="H429" authorId="0" shapeId="0" xr:uid="{5F221866-CA69-0E4B-A20F-807C0FC1114B}">
      <text>
        <r>
          <rPr>
            <sz val="10"/>
            <rFont val="SimSun"/>
            <charset val="134"/>
          </rPr>
          <t>2PCS 6-21-23 JO#26202 BEL
2PCS 6-14-23 JO#26035 MARLO
2PCS 9-15-22 JO#18098 BEL
2PCS 9-5-22 JO#17862 BEL
4PCS 8-18-22 STF#1935 SPC</t>
        </r>
      </text>
    </comment>
    <comment ref="G430" authorId="0" shapeId="0" xr:uid="{0CCD1A8F-A0D4-964A-81F6-40DD1B782367}">
      <text>
        <r>
          <rPr>
            <sz val="10"/>
            <rFont val="SimSun"/>
            <charset val="134"/>
          </rPr>
          <t>2PCS 7-21-23 S=DR#74029 SPC
4PCS 6-29-23 SPC</t>
        </r>
      </text>
    </comment>
    <comment ref="H430" authorId="0" shapeId="0" xr:uid="{6F4E6A1B-1268-584C-85F3-B8EA22589160}">
      <text>
        <r>
          <rPr>
            <sz val="10"/>
            <rFont val="SimSun"/>
            <charset val="134"/>
          </rPr>
          <t>4pcs 8-4-23 dr#73899 lipa a
4PCS 8-2-23 JO#27135 ROSE
2PCS 7-19-23 JO#26850 MARLO</t>
        </r>
      </text>
    </comment>
    <comment ref="G431" authorId="0" shapeId="0" xr:uid="{D04A5156-D776-0740-92B0-6C8C6ABAA5ED}">
      <text>
        <r>
          <rPr>
            <sz val="10"/>
            <rFont val="SimSun"/>
            <charset val="134"/>
          </rPr>
          <t>IN 2PCS 05/02/24 DR#31979 SVB
4PCS 7-12-23 DR#73245 SPC
4pcs 5-2-23 STF#8060 SPC</t>
        </r>
      </text>
    </comment>
    <comment ref="H431" authorId="0" shapeId="0" xr:uid="{CD797080-4DDB-474E-A4F8-90B9964CF60A}">
      <text>
        <r>
          <rPr>
            <sz val="10"/>
            <rFont val="SimSun"/>
            <charset val="134"/>
          </rPr>
          <t>OUT 05/02/24 33914 2PCS SALES ROSE
2PCS 9-4-23 JO#27934 JARVIS
2PCS 8-5-23 JO#27255 JHARVIS
4pcs  6-16-23-23 stf#2510 lipa a served 6-10-23</t>
        </r>
      </text>
    </comment>
    <comment ref="G432" authorId="0" shapeId="0" xr:uid="{5084649B-6928-AE43-A7D3-BE856039B2B2}">
      <text>
        <r>
          <rPr>
            <sz val="10"/>
            <rFont val="SimSun"/>
            <charset val="134"/>
          </rPr>
          <t>12PCS 6-29-23 SPC
4PCS 6-16-23 STF#1035 STA CRUZ
4PCS 5-31-23 STF#8186 SPC
4P[CS 4-30-23 STF#2407 LIPA A
4pcs 4-18-23 STF#8008 SPC
4PCS 4-2-23  STF#7949 SPC
4PCS 3-30-23 STF#7930 SPC</t>
        </r>
      </text>
    </comment>
    <comment ref="H432" authorId="0" shapeId="0" xr:uid="{22642296-F0A7-2A44-A29C-C1AAE703F143}">
      <text>
        <r>
          <rPr>
            <sz val="10"/>
            <rFont val="SimSun"/>
            <charset val="134"/>
          </rPr>
          <t>4pcs 8-29-23 DR#72240 LIPA A
4PCS 8-17-23 JO#27535 BEL
4PCS 7-2-23 JO#26462 BEL
4PCS 7-1-23 JO#26431 MARLO
4PCS 7-1-23 JO#26415 BEL
4PCS 6-24-23 JO#26259 JARVIS
2PCS 6-16-23 JO#26093 BEL
2PCS 6-13-23 JO#26010 BEL
4PCS 5-8-23 JO#25156 JARVIS
4pcs 4-21-23 JO#24750 JARVIS
4PCS 4-2-23 JO#23806 JARVIS
4PCS 3-31-23 JO#23749 JARVIS</t>
        </r>
      </text>
    </comment>
    <comment ref="G434" authorId="0" shapeId="0" xr:uid="{6E93A190-8843-0F47-BE34-2265ACD192A1}">
      <text>
        <r>
          <rPr>
            <sz val="10"/>
            <rFont val="SimSun"/>
            <charset val="134"/>
          </rPr>
          <t>4PCS 8-12-23 DR# LIPA A
4PCS SPC
4pcs 5-2-23 STF#8060 SPC
2pcs 4-27-23 STF#8051 SPC
4PCS 3-30-23 STF#7930 SPC</t>
        </r>
      </text>
    </comment>
    <comment ref="H434" authorId="0" shapeId="0" xr:uid="{7ED29F0A-9F28-7E4F-BD22-83C731CA39BF}">
      <text>
        <r>
          <rPr>
            <sz val="10"/>
            <rFont val="SimSun"/>
            <charset val="134"/>
          </rPr>
          <t>4PCS 8-12-23 JO#27454 BEL
2PCS 8-12-23 JO#27427 JARVIS
4PCS 7-10-23 JO#26637 BEL
4PCS 5-3-23 JO#25008 JARVIS
4PCS 5-1-23 JO#25012 BEL
2pcs 4-21-23 JO#24750 JARVIS</t>
        </r>
      </text>
    </comment>
    <comment ref="G435" authorId="0" shapeId="0" xr:uid="{101DB3E1-12A2-B543-9659-258A320FAF58}">
      <text>
        <r>
          <rPr>
            <sz val="10"/>
            <rFont val="SimSun"/>
            <charset val="134"/>
          </rPr>
          <t>2PCS 10-13-23 DR#74234 SPC
4PCS 5-26-23 STF#8167 SPC</t>
        </r>
      </text>
    </comment>
    <comment ref="H435" authorId="0" shapeId="0" xr:uid="{09547012-B492-EE40-99F0-B7AEB55FA729}">
      <text>
        <r>
          <rPr>
            <sz val="10"/>
            <rFont val="SimSun"/>
            <charset val="134"/>
          </rPr>
          <t>2PCS 10-28-23 DR#73944 SPC
4PCS 9-27-23 DR#72291 LIPA A</t>
        </r>
      </text>
    </comment>
    <comment ref="G436" authorId="0" shapeId="0" xr:uid="{D94E49EE-535A-6648-8FF4-9D5C4F0BC0ED}">
      <text>
        <r>
          <rPr>
            <sz val="10"/>
            <rFont val="SimSun"/>
            <charset val="134"/>
          </rPr>
          <t>4PCS 8-4-23 DR#74061 SPC</t>
        </r>
      </text>
    </comment>
    <comment ref="H436" authorId="0" shapeId="0" xr:uid="{2565EE27-A89A-AD40-81E1-D0819B62096C}">
      <text>
        <r>
          <rPr>
            <sz val="10"/>
            <rFont val="SimSun"/>
            <charset val="134"/>
          </rPr>
          <t>3PCS 9-29-23 DR#72295 SPC
1PC 8-18-23 JO#27593 BEL</t>
        </r>
      </text>
    </comment>
    <comment ref="G437" authorId="0" shapeId="0" xr:uid="{B6BC6BB0-01C4-364B-AF22-0A8A42F15E98}">
      <text>
        <r>
          <rPr>
            <sz val="10"/>
            <rFont val="SimSun"/>
            <charset val="134"/>
          </rPr>
          <t>4pcs 2-18-23 STF#7696 SPC
4PCS 12-12-22 JO#7369 SPC</t>
        </r>
      </text>
    </comment>
    <comment ref="H437" authorId="0" shapeId="0" xr:uid="{7968C30D-F129-6345-B73F-7288BE48F0DC}">
      <text>
        <r>
          <rPr>
            <sz val="10"/>
            <rFont val="SimSun"/>
            <charset val="134"/>
          </rPr>
          <t>4PCS 2-17-23 JO#21756 OFFICE
4pcs 12-28-22 JO#20521 MARLO</t>
        </r>
      </text>
    </comment>
    <comment ref="G441" authorId="0" shapeId="0" xr:uid="{3F43DD72-C58F-9144-B5C6-1E601E4B26A4}">
      <text>
        <r>
          <rPr>
            <sz val="10"/>
            <rFont val="SimSun"/>
            <charset val="134"/>
          </rPr>
          <t xml:space="preserve">4PC 03-02-2022  ST005995 SPC
</t>
        </r>
      </text>
    </comment>
    <comment ref="H441" authorId="0" shapeId="0" xr:uid="{885D472E-6093-CE44-A1D4-F560C6FD3FDA}">
      <text>
        <r>
          <rPr>
            <sz val="10"/>
            <rFont val="SimSun"/>
            <charset val="134"/>
          </rPr>
          <t>4PC 03-02-2022 JO13832 SALES</t>
        </r>
      </text>
    </comment>
    <comment ref="G442" authorId="0" shapeId="0" xr:uid="{B7DB2ACD-EB81-CF4A-B034-B73BFC23AFC3}">
      <text>
        <r>
          <rPr>
            <sz val="10"/>
            <rFont val="SimSun"/>
            <charset val="134"/>
          </rPr>
          <t>1PC 7-6-23 SPC
4PCS 6-29-23 SPC
4pcs 4-27-23 STF#8051 SPC
4PCS 1-12-23 STf#7503 SPC
4PCS 11-21-22 STF#7261 SPC
2PCS 9-9-22 STF#6904 SPC
6PCS 9-8-22 STF#6898 SPC
2PCS 9-8-22 STF#6894 SPC</t>
        </r>
      </text>
    </comment>
    <comment ref="H442" authorId="0" shapeId="0" xr:uid="{5D598606-19D8-EF46-81C7-57F3B3706D63}">
      <text>
        <r>
          <rPr>
            <sz val="10"/>
            <rFont val="SimSun"/>
            <charset val="134"/>
          </rPr>
          <t>5PCS 7-6-23 JO#26554 MARLO
4PCS 6-15-23 JO#26061 BEL
4PCS 1-24-23 JO#21196 BEL
4PCS 11-24-22 STF#2088 SITE A 
4PCS 11-10-22 STF#2064 SPC
4pc 9-22-22 jo18265 jarvis
2PC 9-8-22 JO17932 JARVIS</t>
        </r>
      </text>
    </comment>
    <comment ref="G447" authorId="0" shapeId="0" xr:uid="{CE858149-74CC-9040-8945-A95A87C0DBA3}">
      <text>
        <r>
          <rPr>
            <sz val="10"/>
            <rFont val="SimSun"/>
            <charset val="134"/>
          </rPr>
          <t>IN 2PCS 05/11/24 DR#32081 SVB</t>
        </r>
      </text>
    </comment>
    <comment ref="H447" authorId="0" shapeId="0" xr:uid="{04D6C5CC-8108-E449-9094-BE1F8C19652C}">
      <text>
        <r>
          <rPr>
            <sz val="10"/>
            <rFont val="SimSun"/>
            <charset val="134"/>
          </rPr>
          <t>OUT 05/13/24 34208 2PCS SALES ROSE</t>
        </r>
      </text>
    </comment>
    <comment ref="G448" authorId="0" shapeId="0" xr:uid="{929045CF-29F1-DA4A-BD74-3DE288759403}">
      <text>
        <r>
          <rPr>
            <sz val="10"/>
            <rFont val="SimSun"/>
            <charset val="134"/>
          </rPr>
          <t>1PC 7-14-23 DR#73250 SPC
3PCS 7-13-23 DR#73248 SPC
4PCS 6-8-23 STF#2449 LIPA A
4pcs 5-2-23 STF#8060 SPC
4PCS  12-20-22 STF#7415 SPC</t>
        </r>
      </text>
    </comment>
    <comment ref="H448" authorId="0" shapeId="0" xr:uid="{6328209F-FCBB-084C-92F6-61ACDAEE0C25}">
      <text>
        <r>
          <rPr>
            <sz val="10"/>
            <rFont val="SimSun"/>
            <charset val="134"/>
          </rPr>
          <t>4PCS 7-17-23 JO#26750 HANNAH
4PCS 6-8-23 JO#25866 JARVIS
4PCS 5-27-23 STF#2477 SPC
4PCS 12-28-22 STF#2179 SPC</t>
        </r>
      </text>
    </comment>
    <comment ref="G449" authorId="0" shapeId="0" xr:uid="{26F5B8BB-F2B3-6F42-A07F-A8F3FEAE9B02}">
      <text>
        <r>
          <rPr>
            <sz val="10"/>
            <rFont val="SimSun"/>
            <charset val="134"/>
          </rPr>
          <t>4PCS 5-24-23 STF#8155 SPC
4PCS  12-20-22 STF#7415 SPC</t>
        </r>
      </text>
    </comment>
    <comment ref="H449" authorId="0" shapeId="0" xr:uid="{009D04FA-0701-4C48-A6DC-C6BA2D32031A}">
      <text>
        <r>
          <rPr>
            <sz val="10"/>
            <rFont val="SimSun"/>
            <charset val="134"/>
          </rPr>
          <t>3pcs 1-7-24 DR#73366 SPC OLD DOT
1pc 8-16-23 DR#72221 SPC
4PCS 1-12-23 JO#20877 ALY</t>
        </r>
      </text>
    </comment>
    <comment ref="G451" authorId="0" shapeId="0" xr:uid="{46DCC1D8-23B3-B14D-B57C-0F675B8C219D}">
      <text>
        <r>
          <rPr>
            <sz val="10"/>
            <rFont val="SimSun"/>
            <charset val="134"/>
          </rPr>
          <t>4PCS 3.29.25 DR#77374 SPC
2PCS 11-4-23 DR# SPC 
4PCS 10-26-23 DR# SPC
4PCS 8-21-23 DR#732382 LIPA A
4PCS 7-25-23 DR#74033 SPC
2PCS 7-12-23 DR#73244 SPC
4PCS 7-7-23 SPC
4PCS 6-27-23 SPC
4PCS 6-23-23 SPC
4PCS 6-21-23 STF#2461  LIPA A
2PCS 6-7-23 SPC
4PCS 5-26-23 STF#8167 SPC
4pcs 5-22-23 STF#8141 SPC
4pcs 5-2-23 STF#8060 SPC
1PC 4-27-23 STf#8051 SPC
4PCS 3-30-23 STF#7926 SPC
8pcs 1-4-23 stf#7452 spc
2PCS 12-18-22 STF#896 STC
1PC 12-9-22 STF#7357 SPC
3PCS 12-8-22 STF#7354 SPC
4PCS 12-8-22 TF#2236 SITE A
2PCS 12-5-22 STf#7329 SPC
8PCS 11-19-22 STF#7260 SPC
4PCS 11-11-22 STF#2199 SITE A
4PCS  11-9-22 STF#7217 SPC
4PCS 11-8-22 STF#2191 SITE A
2PCS 11-8-22 STF#7210 SPC
2PCS 10-24-22 STF#7146 SPC
2PCS 10-8-22 STF#7076 SPC
8PCS 10-1-22 STF#7029 SPC
3PCS 9-28-22 STF#7004 SPC
3PCS 9-23-22 STF#6972 SPC
4PCS 9-15-22 STF#6924 SPC
4PCS 9-14-22 STF#2121 SPC
2PCS 9-7-22 ST006893 SPC
4PCS 8-23-22 STF#6818 SPC
4PCS  8-20-22 STF#6808 SPC
4PCS 8-16-22 STF#6788 SPC
2PCS 7-18-22 STF#6648 SPC
12PCS 7-9-22 STF#6605 SPC
2pcs 7-2-22 STF#6575 SPC
2P[CS 7-1-22 STF#6567 SPC
1PC 6-30-22 STF#6563 SPC
4PCS 6-22-22 STF#6519 SPC
4pcs 6-11-22 STF#6481 SPC
4PCS 6-11-22 STF#1967 LIPA A
4PCS 6-3-22 STF#6443 SPC
4PCS 6-2-22 STF#6428 SPC
4PCS 5-25-22 STF#705 STC
4PCS 5-23-22 STF#6383 SPC
2PCS 5-18-22 STF#6352 SPC
8PC 05-14-2022 ST006341 SPC
4PC 05-13-2022 ST006331 SPC
2PCS 4-21-22 STF#6226 SPC
8PC 04-11-2022 ST006192 SPC
2PC 03-07-ST000618 STC
2PC 03-05-2022 ST006016 STC
4PCS 2-4-22 STF#5867 SPC
4PCS 11-24-21 ST005566 SPC</t>
        </r>
      </text>
    </comment>
    <comment ref="H451" authorId="0" shapeId="0" xr:uid="{1BB10317-E966-8342-9037-B7D8FE3B116A}">
      <text>
        <r>
          <rPr>
            <sz val="10"/>
            <rFont val="SimSun"/>
            <charset val="134"/>
          </rPr>
          <t>3.29.25
44592 4pcs ROSE
4PCS 11-4-23 JO#29294 JARVIS
2PCS 11-4-23 JO#29271 BEL
4PCS 8-21-23 JO#27638 BEL
4PCS 8-15-23 JO#27490 JARVIS
4PCS 7-27-23 JO#27017 JARVIS
4PCS 7-17-23 JO#26795 JARVIS
4PCS 7-6-23 JO#26518 BEL
4pcs 6-26-23 JO#26316 BEL
4PCS 6-21-23 JO#26205 BEL
4PCS 6-19-23 JO#26139 BEL
4PCS 6-7-23 JO#25838 JARVIS
2PCS 5-25-23 JO#24955 BEL
4PCS 5-24-23 JO#25538 ROSE
4pcs 4-30-23 JO#24969 BEL
4PCS 12-20-22 JO#20249 ALY
2PCS 12-15-22 JO#20168 ALY
4PCS 12-8-22 JO#20031 BEL
4PCS 12-5-22 JO#200573 OFFICE
2PCS 12-4-22 JO#19990 BEL
4pcs 12-4-22 JO#19967 JARVIS
4PCS 11-11-22 JO#19422 MAM JEN
4PCS 11-10-22 JO#19349 JARVIS
4pcs 11-09-22 JO#19326 ALY 
4PC 11-8-22 JO19319 MARIBEL
2PC 11-5-22 JO19253 MARIBEL
4pcs 10-28-22 JO#19092 BEL
2PC 10-10-22 JO18679 MARIBEL
4PC 10-9-22 JO18667 ALY
2PC 10-02-22 JO18492 MARIBEL
4PC 9-26-22 JO18371 OFFICE
4PC 9-17-22 JO18178 MARIBEL
4PCS 9-14-22 JO#17950 OFFICE
4PCS 9-14-22 JO#18057 PAU
4PCS 9-14-22 JO#18093 BEL
2PC 9-6-22 JO17911 MARLO
4pc 8-27-22 jo17626 marlo
4pcs 8-19-22 STF#17483 JARVIS
2PCS 8-11-22 JO#17266 ALY
2PC 8-8-22 JO17106 OFFICE
4PC 7-15-22 JO16656 OFFICE
2PC 7-15-22 JO16655 OFFICE
2PC 07-*08-22 JO# 16507 OFFICE
2PC 7-4-22 JO16417 OFFICE
1PC 6-30-22 JO16240 OFFICE
2PCS 6-28-22 stf#1845 SPC
2PC 6-28-22 JO16296 PAUL
2PC 6-22-22 JO#16179 JARVIS 
4PC 6-18-22 JO16121 SALES
4PC 6-12-22 JO15893 SALES
4PC 6-11-22 JO15935 SALES
4PCS 6-10-22 JO15943 SALES
4PCS 6-9-22 JO#15906 ALY 
2PCS 5-31-22 JO#15717 SALES
4PCS 5-25-22 JO#15549 SALES
4PC 05-21-2022 JO15465 SALES
2PC 05-19-2022 JO15460 SALES
2PC 05-14-2022 JO15317 SALES
4PC 05-13-2022 JO15315 SALES
4PC 04-22-2022 JO14904 SALES
4PCS 4-20-22 JO#14812 SALES
2PC 04-13-22 JO14629 SALES
4PC 03-10-22 JO14014 ALY
2PC 02-18-22 JO13621  SALES
4PCS 2-9-22 JO#13448 ALY
4PCS 11-24-21 JO#12076 MARLO</t>
        </r>
      </text>
    </comment>
    <comment ref="G452" authorId="0" shapeId="0" xr:uid="{04E8662D-7AFD-FB44-9A1E-97AD76078F97}">
      <text>
        <r>
          <rPr>
            <sz val="10"/>
            <rFont val="SimSun"/>
            <charset val="134"/>
          </rPr>
          <t>IN 1PC 9.23.25 DR#79609 SPC 
IN 1PC 9.16.25 DR#79100 SPC HACKET
IN 4PCS 8.22.25 DR#79040 SPC 
IN 1PC 8.9.25 DR#383107 SHEEHAN (7,950)
IN 4PCS 5.28.25 DR#372039 Sheehan
IN 1PCS 5.26.25 DR#78753 SOC BRIAN
IN 2PCS 4.5.25 DR#77392 SPC MIKE
2PCS 3.16.25 DR#77428 SPC
1PC 03-03-25 ST#2479 BINAN
IN 12PCS 2.27.25 DR#77070 LIPA A
IN 15PCS 2.26.25 DR#77037 SPC HACKET
IN 4PCS 2.18.25 DR#77025 SPC
IN 12PCS 2.13.25 DR#77026 SPC
IN 4PCS 2.6.25 DR#77012 SPC KUYA MIKE
4PCS 2.4.25 DR#76197 LIPA A
IN 2PCS 1-21-25 DR#76179 LIPA A
IN 2PCS 1-16-25 DR#76890 SPC KUYA EMMAN
IN 6PCS 1-15-25 DR#76886 SPC KUYA MIKE
---------------------------------------------
4PCS 3-21-23 STF#7874 SPC
4PCS 3-18-23 STF#7860 SPC
10PCS 3-15-23 TIRE WIZARD
1PC 3-10-23 STF#2353 LIAP A
4pcs 3-10-23 stf#7815 spc
2PCS 2-16-23 STF#7686 SPC
1pc 1-24-23 stf#7559 spc
8pcs 1-4-23 stf#7452 spc
1pc 12-30-22 stf#7440 spc
2pcs 12-28-22 STF#7433 SPC
1P[C 12-22-22 STF#7420 SPC
4PCS 11-22-22 STf#7262 SPC</t>
        </r>
      </text>
    </comment>
    <comment ref="H452" authorId="0" shapeId="0" xr:uid="{A600AEA0-0BCC-D146-8231-849F055F6162}">
      <text>
        <r>
          <rPr>
            <sz val="10"/>
            <rFont val="SimSun"/>
            <charset val="134"/>
          </rPr>
          <t>OUT 2PS 10-20-25 DR79772 LIPA A
9-22-25
2 PCS 50712 HANNA
9-9-25
2 PCS 50327 jarvis
8.9.25
49535 1PC JARVIS
05-30-2025
5pcs out jo#46882 jarvis
4-5-25
2 PCS OUT JOP44848 MARIBEL 
3.16.25
44172 2PCS SALES DAHLIA
3-4-25
1 PC  OUT JO43590 MARIBEL 
2-27-25
 36 PCS OUT JO43384 DALIA
OUT 4PCS 2.19.25 DR#77113 LIPA A
4 PCS PUT 2-13-25 JO42891 MARIBEL 
3 PCS OUT 2-11-25 JO42789 JARVIS
2.4.25
42466 4pcs sales jarvis
4 PC OUT 1/29/25 JO42244 ROSE
4PC OUT 1/21/25 JO41965
MARIBEL
2PC OUT 1/20/25 JO41715 OFFICE HANNA
2PCS 9-22-23 JO#28355 BEL
2PCS 8-17-23 JO#27560 JARVIS
1PC 4-19-23 STF#2410 SPC
4pcs 3-18-23 JO#22370 MARLO
4PCS 3-15-23 JOP#22389 ROSE
2PCS 3-15-23 STF#2341 SPC
4PCS 3-15-23 STF#2340 SPC
4PCS 3/13/2023 22345 BEL
1PC 3-10-23 JO#22230 ROISE
1PC 3-9-23 JO#22263 JARVIS
1PC 3-4-23 JO22152 OFFICE
4pcs 2-7-23 stf#2270 lipa a
4PCS 1-18-23 JO#21017 JARVIS  
4PCS 12-30-22 JO#20569 BEL
1PC 12-28-22 STF#2178 SPC
4PCS 12-27-22 JO#20440 JARVIS</t>
        </r>
      </text>
    </comment>
    <comment ref="G453" authorId="0" shapeId="0" xr:uid="{336F27A8-9025-F948-995A-4FB2DEB3C374}">
      <text>
        <r>
          <rPr>
            <sz val="10"/>
            <rFont val="SimSun"/>
            <charset val="134"/>
          </rPr>
          <t>IN 4PCS 02.05.26 DR80481 BIÑAN RONNIE
IN 4PCS 01.13.26 DR79969 SPC ROI
IN 1PCS 12.3.25 DR#79716 SPPC HACKET
IN 2PCS 11.25.25 DR#79899 SPC HACKET
IN 1PCS 11.14.25 DR#79879 SPC HACKET
IN 12PCS 11.8.25 DR#79866 SPC RONNIE
IN 1PC 8.10.25 DR#79648 SPC ROBIN
IN 2PCS 9.24.25 DR#78709 LIPA A
IN 2PCS 9.16.25 DR#78643 LIPA A
IN 2PCS 9.16.25 DR#79100 SPC HACKET
IN 12PCS 8.23.25 DR#79044 SPC HACKET
IN 4PCS 7.5.25 DR#000853 ROADWIZARD (7,700)
IN 1PCS 6.10.25 DR#78783 SPC HACKET
IN 6PCS 5.23.25 DR#77749 SPC HACKET
IN 2PCS 5.23.25 DR#77748 SPC MIKE
IN 1PCS 5.17.25 DR#77736 SPC ROI
IN 2PCS 4.26.25 DR#78009 LIPA A
IN 4PCS 4.16.25 DR#77667 SPC HACKET
IN 4PCS 4.5.25 ST002508 BIÑAN HACKET
IN 8PCS 3.4.25 DR#77040 SPC HACKET
IN 2PCS 01-03-25 DR#76161 LIPA A
IN 1PCS 01-03-25 DR#76868 SPC KUYA HACKET
IN 4PCS 10/31/24 DR#76994 SPC
IN 4PCS 10/30/24 DR#76691 SPC BRIAN
IN 4PCS 10/29/24 DR#76685 SPC
IN 2PCS 09/17/24 DR#76087 LIPA A
IN 2CS 09/03/24 REF#75688 STC SERVICE
IN 8PCS 06/28/24 dr#75214 SPC
IN 4PCS 05/17/24 DR#73479 LIPA A
IN 7PCS 04/13/24 DR#SPS0021 SPC KUYA EMAN
IN  4PCS 04/10/24 DR#74900 SPC
IN 1PC 04/10/24 DR#SP0020 SPC
4pcs 12-20-23 DR#73313 LIPA A
4PCS 11-21-23 DR#74433 SPC
4PC 10-24-23 DR#72680 LIPA A
4PCS 8-22-23 DR#74100 SPC
4PCS 7-21-23 DR#74023 SPC
4PCS 7-12-23 DR#73244 SPC
2PCS 6-27-23 SPC
4PCS 6-22-23 SPC
4pcs 5-22-23 STF#8141 SPC
8PCS 5-10-23 STF#8096 SPC
4pcs 5-2-23 STF#8060 SPC
4pcs 4-27-23 STF#8051 SPC
2PCS 4-1-23 STF#7939 SPC
4PCS 3-31-23 STF#7935 SPC
2pcs 3-30-23 STF#7921 SPC
10PCS 3-15-23 TIRE WIZARD
4PCS 2-16-23 STF#7686 SPC
12pcs 1-4-23 stf#7452 spc
4pcs 12-16-22 stf#2248 SITE A
 3PCS 12-12-22 STF#7369 SPC
4PCS 10-8-22 STF#7076 SPC
8PCS 10-1-22 STF#7029 SPC
2PCS 8-17-22 STF#6792 SPC
2PCS 7-13-22 STF#6626 SPC
4PCS 7-9-22 STF#6605 SPC
4pcs 6-11-22 STF#6481 SPC
8PC 05-14-2022 ST006341 SPC
2PC 05-02-2022 ST000677 STC
2PC 05-02-2022 ST006276 SPC
2PC 04-30-2022 ST006264 LIPA A
4PCS 4-13-22 STF#6199 SPC
4PC 03-14-2022 ST006060 SPC
2PC 03-07-2022 ST00618 STC
2PC 03-07-2022 ST006022 SPC
4PCS 2-19-22 STF#5943 SPC
2PCS 2-17-22 STF#5932 SPC
1PC 01-28-2022 ST005825 SPC
2PCS 12-7-21 STF#5625 SPC
12PCS - 10-23-21 STF#5436</t>
        </r>
      </text>
    </comment>
    <comment ref="H453" authorId="0" shapeId="0" xr:uid="{2241FD2C-9A27-2642-A018-7D99CEE8929D}">
      <text>
        <r>
          <rPr>
            <sz val="10"/>
            <rFont val="SimSun"/>
            <charset val="134"/>
          </rPr>
          <t>02.17.26
55220 1PC BEL
02.12.26
55085 2PCS JARVIS
02.07.26
54922 2PCS ALY
OUT 2PCS 02.06.26 DR80238 LIPA A
1-13-26
2PCS 54123 MJEN
1-10-26
2PCS 53657 HANNA
OUT 2PCS 12.15.25 DR#80067 LIPA A
12-10-25
2 PCS 53081 JARVIS
12-1-25
1 PC 52831 MARLO
11-19-25
2 PCS 51569 HANA
11-13-25
1 PC 52262 MARLO
11-11-25
4 PCS 52203 MARIBEL
11-5-25
2 PCS  51564 HANA
10-20-25
2 PCS 51553 MARIBEL 
10-5-25
1 PC 51171 ALY
9-27-25
4 PCS 50856 ROSE
9-15-25
4 PCS 50594 MARIBEL
9-14-25
2 PCS 50340 HANNA
9-8-25
4 PCS 50334 HANNA
OUT 4PCS 7.5.25 DR378349 BINAN
6.20.25
47020 2PCS HANAH
6-16-25
4 PCS 47648 MARIBEL
6-10-25
2 PCS 47312 MARIBEL 
6-9-25
1 PC 47292 ALY
6.6.25
47214 2PCS BEL
5-8-25
1 PC 46143 ALY
4.26.25
44689 2PCS HANA
4-25-25
2 PCS 44688 HANNA
4-12-25
4 PCS OUT JO44686 HANNA
4-7-25
1 PC OUT JO44684 OFFICE
3.31.25
44751 2pcs sales bel
3-29-25
4 PCS OUT JO44597 MAM JEN 
1 PC OUT 3-12-25 JO43893 ROSE
5PC OUT 1/3/25 JO41336 ALY
12-27-24
41142 2PCS SALES JARVIS
4PC 12/17/24 JO40696 MAM JEN 
12-04-24
40168 2PCS SALES ROSE
2PCS OUT 11/29/24 JO40215 JARVIS
09/19/24
37748 4PCS SALES BEL
09/12/24
37589 2PCS SALES JARVIS
08/21/24
36950 2PCS SALES JARVIS
08/05/24
36534 2PCS SALES DAHLIA
OUT 07/10/24 35891 2PCS SALES LEN
OUT 06/08/24 DR#75103 SPC KUYA MIKE
OUT 2PSC 5-21-24 DR#75073 SPC ADWIN
OUT 2PCS 5/17/2024 DR#75072 SPC
OUT 4PCS 05/16/24 REF# STC 
OUT 05/04/24 33969 4PCS SALES MARLO
2PCS 12-29-23 JO#30637 JARVIS
out 12-26-2023
30557 1pc sales maribel
4PCS 12-12-23 DR#73968 SPC
4PCS 12-03-23 DR#73953 LIPA A
4PCS 10-22-23 JO#28998 BEL
4pcs 9-21-23 JO#28320 BEL
2PCS 8-12-23 JO#27445 BEL
2PCS 8-11-23 JO#27422 JARVIS
4PCS 7-14-23 JO#26724 MARLO
2PCS 6-23-23 JO#26208 BEL
4PCS 6-20-23 JO#26077 ROSE
4PCS 5-23-23 JO#25541 BEL
1PC 5-17-23 STF#2459 SPC
1PC 5-15-23 JO#25286 JARVIS
2PCS 5-12-23 JO#25220 ROSE
2PCS 5-8-23 JO#25157 JARVIS
2PCS 5-6-23 JO#25133 JARVIS
4PCS 5-5-23 JO#25104 BEL
2pcs 4-26-23 stf#2428 sTC
4PCS 4-19-23 JO#24731 JARVIS
2PCS 3-30-23 JO#23735 BEL
4PCS 3-28-23 JO#23431 JARVIS
2PCS 3-15-23 STF#2341 SPC
4PCS 3-15-23 STF#2340 SPC
2pcs 2-28-23 st002315 spc
2PCS 2-20-23 JO#21851 BEL
4PCS 2-3-23 JO#21437 BEL
2PCS 1-28-23 JO21312 MARLO
2PCS 1-26-23 JO#21251 BEL
2PCS 1-14-23 JO#20923 BEL
2pcs 1-7-23 JO#20723 BEL
4pcs 12-30-22 stf#2182 site a
4PC 12-16-22 JO20198 MARIBEL
4pc 12-14-22 ST002152 LIPA A
2PCS 12-11-22 JO#20102 BEL
1PC 12-6-22 STF#2118 SPC
1PC 11-22-22 STF#2022 SITE A
2PCS  11-22-22 STF#2085 SPC
3PC 11-16-22 ST002071 SPC
1pc 11-02-22 JO#19161 JARVIS 
2PCS 10-27-22 JO#19061 BEL
2PC 10-8-22 JO18657 MARIBEL
2PCS 9-20-22 STF#1981 SPC
4PCS 8-29-22 STF#1948 SPC
2PCS 8-27-22 JO#17619 JARVIS
2pcs 8-5-22 STF#17173 BEL
2PC 7-15-22 JO16715 MARIBEL
2PCS 6-23-22 STF#1837 SPC
2PC 06-07-2022 JO15826 SALES
4PC 05-03-2022 JO15135 SALES
4PC 04-16-2022 JO14774 SALES
4PC 03-17-2022 ST001679 TRANSFER TO SPC
4PC 03-08-2022 JO13971 SALES
4PC 03-04-2022 JO13892 SALES
2PC 02-17-2022 JO13584 SALES
1PC 01-28-2022 JO13170 BEL
2PCS 12-7-21 JO#12284 JARVIS
1PC 12-06-2021 ST001526 SPC
2PCS 11-30-21 JO#12197 MARIBEL
4PCS 11-24-21 ST001502 LIPA A
2PCS- 11-16-21 JO#11950 SALES
4PCS - 11/02/2021 LIPA A</t>
        </r>
      </text>
    </comment>
    <comment ref="G454" authorId="0" shapeId="0" xr:uid="{71C36024-169E-284C-86A5-FC30636B9C02}">
      <text>
        <r>
          <rPr>
            <sz val="10"/>
            <rFont val="SimSun"/>
            <charset val="134"/>
          </rPr>
          <t>4PCS 8-11-23 DR#74072 SPC
2PCS 5-31-23 STF#8186 SPC
2PCS 3-30-23 STF#7930 SPC
2PCS 1-26-23 STF#7577 SPC
4PCS 10-24-22 STF#7146 SPC
8PCS 10-1-22 STF#7029 SPC
4pcs 9-8-22 STF#6902 SPC
2PC 9-7-22 ST006893 SPC
4PCS 8-27-22 STF#6846 SPC
2pcs 8-27-22 STF#2096 SITE A
4PCS 8-16-22 STF#6788 SPC</t>
        </r>
      </text>
    </comment>
    <comment ref="H454" authorId="0" shapeId="0" xr:uid="{184AABDC-ECFF-A241-B0CA-F054CF464EEF}">
      <text>
        <r>
          <rPr>
            <sz val="10"/>
            <rFont val="SimSun"/>
            <charset val="134"/>
          </rPr>
          <t>4PCS 9-14-23 JO#28138 BEL
4PCS 6-27-23 JO#26342 BEL
2PCS 4-6-23 JO#24138 BEL
1PC  4-5-23 JO#24146 MARLO
8PCS 12-4-22 STF#2115 SPOC
4PCS 10-20-22 JO#18912 JARVIS
4PCS 9-10-22 JO#17993 MARLO
4PCS 9-8-22 JO#17934 JARVIS
2PC 9-6-22 JO17904 MARIBEL
4pc 8-27-22 jo17625 marlo
2PC 8-25-22 JO17602 MARIBEL</t>
        </r>
      </text>
    </comment>
    <comment ref="H455" authorId="0" shapeId="0" xr:uid="{78206DD2-6DC4-7D44-A487-425435189627}">
      <text>
        <r>
          <rPr>
            <sz val="10"/>
            <rFont val="SimSun"/>
            <charset val="134"/>
          </rPr>
          <t xml:space="preserve">2PCS SALES 11/13/2024 JO39613 ALY (ORDER)
</t>
        </r>
      </text>
    </comment>
    <comment ref="G457" authorId="0" shapeId="0" xr:uid="{AEB13CCC-A03B-9E43-9DDD-51729644010D}">
      <text>
        <r>
          <rPr>
            <sz val="10"/>
            <rFont val="SimSun"/>
            <charset val="134"/>
          </rPr>
          <t>4PCS 8-30-23 DR#74173 SPC
4PCS 6-29-23 SPC
4PCS 5-26-23 STF#8167 SPC
4PCS 3-30-23 STF#7926 SPC
4PCS 11-21-22 STf#7261 SPC
8PCS 10-1-22 STF#7029 SPC
2PCS 8-22-22 STF#6812 SPC
6pcs 7-9-22 STF#6605 SPC
4PC 05-06-2022 ST006294 SPC</t>
        </r>
      </text>
    </comment>
    <comment ref="H457" authorId="0" shapeId="0" xr:uid="{22763607-9718-8C47-AE7B-9FBF7B581BEF}">
      <text>
        <r>
          <rPr>
            <sz val="10"/>
            <rFont val="SimSun"/>
            <charset val="134"/>
          </rPr>
          <t>4PCS 10-3-23 JO#28545 ROSE
4PCS 7-6-23 STF#2539 SPC
4PCS 6-21-23 JO#26177 BEL
1p[c 5-23-23 STF#2470 SPC
2PCS 4-19-23 JO#2408 LIP[A A
1PC 4-6-23 JO#24169 ROSE
2pcs 2-2-23 stf#2260 SPC
2PCS 12-16-22 STF#2155 SITE A
2PCS 11-10-22 JO#19402 BEL
2PCS 10-28-22 STF#2039 SPC
4PCS 10-25-22 JO#19009 SALES
1PC 10-18-22 STF#2020 SPC
1PC 10-15-22 STF#2016 SPC
4PCS 9-19-22 JO#18089 MARLO
2PC 8-20-22 JO17486  JARVIS
4PCS 8-9-22 JO#17195 SALES
2PCS 7-5-22 STF#1861 SPC</t>
        </r>
      </text>
    </comment>
    <comment ref="G458" authorId="0" shapeId="0" xr:uid="{80A78B88-63FE-1145-A216-0528CFD13735}">
      <text>
        <r>
          <rPr>
            <sz val="10"/>
            <rFont val="SimSun"/>
            <charset val="134"/>
          </rPr>
          <t>IN 4PCS 02.25.26 DR80746 SPC FROM SHEEHAN (7,949.48)
IN 1PC 01.23.26 DR#39693 SVB ROI (8,000)
IN 12PCS 11.8.25 DR#79866 SPC RONNIE
IN 1PC 9.18.25 DR#79604 SPC HACKET
IN 4PCS 8.30.25 DR#78618 LIPA A
IN 4PCS 8.22.25 DR#79040 SPC 
IN 2PCS 8.11.25 DR#37609 SVB (9,400)
IN 5PCS 7.17.25 DR#37398 SVB (9,500)
IN 4PCS 6.4.25 DR#77221 BIÑAN HACKET
IN 4PCS 5.23.25 DR#77749 SPC HACKET
IN 4PCS 5.23.25 DR#77748 SPC MIKE
IN 1PC 4.23.24 DR#36097 SVB
IN 1PC 4.24.25 DR#36107 SVB
IN 8PCS 3.18.25 DR#77432 SPC HACKET
IN 4PCS 3.18.25 DR#77434 SPC HACKET
IN 4PCS 3.17.25 DR#77427 SPC MIKE
IN 2PCS 3.3.28 DR#77079 LIPA A
IN 4PCS 2.13.25 DR#77026 SPC
1-29-30 4PCS DR#76190 LIPA A
IN 1-30-25 1PCS  DR#77009 SPC HACKET
IN 1PCS 1-21-25 DR#76896 SPC HACKET
IN 2PCS 1-16-25 DR#76890 SPC KUYA EMMAN
IN 2PCS 1-16-25 DR#76888 SPC KUYA MIKE
IN 6PCS 1-15-25 DR#76886 SPC KUYA MIKE
----------------------------------------------
IN 4PCS 10/31/24 DR#76994 SPC
IN 4PCS 10/29/24 DR#76685 SPC
IN 1PCS 07/18/24 DR# SPC KUYA HACKET
IN 4PCS 07/09/24 DR#76055 LIPA A
IN 1PC 05/22/24 DR# 75049 SPC KUYA ALDWIN
IN 3PCS 05/06/24 DR# SPC MASTER
IN 6PCS 05/05/24 DR# SPC KUYA HACKET
IN 12PCS 04/13/24 DR#SPS0021 SPC KUYA EMAN
IN 03/13/24 11PCS DR#74865 SPC
4PCS 12-1-23 MINEVA MALVAR
8PCS 11-21-23 DR#74433 SPC
4PCS 11-18-23 SVB 
4PCS 10-26-23 DR# SPC
1PC 9-24-23 DR#73721 SPC
2PC 9-4-23 DR#74185 SPC
3PC 9-4-23 DR#73300 LIPA A
1PC 9-1-23 DR#73296 LIPA A
4PCS 7-21-23 DR#74023 SPC
4PCS 6-29-23 SPC
4PCS 6-26-23 SPC
2pcs 6-20-23 SPC
4PCS 6-7-23 SPC
1PC  5-31-23 STF#8186 SPC
2PCS 5-31-23 JO25695 MARLO
4pcs 5-2-23 STF#8060 SPC
4pcs 4-27-23 STF#8051 SPC
4PCS 4-12-23 STf#7985 SPC
4PCS 3-31-23 STF#7935 SPC
2PCS 3-21-23 STF#7874 SPC
12pcs 3-15-23 TIRE WIZARD
4pcs 3-3-23 stf#7777 spc
1pc 2-2-23 STF#7612 SPC
4PCS 1-14-23 STF#7511 SPC
2PCS 1-9-23 STF#7477 SPC
10pcs 1-7-23 st#7462 spc
3pc 12-22-22 st007419 spc
7PCS 12-3-22 STF#7323 SPC
8PCS 11-16-22 STF#7247 SPC
8PCS 10-1-22 STF#7029 SPC
3PCS 9-27-22 STF#6994 SPC
1pc  9-24-22 STF#6978 SPC
2PCS 9-22-22 STF#6962 SPC
4PCS 9-8-22 STF#6898 SPC
2PCS 9-7-22 ST006893 SPC
4pcs 8-25-22 STF#6832 SPC
8PCS 8-16-22 STF#6788 SPC
4PCS 8-12-22 STF#6770 SPC
1PC 8-11-22 STF#6765 SPC
4PCS 8-5-22 STF#6736 SPC
4PCS 8-4-22 STF#2067 LIPA A
4PCS 7-28-22 STF#6702 SPC
\12pcs 7-9-22 STF#6605 SPC
2PCS 7-6-22 STF#6591 SPC
5PCS 7-6-22 STF#2020 SITE A
2PCS 6-3-22 STF#6443 SPC
4PC 05-17-2022 ST006345 SPC
4PC 05-06-2022 ST006294 SPC
8PC 04-11-2022 ST006192 SPC
3PC 03-02-22 ST005997 SPC
4PCS 2-4-22 STF#5867 SPC</t>
        </r>
      </text>
    </comment>
    <comment ref="H458" authorId="0" shapeId="0" xr:uid="{EA5E5049-5E9B-AB48-B916-C9931BCB6683}">
      <text>
        <r>
          <rPr>
            <sz val="10"/>
            <rFont val="SimSun"/>
            <charset val="134"/>
          </rPr>
          <t>02.25.26
55458 4PCS BEL
01.23.26
54474 1PC MARLO
1-4-26
4 PCS OUT 53866 JARVIS
12-18-25
4 PCS 53346 ALY
12-17-25
1 pc 53310 MARIBEL
12.12.25
52998 1PC HANNAH
12-3-25
2 PCS 52889 ALY
9-19-25
1 PC 50711 HANNA 
OUT 4PCS 9.3.25 DR#78445 LIPA A
8-29-25
2 PCS 50083 MARIBEL
8-28-25
2 PCS 49996 ALY
8-12-25
2 PCS 49330 ROSE
OUT 1PCS 7.19.25 DR#78370 BINAN HACKET
7-17-25
5 PCS 48786 ALY
7-11-25
1 PC 48262 HANNA
6.13.25
47019 2PCS HANA
OUT 1PC 6.11.25 DR#78320 LIPA A
6-3-25
2 PCS 46990 MAM JEN 
OUT 1PC 6.3.25 DR#78303 LIPA A
05-31-2025
2pcs out jo#47011 hannah 
OUT 2PCS 5.31.25 DR#77913 LIPA A
4-24-25
1 PC 45520 ALY
4-24-25
4PCS 45458 DALIA
4-23-25
1 PC 45514 ALY
4-21-25
2 PCS 45397 OFFICE
OUT 4PCS 4.4.25 DR#77557 SPC MIKE
3.31.25
44741 2PCS ALY
3.19.25 4PCS DR#77166 LIPA ROI
4 PCS OUT 3-13-25 JO43895
MAM JEN 
2-23-25 1PC OUT JO43303 ROSE
1 PC OUT 2-14-25 JO42932 OFFICE 
2 PCS OUT 2-13-25 JO42890 MARIBEL 
4 PCs OUT 2-7-25 JO42662 ROSE
2PC OUT 1/29/25 JO41718 OFFICE HANNA
1-17-25
41852 4PCS SALES MARLO
4PC OUT 1/15/5 JO41791 DALIA
2PCS OUT 12/19/24 JO40859 ALY
OUT 1PC SALES 11/15/24 
JO39831 ALY
OUT 1PC 11/06/2024
JO39342 SALES ALY
OUT 1PC 11/02/24
JO38991 JARVIS
OUT 2 PCS 10/30/24 
JO38933 ALY
07/18/24
36020 3PCS SALES JARVIS
OUT 07/10/24 35857 2PCS SALES JARVIS
OUT 3PCS 07/10/24 DR#75135-36 SPC KUYA HACKET
OUT 06/11/24 35044 4PCS SALES jarvis
OUT 4PCS 06/10/24 DR#75104 LIPA A
OUT 4PCS 06/06/24 DR#75100 SPC KUYA HACKET
OUT 05/14/24 34276 4PCS SALES BEL
OUT 05/07/24 34085 4PCS SALES MARLO
OUT 05/04/24 34026 4PCS SALES BEL
OUT 04/25/24 33766 2PCS SALES JHONLY
OUT 04/19/24 33479 2PCS SALES LEN
OUT 04/10/24 2PCS SALES 33379 MARLO 
1PC 4-8-24 33300 BEL
3PCS 2-20-24 32053 ROSE
OUT 01-13-2024
31010 1PC SALES ROSE
1pc 12-5-23JO#29993 MARLO
4PCS 12-1-23 JO#29827 BEL
2PCS 12-1-23 JO#29887 BEL
4PCS 11-18-23 JO#29556 MARLO
2pcs 11-14-23 DR#74270 SPC
2pc 11-09-23 jo#29403 maribel
1PC 9-24-23 JO#28401 JARVIS
1PC 9-21-23 DR#72284 SPC
4PCS 9-4-23 JO#27930 BEL
1PC 9-4-23 JO#27907 MARLO
4PCS 9-1-23 JO#27848 MARLO
4PCS 8-30-23 DR#72242 SPC
2PCS 8-21-23 JO#27648 MARLO
2PCS 8-7-23 JO#27327 BEL
1PC 7-31-23 JO#27119 BEL
4PCS 6-30-23 JO#26402 JARVIS
2PCS 6-20-23 JO#26149 BEL
4pcs 6-13-23 stf#2502 lipa a
5PCS 6-12-23 JO#25970 BEL
2pcs 5-31-23 JO#25695 BEL
1PC 5-3-23 JO#25040 MARLO
2pcs 4-23-23 st002418 spc
4PCS  4-20-23 JO#24745 ROSE
2PCS 4-18-23 STF#2406 STC
4pcs 4-8-23 JO#24200 BEL
4PCS 3-26-23 JOP#23404 JARVIS
4pcs 3-20-23 STF#2354 LIPA 
2PCS 3-20-23 STF#2353 SPC
4PCS 3-15-23 STF#2341 SPC
4PCS 3-15-23 STF#2340 SPC
1PC 3-4-23 JO22127 MARIBEL
2PCS 2-17-23 JO#21811 ALY
2PCS 2-11-23 JO#21662 BEL
3PCS 2-4-23 STF#2264 SPC
2PCS 2-2-23 STF#2257 LIPA A
4PCS 1-30-23 STF#2249 SPC
2PCS 1-24-23 STF#2239 SPC
1PC 1-17-23 JO#21002 MARLO
4PCS 1-7-23 JO#20741 JARVIS
4pc 12-22-22 jo20381 maribel
4PCS 12-13-22 JO#20143 ALY
4PCS 12-2-22 JO#19905 BEL
4PCS 11-28-22 JO#19818 ALY
1PC 11-28-22 JO#19821 BEL
4pcs 11-14-22 jo#19492 BEL
4PC 10-29-22 JO19095 MARIBEL
4PC 10-22-22 JO18920 JARVIS
2PC 10-04-22 JO18548 MARIBEL
2PC 9-18-22 JO18088 MARLO
4PC 9-17-22 JO18167 JARVIS
4PCS 9-8-22 JO#17936 JARVIS
2pc 8-27-22 jo17619 jarvis
4PC 8-12-22 JO17321 MARIBEL
4PCS 8-11-22 JO#17269 ALY
1PC 8-11-22 JO#17198 MARLO
4PCS 8-5-22 JO#17172 BEL
2pcs 8-4-22 JO#17156 SALES
2PC 8-1-22 JO17076 JARVIS
4PCS 7-25-22 STF#1889 LIPA A
4pcs 7-16-22 STF#1877 LIPA A
4PC 7-11-22 JO16600 PAUL
4PC 7-8-22 ST001868 SPC
4PCS 7-6-22 JO#16547 ALY
4PCS 07-06-22 JO#16531 PAUL
1 PC 6-28-22 JO16334 ALY
2PC 6-20-22 JO16090 SALES
2PCS 6-2-22 JO#15737SALES
4PC 04-18-2022 JO14822 SALES
4pcs 4-16-22 stf#1733 SPC
3PC 03-04-2022 ST001657 STC 4PCS 2-4-22 JO#13347 MARIBEL</t>
        </r>
      </text>
    </comment>
    <comment ref="G459" authorId="0" shapeId="0" xr:uid="{B583E6EE-4CE3-484D-AEE8-1355B23BB40B}">
      <text>
        <r>
          <rPr>
            <sz val="10"/>
            <rFont val="SimSun"/>
            <charset val="134"/>
          </rPr>
          <t>IN 4PCS 12.16.25 DR#401518 SHEEHAN (9,085)
3PCS 10-26-23 DR# SPC
4PCS 8-17-23 STA CRUZ
4PCS 8-8-23 DR#74067 SPC
2PCS 8-1-23 DR#74954 SPC
2PCS 7-12-23 DR#73244 SPC
4PCS 6-29-23 SPC
2PCS 6-27-23 SPC
8pcs 5-22-23 STF#8141 SPC
4pcs 5-18-23 stf#2429 liap aa
4pcs 5-2-23 STF#8060 SPC
4pcs 4-27-23 STF#8051 SPC
4PCS 4-12-23 STf#7985 SPC
4PCS 3-31-23 STF#7935 SPC
4PCS 1-24-23 STF#7563 SPC
4PCS 1-14-23 STF#7511 SPC
4PCS 1-13-23 STF#2286 LIPA A
4PCS 1-12-23 STF#2284 LIPA A
4PCS 12-28-22 STf#7435 SPC
8PCS 11-16-22 STF#7247 SPC
1PC 11-8-22 STF#7210 SPC
3PCS 10-02-22 ST007035 SPC
8PCS 10-1-22 STF#7029 SPC
5PCS 9-27-22 STF#6994 SPC
8PCS 9-14-22 STF#6921 SPC
4PCS 9-8-22 STF#2112 SITE A
4PCS 8-17-22 STF#69792 SPC
8PCS 8-16-22 STF#6788 SPC
1PC 7-12-22 STF#6622 SPC
4PCS 7-1-22 STF#2006 SITE A
12PCS 6-2-22 STF#6428 SPC
4PCS 5-24-22 STF#0701 STC
4PCS 5-24-22 STF#1945 lipa a
9PC 05-06-2022 ST006294 SPC
2PCS 4-26-22 STF#6243 SPC
4PC 04-22-2022 ST006234 SPC
8PC 04-11-2022 ST006192 SPC
4PCS 2-19-22 STF#5943 SPC</t>
        </r>
      </text>
    </comment>
    <comment ref="H459" authorId="0" shapeId="0" xr:uid="{A42F06E3-98F6-164E-91A9-5A59B101B2B1}">
      <text>
        <r>
          <rPr>
            <sz val="10"/>
            <rFont val="SimSun"/>
            <charset val="134"/>
          </rPr>
          <t>12-16-25
4 PCS 53292 ALY
4pcs 11-09-23 jo#29383 jarvis
4PCS 9-5-23 JO#27937 JARVIS
4PCS 8-12-23 JO#27441 BEL
4PCS 8-7-23 JO#27296 BEL
4PCS 8-1-23 JO#27161 JARBIS
4PCS 7-6-23 JO#26527 JARVIS
2PCS 6-24-23 STF#2520 SPC
4pcs 6-20-23 STF#2516 LIPA A
4PCS 6-19-23 JO#26163 JARTVIS
1PC 6-16-23 STF#2508 SPC
1pc 6-8-23 STF#2495 LIPA A
4PCS 5-17-23 JO#25368 JARVIS
PCS 5-13-23 JO25188 MARLO
4PCS 5-11-23 JO#25230 JARVIS
2PCS 4-25-23 STF#2424 SPC
2pcs 4-23-23 st002418 spc
4PCS 4-8-23 JO#24205 ROSE
3PCS 2-18-23 STF#2293 LIPA A
4PCS 1-24-23 JO#21169 JARVIS
4PCS 1-23-23 JO#21144 BEL
5PCS 1-13-23 JO#20889 BEL
4PCS 1-12-23 JO#20859 BEL
4PCS 1-5-23 JO#20662 BEL
4pcs 12-22-22 jo20363 jarvis
4PCS 11-24-22 JO#19722 JARVIS
4PC 11-9-22 JO#19339 MARIBEL 
4PC 11-6-22 JO19270 ALY
4PCS 10-28-22 JO#19082 ALY
4PCS 10-18-22 JO#18857 BEL
5PCS  9-23-22 JO#18296 BEL
4PC 9-17-22 JO18153 ALY
4PC 8-22-22 JO17530 MARIBEL
4PCS 8-16-22 JO#17395 JARVIS
4PCS 8-16-22 JO#17401 ALY
1pc 7-12-22 JO#16625 SALES
4PCS 7-1-22 JO#16405 SALES
4PC 6-21-22 JO16165 SALES
4PCS 6-14-22 JO#15947 SALES
1PC 6-11-22 JO#15754 SALES
4PC 6-11-22 JO15754 SALES
4PCS  5-27-22 JO#15642  SALES
4PCS 5-26-22 JO#15615 SALES
3PCS 5-19-22 STF#1786 SPC
2PC 05-14-2022 JO15384 SALES
4PC 04-26-2022 JO15013 SALES
4PC 04-23-2022 JO14942 SALES
4pcs 4-21-22 STF#1741 SPC
4PCS 4-20-22 JO#14814 SALES
2PC 03-19-2022 JO14188 ALY
2PCS 2-21-22 STF#1641 SPC</t>
        </r>
      </text>
    </comment>
    <comment ref="G460" authorId="0" shapeId="0" xr:uid="{CD0FB741-3BE6-BF40-80FD-711168C07430}">
      <text>
        <r>
          <rPr>
            <sz val="10"/>
            <rFont val="SimSun"/>
            <charset val="134"/>
          </rPr>
          <t>4PCS 8-26-22 STF#6844 SPC</t>
        </r>
      </text>
    </comment>
    <comment ref="H460" authorId="0" shapeId="0" xr:uid="{A646B593-C37B-5F40-8CC3-91157017D7EA}">
      <text>
        <r>
          <rPr>
            <sz val="10"/>
            <rFont val="SimSun"/>
            <charset val="134"/>
          </rPr>
          <t>4-24-25
4PCS 45458 DALIA
4PCS 8-27-22 JO#17560 SALES</t>
        </r>
      </text>
    </comment>
    <comment ref="G461" authorId="0" shapeId="0" xr:uid="{6E442854-0E8B-B148-A584-66B05318B78C}">
      <text>
        <r>
          <rPr>
            <sz val="10"/>
            <rFont val="SimSun"/>
            <charset val="134"/>
          </rPr>
          <t>IN 4PCS 6.3.25 DR#000753 TIREWIZARD</t>
        </r>
      </text>
    </comment>
    <comment ref="H461" authorId="0" shapeId="0" xr:uid="{5BFDB191-D106-E141-B55D-8DF203F6CA8A}">
      <text>
        <r>
          <rPr>
            <sz val="10"/>
            <rFont val="SimSun"/>
            <charset val="134"/>
          </rPr>
          <t>6-3-25
4 PCS 46987 ROSE ANN</t>
        </r>
      </text>
    </comment>
    <comment ref="G465" authorId="0" shapeId="0" xr:uid="{40062A48-5299-7D46-BA24-6E0A8815A754}">
      <text>
        <r>
          <rPr>
            <sz val="10"/>
            <rFont val="SimSun"/>
            <charset val="134"/>
          </rPr>
          <t>4PCS 9-3-22 STF#6872 SPC</t>
        </r>
      </text>
    </comment>
    <comment ref="H465" authorId="0" shapeId="0" xr:uid="{EC69DA2E-23E5-374E-8879-94CAAA8AA1D7}">
      <text>
        <r>
          <rPr>
            <sz val="10"/>
            <rFont val="SimSun"/>
            <charset val="134"/>
          </rPr>
          <t>4PCS 9-6-22 STF#1964 SITE A</t>
        </r>
      </text>
    </comment>
    <comment ref="G466" authorId="0" shapeId="0" xr:uid="{1EE18D24-FEC8-D44A-899F-61461081C6A1}">
      <text>
        <r>
          <rPr>
            <sz val="10"/>
            <rFont val="SimSun"/>
            <charset val="134"/>
          </rPr>
          <t>4PCS 9-3-22 STF#6872 SPC</t>
        </r>
      </text>
    </comment>
    <comment ref="H466" authorId="0" shapeId="0" xr:uid="{4F1625DF-677C-B940-8FF2-B4A0288BDE64}">
      <text>
        <r>
          <rPr>
            <sz val="10"/>
            <rFont val="SimSun"/>
            <charset val="134"/>
          </rPr>
          <t>2PCS 1-30-23 STF#2251 SPC
2pcs 11-14-22 jo19485 maribel</t>
        </r>
      </text>
    </comment>
    <comment ref="G467" authorId="0" shapeId="0" xr:uid="{A599AEF4-98BC-5C40-9218-56F3E4E3CB12}">
      <text>
        <r>
          <rPr>
            <sz val="10"/>
            <rFont val="SimSun"/>
            <charset val="134"/>
          </rPr>
          <t>IN 2PCS 8.19.25 DR#79031 SPC HACKET</t>
        </r>
      </text>
    </comment>
    <comment ref="G468" authorId="0" shapeId="0" xr:uid="{54938076-1CC7-254D-8C0F-CD9C00A53D84}">
      <text>
        <r>
          <rPr>
            <sz val="10"/>
            <rFont val="SimSun"/>
            <charset val="134"/>
          </rPr>
          <t>IN 2PCS 8.19.25 DR#79031 SPC HACKET</t>
        </r>
      </text>
    </comment>
    <comment ref="G470" authorId="0" shapeId="0" xr:uid="{E46B9605-FBF8-F748-B849-FD9E43802C93}">
      <text>
        <r>
          <rPr>
            <sz val="10"/>
            <rFont val="SimSun"/>
            <charset val="134"/>
          </rPr>
          <t>2PCS 4-26-23 STf#8044 SPC
4PCS 9-5-22 STF#6875 SPC</t>
        </r>
      </text>
    </comment>
    <comment ref="H470" authorId="0" shapeId="0" xr:uid="{43324055-F672-6744-A752-A4CC7AF1D158}">
      <text>
        <r>
          <rPr>
            <sz val="10"/>
            <rFont val="SimSun"/>
            <charset val="134"/>
          </rPr>
          <t>1PC 7-3-23 STF#2532 SPC
1PC 4-26-23 JO#24871 JARVIS
1PC  3-27-23 STF#2368 SPC
1PC 3-26-23 JO#23388 MARIBEL
2PCS 12-28-22 STF#2178 SPC</t>
        </r>
      </text>
    </comment>
    <comment ref="G471" authorId="0" shapeId="0" xr:uid="{FF9A10AE-40E9-7944-9AA7-0CDB117C6E99}">
      <text>
        <r>
          <rPr>
            <sz val="10"/>
            <rFont val="SimSun"/>
            <charset val="134"/>
          </rPr>
          <t>8PCS 10-5-22 STF#7051 SPC</t>
        </r>
      </text>
    </comment>
    <comment ref="H471" authorId="0" shapeId="0" xr:uid="{0ED02FF0-04B4-0C41-A2D8-FDF9DE203EBF}">
      <text>
        <r>
          <rPr>
            <sz val="10"/>
            <rFont val="SimSun"/>
            <charset val="134"/>
          </rPr>
          <t>2PCS 8-28-23 JO#27760 AMRLO
2PCS 5-8-23 JO#25143 BEL
2PC 4-19-23 STF#2410 SPC
2pcs 3-27-23 STF#2368 SPC</t>
        </r>
      </text>
    </comment>
    <comment ref="G472" authorId="0" shapeId="0" xr:uid="{A0845D9A-2214-0A4A-A01B-95B8BAEC8C34}">
      <text>
        <r>
          <rPr>
            <sz val="10"/>
            <rFont val="SimSun"/>
            <charset val="134"/>
          </rPr>
          <t>4PCS 9-5-22 STF#6875 SPC
4PCS 9-3-22 STF#6872 SPC</t>
        </r>
      </text>
    </comment>
    <comment ref="H472" authorId="0" shapeId="0" xr:uid="{DDDA1176-E5AC-2042-9E1E-0A56D68C56FE}">
      <text>
        <r>
          <rPr>
            <sz val="10"/>
            <rFont val="SimSun"/>
            <charset val="134"/>
          </rPr>
          <t>4PC 12-17-22 JO20244 ALY
4PCS 12-2-22 STF#2107 SPC</t>
        </r>
      </text>
    </comment>
    <comment ref="G473" authorId="0" shapeId="0" xr:uid="{F5BA7765-5471-224A-AA45-CDFED27F4FA5}">
      <text>
        <r>
          <rPr>
            <sz val="10"/>
            <rFont val="SimSun"/>
            <charset val="134"/>
          </rPr>
          <t>1PC 3-18-23 STF#7870 SPC
2PCS 1-12-23 STF#7501 SPC
4PCS 10-22-22 STF#7140 SPC
4PCS 9-1-22 STF#6862 SPC</t>
        </r>
      </text>
    </comment>
    <comment ref="H473" authorId="0" shapeId="0" xr:uid="{7180D5DD-8462-184F-9C00-AA31DB716641}">
      <text>
        <r>
          <rPr>
            <sz val="10"/>
            <rFont val="SimSun"/>
            <charset val="134"/>
          </rPr>
          <t>4pcs 1-6-24 DR#73361 SPC OLD DOT
1PC 2-8-23 STF#2272 LIAP A
4PCS 1-5-23 JO#20637 JARVIS</t>
        </r>
      </text>
    </comment>
    <comment ref="G474" authorId="0" shapeId="0" xr:uid="{31CB1031-8AA8-1D42-B5E0-2413579278BB}">
      <text>
        <r>
          <rPr>
            <sz val="10"/>
            <rFont val="SimSun"/>
            <charset val="134"/>
          </rPr>
          <t>4PCS 9-5-22 STF#6875 SPC</t>
        </r>
      </text>
    </comment>
    <comment ref="H474" authorId="0" shapeId="0" xr:uid="{473F319F-5F1D-CC48-ADB8-C2FEEC85E18E}">
      <text>
        <r>
          <rPr>
            <sz val="10"/>
            <rFont val="SimSun"/>
            <charset val="134"/>
          </rPr>
          <t>4PCS 9-8-23 DR#72261 SPC</t>
        </r>
      </text>
    </comment>
    <comment ref="G475" authorId="0" shapeId="0" xr:uid="{2C7C3515-7398-6044-AE1D-7ECF478BDF11}">
      <text>
        <r>
          <rPr>
            <sz val="10"/>
            <rFont val="SimSun"/>
            <charset val="134"/>
          </rPr>
          <t>1PC 1-12-23 STF#7500 SPC
4pcs 8-3-22 STF#6726 SPC</t>
        </r>
      </text>
    </comment>
    <comment ref="H475" authorId="0" shapeId="0" xr:uid="{FFCF5479-6A55-A748-B5A0-06638D567B5C}">
      <text>
        <r>
          <rPr>
            <sz val="10"/>
            <rFont val="SimSun"/>
            <charset val="134"/>
          </rPr>
          <t>1PC 1-12-23 JO#20838 MARLO
2PCS 10-21--22 STF#2024 SPC
2PCS 8-25-22 STF#1943 SPC</t>
        </r>
      </text>
    </comment>
    <comment ref="G476" authorId="0" shapeId="0" xr:uid="{2DE0EF78-A3DB-B948-B558-41BAB5D60A08}">
      <text>
        <r>
          <rPr>
            <sz val="10"/>
            <rFont val="SimSun"/>
            <charset val="134"/>
          </rPr>
          <t>1PC 1-12-23 STF#7500 SPC
2PCS 8-25-22 STF#6833 SPC</t>
        </r>
      </text>
    </comment>
    <comment ref="H476" authorId="0" shapeId="0" xr:uid="{F5CCBFB4-9A02-CA4B-9030-E64C0B940558}">
      <text>
        <r>
          <rPr>
            <sz val="10"/>
            <rFont val="SimSun"/>
            <charset val="134"/>
          </rPr>
          <t>1PC 1-12-23 JO#20838 MARLO
2PCS 10-21--22 STF#2024 SPC</t>
        </r>
      </text>
    </comment>
    <comment ref="G480" authorId="0" shapeId="0" xr:uid="{3B2A8092-636A-6E44-A920-AFFAEF0727D5}">
      <text>
        <r>
          <rPr>
            <sz val="10"/>
            <rFont val="SimSun"/>
            <charset val="134"/>
          </rPr>
          <t>4PCS 10-7-22 STF#7059 SPC
4pcs 8-23-22 STF#1940 SPC
4PCS 7-25-22 STF#6686 SPC</t>
        </r>
      </text>
    </comment>
    <comment ref="H480" authorId="0" shapeId="0" xr:uid="{5B6AA51E-5618-BD45-B0A5-C1FA1BE8B0EE}">
      <text>
        <r>
          <rPr>
            <sz val="10"/>
            <rFont val="SimSun"/>
            <charset val="134"/>
          </rPr>
          <t>4pcs 1-6-24 DR#73361 SPC OLD DOT
8-23-22 STF#1940 SPC</t>
        </r>
      </text>
    </comment>
    <comment ref="G481" authorId="0" shapeId="0" xr:uid="{9DC2E0ED-B658-1F4A-B7E7-D3CE42D44083}">
      <text>
        <r>
          <rPr>
            <sz val="10"/>
            <rFont val="SimSun"/>
            <charset val="134"/>
          </rPr>
          <t>4pcs 10-5-22 stf#2002 spc</t>
        </r>
      </text>
    </comment>
    <comment ref="H481" authorId="0" shapeId="0" xr:uid="{E0A0B55A-42DA-6A40-B891-167BDA234B9C}">
      <text>
        <r>
          <rPr>
            <sz val="10"/>
            <rFont val="SimSun"/>
            <charset val="134"/>
          </rPr>
          <t>2PC  5-22-23 STF#2469 SPC
2PCS 2-11-23 JO#21652 ALY</t>
        </r>
      </text>
    </comment>
    <comment ref="G482" authorId="0" shapeId="0" xr:uid="{12F9286B-15FF-1242-AD0F-69A0EB2C4D72}">
      <text>
        <r>
          <rPr>
            <sz val="10"/>
            <rFont val="SimSun"/>
            <charset val="134"/>
          </rPr>
          <t>1PC 10-7-22 STF#7059 SPC
4PCS 7-25-22 STF#6686 SPC</t>
        </r>
      </text>
    </comment>
    <comment ref="H482" authorId="0" shapeId="0" xr:uid="{5B0D8DD2-115A-AD4F-9816-42160E398DD7}">
      <text>
        <r>
          <rPr>
            <sz val="10"/>
            <rFont val="SimSun"/>
            <charset val="134"/>
          </rPr>
          <t xml:space="preserve">2PCS  2-21-23 STF#2301 SPC
2PCS 1-24-23 JO#21175 ALY
1PC 10/5/22 JO#18539 ALY </t>
        </r>
      </text>
    </comment>
    <comment ref="G483" authorId="0" shapeId="0" xr:uid="{F33AC4E9-2994-F843-97B8-D156D0905A04}">
      <text>
        <r>
          <rPr>
            <sz val="10"/>
            <rFont val="SimSun"/>
            <charset val="134"/>
          </rPr>
          <t>2PCS 10-15-22 STF#7105 SPC
4PCS 9-3-22 STF#6872 SPC
4PCS 9-1-22 STF#6862 SPC</t>
        </r>
      </text>
    </comment>
    <comment ref="H483" authorId="0" shapeId="0" xr:uid="{5BB175D6-CE82-2B4E-A080-B600441C5748}">
      <text>
        <r>
          <rPr>
            <sz val="10"/>
            <rFont val="SimSun"/>
            <charset val="134"/>
          </rPr>
          <t>2PCS 2-4-23 STF#2265 LIPA A
2PCS 11-28-22 JO#19808 BEL
2PCS 10-12-22 JO#18738 ALY
4PCS 9-26-22 STF#1990 SPC</t>
        </r>
      </text>
    </comment>
    <comment ref="G484" authorId="0" shapeId="0" xr:uid="{AC731439-52A3-ED47-8155-86857F2FD8DF}">
      <text>
        <r>
          <rPr>
            <sz val="10"/>
            <rFont val="SimSun"/>
            <charset val="134"/>
          </rPr>
          <t>4pcs 10-5-22 stf#2002 spc</t>
        </r>
      </text>
    </comment>
    <comment ref="H484" authorId="0" shapeId="0" xr:uid="{8CCF4D73-C8C1-3648-8DCE-C2A23D1B0292}">
      <text>
        <r>
          <rPr>
            <sz val="10"/>
            <rFont val="SimSun"/>
            <charset val="134"/>
          </rPr>
          <t>4PCS 10-10-22 JO#18701 SALES</t>
        </r>
      </text>
    </comment>
    <comment ref="G485" authorId="0" shapeId="0" xr:uid="{19B3BF01-0309-3140-9E0E-304F3D68B08F}">
      <text>
        <r>
          <rPr>
            <sz val="10"/>
            <rFont val="SimSun"/>
            <charset val="134"/>
          </rPr>
          <t>4pcs 8-25-22 STF#6832 SPC
4PCS 7-27-22 STF#6697 SPC
4PCS 7-25-22 STF#6686 SPC</t>
        </r>
      </text>
    </comment>
    <comment ref="H485" authorId="0" shapeId="0" xr:uid="{9944C051-B08F-5D4B-ACEB-D0757FEBA680}">
      <text>
        <r>
          <rPr>
            <sz val="10"/>
            <rFont val="SimSun"/>
            <charset val="134"/>
          </rPr>
          <t>4pcs 9-10-22 STF#1969 SPC
4pcs 8-23-22 STF#1940 SPC
4PCS 8-15-22 STF#1922 SPC</t>
        </r>
      </text>
    </comment>
    <comment ref="G486" authorId="0" shapeId="0" xr:uid="{73B21EDE-B565-EF46-AAFC-29598B63290B}">
      <text>
        <r>
          <rPr>
            <sz val="10"/>
            <rFont val="SimSun"/>
            <charset val="134"/>
          </rPr>
          <t>2PCS 2-16-23 STF#2327 LIPA A
4PCS 9-28-22 STF#7010 SPC
4PCS 9-5-22 STF#6875 SPC</t>
        </r>
      </text>
    </comment>
    <comment ref="H486" authorId="0" shapeId="0" xr:uid="{CB270DF3-B9ED-C943-BED6-05404E9ACE25}">
      <text>
        <r>
          <rPr>
            <sz val="10"/>
            <rFont val="SimSun"/>
            <charset val="134"/>
          </rPr>
          <t>4PCS 2-16-23 JO#21773 ALY
2PCS 11-26-22 JO#19753 ALY
4PCS  10-12-22 STF#2013 SPC</t>
        </r>
      </text>
    </comment>
    <comment ref="G487" authorId="0" shapeId="0" xr:uid="{5C93D74F-7561-5846-BE84-00104373226F}">
      <text>
        <r>
          <rPr>
            <sz val="10"/>
            <rFont val="SimSun"/>
            <charset val="134"/>
          </rPr>
          <t>4PCS 7-25-22 STF#6686 SPC</t>
        </r>
      </text>
    </comment>
    <comment ref="H487" authorId="0" shapeId="0" xr:uid="{56C0C524-7DFF-6F4E-B749-3039DE5E2DF3}">
      <text>
        <r>
          <rPr>
            <sz val="10"/>
            <rFont val="SimSun"/>
            <charset val="134"/>
          </rPr>
          <t>3PCS 11-19-23 DR#74274 SPC
1PC 8-23-22 STF#1940 SPC</t>
        </r>
      </text>
    </comment>
    <comment ref="G488" authorId="0" shapeId="0" xr:uid="{2A87B773-027C-D045-A104-9B076A3C7B3B}">
      <text>
        <r>
          <rPr>
            <sz val="10"/>
            <rFont val="SimSun"/>
            <charset val="134"/>
          </rPr>
          <t>4PCS 11-2-22 STF#7184 SPC</t>
        </r>
      </text>
    </comment>
    <comment ref="H488" authorId="0" shapeId="0" xr:uid="{44E94C58-CCAE-4040-B3A7-74504AB1D35C}">
      <text>
        <r>
          <rPr>
            <sz val="10"/>
            <rFont val="SimSun"/>
            <charset val="134"/>
          </rPr>
          <t>1PC 1-9-23 JO#20752 BEL
1PC 12-19-22 JO#20239 JARVIS
2PC 12-10-22 JO20056 MARLO</t>
        </r>
      </text>
    </comment>
    <comment ref="G489" authorId="0" shapeId="0" xr:uid="{2003CD49-8099-9549-AE25-11CF5F0F1B9E}">
      <text>
        <r>
          <rPr>
            <sz val="10"/>
            <rFont val="SimSun"/>
            <charset val="134"/>
          </rPr>
          <t>2PCS 12-9-22 STF#7357 SPC
4PCS 9-14-22 STF#6921 SPC
4PCS 8-18-22 STF#6800 SPC</t>
        </r>
      </text>
    </comment>
    <comment ref="H489" authorId="0" shapeId="0" xr:uid="{D9686915-F3FC-8449-9A8F-99EB7F7437A7}">
      <text>
        <r>
          <rPr>
            <sz val="10"/>
            <rFont val="SimSun"/>
            <charset val="134"/>
          </rPr>
          <t>1PC 8-31-23 DR#72245 SPC
1PC 8-19-23 jo#27624 JARVIS
2PCS 1-25-23 JO#21210 ALY
2PCS 11-25-22 STF#2092 SITE A
4PCS 8-25-22 STF#1943 SPC</t>
        </r>
      </text>
    </comment>
    <comment ref="G490" authorId="0" shapeId="0" xr:uid="{02DE8064-A461-F043-A609-BFB8DF6B13C5}">
      <text>
        <r>
          <rPr>
            <sz val="10"/>
            <rFont val="SimSun"/>
            <charset val="134"/>
          </rPr>
          <t>4PCS  3-18-23 STF#7870 SPC
4PCS 1-9-23 STF#7477 SPC
4PCS 8-19-22 STF#6804 SPC</t>
        </r>
      </text>
    </comment>
    <comment ref="H490" authorId="0" shapeId="0" xr:uid="{20EFE7A9-D9C7-2948-AB7E-E015E955CC26}">
      <text>
        <r>
          <rPr>
            <sz val="10"/>
            <rFont val="SimSun"/>
            <charset val="134"/>
          </rPr>
          <t>2pcs 8-25-23 DR#72235 SPC
2PCS 6-29-23 JO#26394 JARVIS
4PCS 1-26-23 STF#2241 SPC
4PCS 12-28-22 JO#2175 SPC</t>
        </r>
      </text>
    </comment>
    <comment ref="G491" authorId="0" shapeId="0" xr:uid="{E15D2221-972F-9A46-9CA1-C5BF231EF1B0}">
      <text>
        <r>
          <rPr>
            <sz val="10"/>
            <rFont val="SimSun"/>
            <charset val="134"/>
          </rPr>
          <t>4PCS 9-1-22 STF#6862 SPC
4pcs 9-6-22 STF#6887 SPC</t>
        </r>
      </text>
    </comment>
    <comment ref="H491" authorId="0" shapeId="0" xr:uid="{75AFCDB1-8399-5745-93E9-8A0878F9922D}">
      <text>
        <r>
          <rPr>
            <sz val="10"/>
            <rFont val="SimSun"/>
            <charset val="134"/>
          </rPr>
          <t>4PCS 1-28-23 STF#2247 SPC
4PC 9-29-22 JO18432 MARIBEL</t>
        </r>
      </text>
    </comment>
    <comment ref="G492" authorId="0" shapeId="0" xr:uid="{D4032A4D-2D99-3145-9946-AF0BE28A5528}">
      <text>
        <r>
          <rPr>
            <sz val="10"/>
            <rFont val="SimSun"/>
            <charset val="134"/>
          </rPr>
          <t>IN 2PCS 07/12/24 DR#1553 COMETZ
IN 2PCS 06/30/24 DR#1533 COMETZ</t>
        </r>
      </text>
    </comment>
    <comment ref="H492" authorId="0" shapeId="0" xr:uid="{FEC05780-6DC0-7F4A-A269-079165850CFE}">
      <text>
        <r>
          <rPr>
            <sz val="10"/>
            <rFont val="SimSun"/>
            <charset val="134"/>
          </rPr>
          <t>OUT 07/12/24 35910 2PCS SALES BEL
OUT 06/30/24 35560 2PCS SALES BEL</t>
        </r>
      </text>
    </comment>
    <comment ref="G493" authorId="0" shapeId="0" xr:uid="{7CC831B0-D313-9C49-83D5-A8C79A2C6493}">
      <text>
        <r>
          <rPr>
            <sz val="10"/>
            <rFont val="SimSun"/>
            <charset val="134"/>
          </rPr>
          <t>4pcs 8-1-22 STF#6716 SPC
4PCS 7-13-22 STF#6626 SPC</t>
        </r>
      </text>
    </comment>
    <comment ref="H493" authorId="0" shapeId="0" xr:uid="{5C3A8A7F-628C-C745-9454-ECDC895AA058}">
      <text>
        <r>
          <rPr>
            <sz val="10"/>
            <rFont val="SimSun"/>
            <charset val="134"/>
          </rPr>
          <t>2PCS 12-10-22 JO#20056 MARLO
2PC 8-3-22 JO#1902 SPC
2PC 8-1-22 JO17069 MARIBEL
4PCS 7-27-22 STF#1894 SPC</t>
        </r>
      </text>
    </comment>
    <comment ref="G494" authorId="0" shapeId="0" xr:uid="{B58E776B-974E-AD4B-AB3A-60798F3789AF}">
      <text>
        <r>
          <rPr>
            <sz val="10"/>
            <rFont val="SimSun"/>
            <charset val="134"/>
          </rPr>
          <t>4PCS 8-18-22 STF#6800 SPC
3PC 8-6-22 STF#6739 SPC
4PCS 7-25-22 STF#6686 SPC</t>
        </r>
      </text>
    </comment>
    <comment ref="H494" authorId="0" shapeId="0" xr:uid="{59010671-B3B7-5041-A987-536D048BF056}">
      <text>
        <r>
          <rPr>
            <sz val="10"/>
            <rFont val="SimSun"/>
            <charset val="134"/>
          </rPr>
          <t>6PCS  9-5-22 STF#1963 SPC
2PCS 8-17-22 STF#1931 SPC
2PCS 8-16-22 STF#1925 SPC
3PCS 8-5-22 JO17136 PAUL</t>
        </r>
      </text>
    </comment>
    <comment ref="G495" authorId="0" shapeId="0" xr:uid="{B99E3EA7-C973-E945-8459-B654DA303D7A}">
      <text>
        <r>
          <rPr>
            <sz val="10"/>
            <rFont val="SimSun"/>
            <charset val="134"/>
          </rPr>
          <t>4PCS 7-13-22 STF#6626 SPC</t>
        </r>
      </text>
    </comment>
    <comment ref="H495" authorId="0" shapeId="0" xr:uid="{54F95EE1-5A1D-AD42-90A3-727DAD4D7ECD}">
      <text>
        <r>
          <rPr>
            <sz val="10"/>
            <rFont val="SimSun"/>
            <charset val="134"/>
          </rPr>
          <t>4PCS 7-30-22 JO#17039 SALES</t>
        </r>
      </text>
    </comment>
    <comment ref="G496" authorId="0" shapeId="0" xr:uid="{168F172F-655A-D643-BBBE-52AD0B07247F}">
      <text>
        <r>
          <rPr>
            <sz val="10"/>
            <rFont val="SimSun"/>
            <charset val="134"/>
          </rPr>
          <t>4PCS 8-19-22 STF#6804 SPC</t>
        </r>
      </text>
    </comment>
    <comment ref="H496" authorId="0" shapeId="0" xr:uid="{B0E0865F-BC03-8445-98EC-E8B2FF487AF4}">
      <text>
        <r>
          <rPr>
            <sz val="10"/>
            <rFont val="SimSun"/>
            <charset val="134"/>
          </rPr>
          <t>4PCS 10-4-22 STF#1999 SPC</t>
        </r>
      </text>
    </comment>
    <comment ref="G497" authorId="0" shapeId="0" xr:uid="{BAAA16A1-D7B7-B744-B47C-E6FA3C49E29C}">
      <text>
        <r>
          <rPr>
            <sz val="10"/>
            <rFont val="SimSun"/>
            <charset val="134"/>
          </rPr>
          <t>4PCS 8-19-22 STF#6804 SPC</t>
        </r>
      </text>
    </comment>
    <comment ref="G498" authorId="0" shapeId="0" xr:uid="{B1E63BED-FA94-404B-B7B1-FDBED9CC7535}">
      <text>
        <r>
          <rPr>
            <sz val="10"/>
            <rFont val="SimSun"/>
            <charset val="134"/>
          </rPr>
          <t>4PCS 8-29-22 STF#6849 SPC</t>
        </r>
      </text>
    </comment>
    <comment ref="H498" authorId="0" shapeId="0" xr:uid="{FBF35375-F2CF-0740-A9E3-E6BB0574DA28}">
      <text>
        <r>
          <rPr>
            <sz val="10"/>
            <rFont val="SimSun"/>
            <charset val="134"/>
          </rPr>
          <t>3PCS 1-9-23 STF#2202 SPC
1PC 12-27-22 STF#2173 SPC</t>
        </r>
      </text>
    </comment>
    <comment ref="G499" authorId="0" shapeId="0" xr:uid="{E1B3FC6F-5BDC-C64D-861E-94025BF1FFDB}">
      <text>
        <r>
          <rPr>
            <sz val="10"/>
            <rFont val="SimSun"/>
            <charset val="134"/>
          </rPr>
          <t>4PCS 9-27-22 STF#6994 SPC</t>
        </r>
      </text>
    </comment>
    <comment ref="H499" authorId="0" shapeId="0" xr:uid="{69D4BFDB-8003-8B47-AFD5-E5895FBC28D4}">
      <text>
        <r>
          <rPr>
            <sz val="10"/>
            <rFont val="SimSun"/>
            <charset val="134"/>
          </rPr>
          <t>2pcs 1-6-24 DR#73359 SPC OLD DOT
2PCS 12-13-22 STF#2148 SPC</t>
        </r>
      </text>
    </comment>
    <comment ref="G500" authorId="0" shapeId="0" xr:uid="{9FA9F6C3-7972-DF4B-A8D6-01F0BB2ACC3F}">
      <text>
        <r>
          <rPr>
            <sz val="10"/>
            <rFont val="SimSun"/>
            <charset val="134"/>
          </rPr>
          <t>4PCS 8-19-22 STF#6804 SPC</t>
        </r>
      </text>
    </comment>
    <comment ref="H500" authorId="0" shapeId="0" xr:uid="{467765CD-B99B-1248-993C-FD2D9E1005AC}">
      <text>
        <r>
          <rPr>
            <sz val="10"/>
            <rFont val="SimSun"/>
            <charset val="134"/>
          </rPr>
          <t>2pcs 1-6-24 DR#73361 SPC OLD DOT
2PCS 2-17-23 JO#21778 ALY
2PCS 2-17-23 JO21778 ALY</t>
        </r>
      </text>
    </comment>
    <comment ref="G501" authorId="0" shapeId="0" xr:uid="{BFA0CCB7-0CD9-624F-BDF4-68F00B15238B}">
      <text>
        <r>
          <rPr>
            <sz val="10"/>
            <rFont val="SimSun"/>
            <charset val="134"/>
          </rPr>
          <t>6PCS 10-10-22 STF#7086 SPC</t>
        </r>
      </text>
    </comment>
    <comment ref="H501" authorId="0" shapeId="0" xr:uid="{C6B1FCD6-82B0-9D44-A029-1DD546DBC904}">
      <text>
        <r>
          <rPr>
            <sz val="10"/>
            <rFont val="SimSun"/>
            <charset val="134"/>
          </rPr>
          <t xml:space="preserve">2PCS 12-18-22 JO#20265 SALES
4PCS 10-10-22 JO#18696 SALES
</t>
        </r>
      </text>
    </comment>
    <comment ref="G502" authorId="0" shapeId="0" xr:uid="{542FFE16-3992-F04F-A2A6-5D0E4C807033}">
      <text>
        <r>
          <rPr>
            <sz val="10"/>
            <rFont val="SimSun"/>
            <charset val="134"/>
          </rPr>
          <t>4PCS 9-27-22 STF#6994 SPC</t>
        </r>
      </text>
    </comment>
    <comment ref="H502" authorId="0" shapeId="0" xr:uid="{FB084453-36CF-8F48-A45A-522002250E64}">
      <text>
        <r>
          <rPr>
            <sz val="10"/>
            <rFont val="SimSun"/>
            <charset val="134"/>
          </rPr>
          <t>out 10-31-22 for wyeth change to yokohama 205/65 r16 e70b</t>
        </r>
      </text>
    </comment>
    <comment ref="G504" authorId="0" shapeId="0" xr:uid="{2F95C386-BFA2-B142-AD92-61429E61F14A}">
      <text>
        <r>
          <rPr>
            <sz val="10"/>
            <rFont val="SimSun"/>
            <charset val="134"/>
          </rPr>
          <t>4PCS 10-7-22 STF#7059 SPC
2PC 9-3-22 ST002107 LIPA A
4PCS 7-25-22 STF#6686 SPC</t>
        </r>
      </text>
    </comment>
    <comment ref="H504" authorId="0" shapeId="0" xr:uid="{D0502BD3-3346-D448-8CDC-89B8B4BE9C4F}">
      <text>
        <r>
          <rPr>
            <sz val="10"/>
            <rFont val="SimSun"/>
            <charset val="134"/>
          </rPr>
          <t>4PCS 1-17-23 JO#21026 ALY
4PC 9-3-22 JO17834 ALY
WALANG NOTE YUNG 2PCS</t>
        </r>
      </text>
    </comment>
    <comment ref="G505" authorId="0" shapeId="0" xr:uid="{6F4D1888-0E50-EF4F-B224-2CDBCECF2EB2}">
      <text>
        <r>
          <rPr>
            <sz val="10"/>
            <rFont val="SimSun"/>
            <charset val="134"/>
          </rPr>
          <t>4PCS 9-22-22 STF#6962 SPC
4PCS 9-1-22 STF#6862 SPC</t>
        </r>
      </text>
    </comment>
    <comment ref="H505" authorId="0" shapeId="0" xr:uid="{90C045FF-4C8E-E74B-BC37-5D9724243834}">
      <text>
        <r>
          <rPr>
            <sz val="10"/>
            <rFont val="SimSun"/>
            <charset val="134"/>
          </rPr>
          <t>2pcs 1-6-24 DR#73359 SPC OLD DOT
2PCS 1-6-23 STF#2195 SPC
4PCS 10-18-22 STF#2020 SPC</t>
        </r>
      </text>
    </comment>
    <comment ref="G506" authorId="0" shapeId="0" xr:uid="{DE860BE5-026B-1343-B72C-1DE6FAAA3BD7}">
      <text>
        <r>
          <rPr>
            <sz val="10"/>
            <rFont val="SimSun"/>
            <charset val="134"/>
          </rPr>
          <t>4PCS 8-19-22 STF#6804 SPC</t>
        </r>
      </text>
    </comment>
    <comment ref="H506" authorId="0" shapeId="0" xr:uid="{370195E0-4C5D-214D-B9F6-BA2F94B36DB1}">
      <text>
        <r>
          <rPr>
            <sz val="10"/>
            <rFont val="SimSun"/>
            <charset val="134"/>
          </rPr>
          <t>4PCS 9-1-22 STF#1958 SPC</t>
        </r>
      </text>
    </comment>
    <comment ref="G507" authorId="0" shapeId="0" xr:uid="{E642B676-F3B0-ED44-B5BD-DF20E0A3C6BD}">
      <text>
        <r>
          <rPr>
            <sz val="10"/>
            <rFont val="SimSun"/>
            <charset val="134"/>
          </rPr>
          <t>4PCS 9-3-22 STF#6872 SPC</t>
        </r>
      </text>
    </comment>
    <comment ref="H507" authorId="0" shapeId="0" xr:uid="{6890DDE3-773E-1347-A946-19D05EFDA5AC}">
      <text>
        <r>
          <rPr>
            <sz val="10"/>
            <rFont val="SimSun"/>
            <charset val="134"/>
          </rPr>
          <t xml:space="preserve">4PC 9-19-22 ST001978 LIPA A
</t>
        </r>
      </text>
    </comment>
    <comment ref="G508" authorId="0" shapeId="0" xr:uid="{0823651B-D552-9345-BE83-DFF5FB1CA346}">
      <text>
        <r>
          <rPr>
            <sz val="10"/>
            <rFont val="SimSun"/>
            <charset val="134"/>
          </rPr>
          <t>4PCS 9-3-22 STF#6872 SPC
4PCS 9-1-22 STF#6862 SPC</t>
        </r>
      </text>
    </comment>
    <comment ref="H508" authorId="0" shapeId="0" xr:uid="{3AB7AD3D-8D5D-8E4E-A910-26EE6193E143}">
      <text>
        <r>
          <rPr>
            <sz val="10"/>
            <rFont val="SimSun"/>
            <charset val="134"/>
          </rPr>
          <t>4PCS 12-13-22 STF#2148 SPC
4PCS 12-12-22 STF#2137 SPC</t>
        </r>
      </text>
    </comment>
    <comment ref="G509" authorId="0" shapeId="0" xr:uid="{C7FC12AD-2DFC-B942-B51C-88FFB5665F98}">
      <text>
        <r>
          <rPr>
            <sz val="10"/>
            <rFont val="SimSun"/>
            <charset val="134"/>
          </rPr>
          <t>4PCS 4-4-23 STF#2377 LIPA A
4PCS 12-20-22 STF#7413 SPC
4PCS 8-19-22 STF#6804 SPC</t>
        </r>
      </text>
    </comment>
    <comment ref="H509" authorId="0" shapeId="0" xr:uid="{E7D42FFD-A1C6-8B45-9D6B-37A1D04ABE85}">
      <text>
        <r>
          <rPr>
            <sz val="10"/>
            <rFont val="SimSun"/>
            <charset val="134"/>
          </rPr>
          <t>4PCS 4-4-23 JO#24108 JOJO
4pcs 2-25-23 JO#21991 BEL
4pcs 2-25-23 jo21967 maribel
4PCS 12-2-22 JO#19937 BEL</t>
        </r>
      </text>
    </comment>
    <comment ref="G510" authorId="0" shapeId="0" xr:uid="{F3FDF9EB-2C9C-E04F-BA06-5E655B5CF762}">
      <text>
        <r>
          <rPr>
            <sz val="10"/>
            <rFont val="SimSun"/>
            <charset val="134"/>
          </rPr>
          <t>4PCS 10-7-22 STF#7059 SPC</t>
        </r>
      </text>
    </comment>
    <comment ref="H510" authorId="0" shapeId="0" xr:uid="{C2DE26BC-F062-5E40-AA36-1C670F9E014C}">
      <text>
        <r>
          <rPr>
            <sz val="10"/>
            <rFont val="SimSun"/>
            <charset val="134"/>
          </rPr>
          <t>2PCS 11-4-22 JO#19189 ALY
2PCS 10-21--22 STF#2024 SPC</t>
        </r>
      </text>
    </comment>
    <comment ref="G511" authorId="0" shapeId="0" xr:uid="{CA210674-1BA8-C94A-BC5D-19FB221340D2}">
      <text>
        <r>
          <rPr>
            <sz val="10"/>
            <rFont val="SimSun"/>
            <charset val="134"/>
          </rPr>
          <t>4PCS 9-10-22 STF#6908 SPC</t>
        </r>
      </text>
    </comment>
    <comment ref="H511" authorId="0" shapeId="0" xr:uid="{AE99F501-5E2A-5848-8834-7D903740E11B}">
      <text>
        <r>
          <rPr>
            <sz val="10"/>
            <rFont val="SimSun"/>
            <charset val="134"/>
          </rPr>
          <t>3PCS 9-27-22 STF#1993 SPC
1PC  9-20-22 STF#1981 SPC</t>
        </r>
      </text>
    </comment>
    <comment ref="G512" authorId="0" shapeId="0" xr:uid="{66233E2D-96B6-2642-AE28-522365A89986}">
      <text>
        <r>
          <rPr>
            <sz val="10"/>
            <rFont val="SimSun"/>
            <charset val="134"/>
          </rPr>
          <t>1PC 9-5-22 STF#6875 SPC
4PCS 9-3-22 STF#6872 SPC</t>
        </r>
      </text>
    </comment>
    <comment ref="H512" authorId="0" shapeId="0" xr:uid="{2EAC0F28-0DA9-334B-8005-D4616060752C}">
      <text>
        <r>
          <rPr>
            <sz val="10"/>
            <rFont val="SimSun"/>
            <charset val="134"/>
          </rPr>
          <t>4PC 1-15-23 ST002215 LIPA A
1PC 9-3-22 JO17818 JARVIS</t>
        </r>
      </text>
    </comment>
    <comment ref="G513" authorId="0" shapeId="0" xr:uid="{C67BE170-D06F-1F4D-A87C-62752004480D}">
      <text>
        <r>
          <rPr>
            <sz val="10"/>
            <rFont val="SimSun"/>
            <charset val="134"/>
          </rPr>
          <t>2PCS 2-15-24 DR# SPC
2pcs 1-19-24 DR#7461 7SPC
4PCS 10-23-23 DR# SPC
4PCS 8-31-23 DR#74178 SPC
4pcs 5-19-23 STF#8126 SPC
4PCS 9-17-22 STF#6940 SPC
4PCS 9-2-22 STF#6867 SPC</t>
        </r>
      </text>
    </comment>
    <comment ref="H513" authorId="0" shapeId="0" xr:uid="{16E37CF3-7F2E-FE46-8663-B8873123809C}">
      <text>
        <r>
          <rPr>
            <sz val="10"/>
            <rFont val="SimSun"/>
            <charset val="134"/>
          </rPr>
          <t>2PCS 2-16-24 31936 JOHNLY
OUT 1-19-2024
31194 2PCS SALES JOHNLY
4pcs 1-6-24 DR#73361 SPC OLD DOT
4PCS 10-2-23 JO#28532 MARLO
4PCS 8-18-23 JO#27587 JARVIS
4PCS 4-23-23 JO#24780 JARVIS
2PCS 4-3-23 JO#23845 BEL
2PCS 3-16-23 JO#22364 MARLO</t>
        </r>
      </text>
    </comment>
    <comment ref="G516" authorId="0" shapeId="0" xr:uid="{1D09BE3A-622C-D449-BD96-FD9E23D4AFAE}">
      <text>
        <r>
          <rPr>
            <sz val="10"/>
            <rFont val="SimSun"/>
            <charset val="134"/>
          </rPr>
          <t>2pcs 1-6-23 stf#7459 SPC
4PCS 9-24-22 STF#6978 SPC</t>
        </r>
      </text>
    </comment>
    <comment ref="H516" authorId="0" shapeId="0" xr:uid="{AB8AB23D-DBB4-CD46-AAB3-5AA65FEA65C7}">
      <text>
        <r>
          <rPr>
            <sz val="10"/>
            <rFont val="SimSun"/>
            <charset val="134"/>
          </rPr>
          <t>4PCS 1-16-23 JO#20776 JOJO
2PCS 10-18-22STF#2019 SPC</t>
        </r>
      </text>
    </comment>
    <comment ref="G517" authorId="0" shapeId="0" xr:uid="{4BF9AFB2-1BC4-B54D-ACA4-80B6D2D8C081}">
      <text>
        <r>
          <rPr>
            <sz val="10"/>
            <rFont val="SimSun"/>
            <charset val="134"/>
          </rPr>
          <t>IN 4PCS 4.17.25 DR#77536 LIPA A
IN 8PCS 09/19/24 DR#76535 SPC MASTER</t>
        </r>
      </text>
    </comment>
    <comment ref="H517" authorId="0" shapeId="0" xr:uid="{0279AC3B-4755-F842-900C-FB6CD2754072}">
      <text>
        <r>
          <rPr>
            <sz val="10"/>
            <rFont val="SimSun"/>
            <charset val="134"/>
          </rPr>
          <t>OUT 4PCS 9.18.25 DR#79269 S.V
3-28-25
4PCS OUT JO44646 JARVIS
4PCS 2.25.25 DR#77128 SPC KUYA RONNIE</t>
        </r>
      </text>
    </comment>
    <comment ref="G518" authorId="0" shapeId="0" xr:uid="{A8944A8B-2DF7-9643-8D20-1983A59F5A5C}">
      <text>
        <r>
          <rPr>
            <sz val="10"/>
            <rFont val="SimSun"/>
            <charset val="134"/>
          </rPr>
          <t>4PCS 9-5-22 STF#6875 SPC</t>
        </r>
      </text>
    </comment>
    <comment ref="H518" authorId="0" shapeId="0" xr:uid="{7ACC38BA-F372-434C-A7B5-A2B7E3A9970F}">
      <text>
        <r>
          <rPr>
            <sz val="10"/>
            <rFont val="SimSun"/>
            <charset val="134"/>
          </rPr>
          <t>1PC 1-11-23 STF#2206 SPC
1pc 1-5-23 stf#2193 LIPA A
2PCS 11-8-22 JO#19310 JARVIS</t>
        </r>
      </text>
    </comment>
    <comment ref="G519" authorId="0" shapeId="0" xr:uid="{0DB29B6C-5CC3-C245-ACB0-64319B404DC2}">
      <text>
        <r>
          <rPr>
            <sz val="10"/>
            <rFont val="SimSun"/>
            <charset val="134"/>
          </rPr>
          <t>4PCS 11-30-22 STF#7308 SPC
4PCS 9-1-22 STF#6862 SPC</t>
        </r>
      </text>
    </comment>
    <comment ref="H519" authorId="0" shapeId="0" xr:uid="{FD23C857-523D-624F-B73D-2E631B2C7379}">
      <text>
        <r>
          <rPr>
            <sz val="10"/>
            <rFont val="SimSun"/>
            <charset val="134"/>
          </rPr>
          <t>4PCS 11-30-22 JO#19886 ALY
2PCS 11-25-22 STF#2091 S[C
1PC 11-21-22 JO#19632 BEL
1PC 11-3-22 STF#2046 SITE A
4PCS 9-12-22 JOI#18049 JARVIS</t>
        </r>
      </text>
    </comment>
    <comment ref="G520" authorId="0" shapeId="0" xr:uid="{BDC13C93-1247-DE47-9DF0-62C14B94E507}">
      <text>
        <r>
          <rPr>
            <sz val="10"/>
            <rFont val="SimSun"/>
            <charset val="134"/>
          </rPr>
          <t>4PCS 9-5-22 STF#6875 SPC</t>
        </r>
      </text>
    </comment>
    <comment ref="H520" authorId="0" shapeId="0" xr:uid="{62105820-5577-884D-A168-87AB025A03C8}">
      <text>
        <r>
          <rPr>
            <sz val="10"/>
            <rFont val="SimSun"/>
            <charset val="134"/>
          </rPr>
          <t>4PC 10-28-22 JO19101 JARVIS</t>
        </r>
      </text>
    </comment>
    <comment ref="G521" authorId="0" shapeId="0" xr:uid="{63E7A7B7-28D1-DA4D-A971-4BD1B7F8E44D}">
      <text>
        <r>
          <rPr>
            <sz val="10"/>
            <rFont val="SimSun"/>
            <charset val="134"/>
          </rPr>
          <t>4PCS 9-5-22 STF#6875 SPC</t>
        </r>
      </text>
    </comment>
    <comment ref="H521" authorId="0" shapeId="0" xr:uid="{4C3DDBEA-8946-574B-8E03-114A0A769DA9}">
      <text>
        <r>
          <rPr>
            <sz val="10"/>
            <rFont val="SimSun"/>
            <charset val="134"/>
          </rPr>
          <t>4PCS 10-20-22 STF#2022 SPC</t>
        </r>
      </text>
    </comment>
    <comment ref="G522" authorId="0" shapeId="0" xr:uid="{9C5218D4-05BE-E345-ADFA-321B1F2C8090}">
      <text>
        <r>
          <rPr>
            <sz val="10"/>
            <rFont val="SimSun"/>
            <charset val="134"/>
          </rPr>
          <t>2pcs 1-10-23 stf#7476 spc
4PCS 9-1-22 STF#6862 SPC
4PCS 08-27-22 ST001945 SPC
4PCS 8-19-22 STF#6804 SPC</t>
        </r>
      </text>
    </comment>
    <comment ref="H522" authorId="0" shapeId="0" xr:uid="{23FDD8F3-3A76-E442-B5DE-3BE51E9C773A}">
      <text>
        <r>
          <rPr>
            <sz val="10"/>
            <rFont val="SimSun"/>
            <charset val="134"/>
          </rPr>
          <t>4PCS 9-8-22 J=STF#1967 SPC
4PCS 8-31-22 JO#17747 BEL
4PCS 8-27-22 STF#1945 SPC</t>
        </r>
      </text>
    </comment>
    <comment ref="G523" authorId="0" shapeId="0" xr:uid="{3CAC25BC-C525-5F45-B649-3F2C35FAE79C}">
      <text>
        <r>
          <rPr>
            <sz val="10"/>
            <rFont val="SimSun"/>
            <charset val="134"/>
          </rPr>
          <t>4PCS 9-17-22 STF#6940 SPC
4PCS 8-19-22 STF#6804 SPC</t>
        </r>
      </text>
    </comment>
    <comment ref="H523" authorId="0" shapeId="0" xr:uid="{AE7168D7-9063-5D45-AAEF-2CAC14D4B47F}">
      <text>
        <r>
          <rPr>
            <sz val="10"/>
            <rFont val="SimSun"/>
            <charset val="134"/>
          </rPr>
          <t>2pcs 1-6-24 DR#73361 SPC OLD DOT
2PCS 3-21-23 JO#22774 BEL
4PCS 11-4-22 STF#2051 SPC</t>
        </r>
      </text>
    </comment>
    <comment ref="G524" authorId="0" shapeId="0" xr:uid="{DDFB5C21-FA1D-0649-835F-F4BD1C45B42A}">
      <text>
        <r>
          <rPr>
            <sz val="10"/>
            <rFont val="SimSun"/>
            <charset val="134"/>
          </rPr>
          <t>4PCS 9-5-22 STF#6875 SPC</t>
        </r>
      </text>
    </comment>
    <comment ref="H524" authorId="0" shapeId="0" xr:uid="{B5E1C8CD-2B39-AF45-8001-781E8C4DEAA7}">
      <text>
        <r>
          <rPr>
            <sz val="10"/>
            <rFont val="SimSun"/>
            <charset val="134"/>
          </rPr>
          <t>OUT 9-14-22 STF#1974 SPC</t>
        </r>
      </text>
    </comment>
    <comment ref="G528" authorId="0" shapeId="0" xr:uid="{C4839CD4-80F5-BC48-B274-41C8A5536C81}">
      <text>
        <r>
          <rPr>
            <sz val="10"/>
            <rFont val="SimSun"/>
            <charset val="134"/>
          </rPr>
          <t>4PCS 9-1-22 STF#6862 SPC</t>
        </r>
      </text>
    </comment>
    <comment ref="H528" authorId="0" shapeId="0" xr:uid="{3739F2E6-CE20-DF45-BD75-9669B349A2DD}">
      <text>
        <r>
          <rPr>
            <sz val="10"/>
            <rFont val="SimSun"/>
            <charset val="134"/>
          </rPr>
          <t>4PCS  10-12-22 STF#2013 SPC</t>
        </r>
      </text>
    </comment>
    <comment ref="H529" authorId="0" shapeId="0" xr:uid="{0225D68D-4FD6-F748-A996-0A0508F0EA8F}">
      <text>
        <r>
          <rPr>
            <sz val="10"/>
            <rFont val="SimSun"/>
            <charset val="134"/>
          </rPr>
          <t xml:space="preserve">4PC 12-04-21 JO#12219 MARLO
</t>
        </r>
      </text>
    </comment>
    <comment ref="G533" authorId="0" shapeId="0" xr:uid="{49FF2221-F449-9948-B069-EA7DBCC3EB4E}">
      <text>
        <r>
          <rPr>
            <sz val="10"/>
            <rFont val="SimSun"/>
            <charset val="134"/>
          </rPr>
          <t>4PCS 11-8-23 DR#72692 LIPA A
4pcs 7-31-23 dr#74048 SPC
4PCS 4-25-23 STF#8039 SPC
1pc 6-28-22 STF#6552 SPC
4PCS 01-08-2022 ST005740 SPC
4PCS  10/26/2021 ST001585 LIPA A</t>
        </r>
      </text>
    </comment>
    <comment ref="H533" authorId="0" shapeId="0" xr:uid="{894ED364-E6C1-AC4F-A61F-91C3545C94B7}">
      <text>
        <r>
          <rPr>
            <sz val="10"/>
            <rFont val="SimSun"/>
            <charset val="134"/>
          </rPr>
          <t>2pcs 1-7-24 DR#73365 SPC OLD DOT
4PCS 11-8-23 JO#29340 JARVIS
2PCS 10-2-23 JO#28514 BEL
4PCS 4-28-23 JO#24889 JARVIS
1PC 6-28-22 JO16327 MARIBEL
4PC 02-13-22 ST001634 SPC
4PCS - 10/27/2021 JO11523 JARVIS
4PCS - 10/26/2021 JO11502 ALY</t>
        </r>
      </text>
    </comment>
    <comment ref="G534" authorId="0" shapeId="0" xr:uid="{EF2E7268-5E84-9744-8D63-463FF16508B7}">
      <text>
        <r>
          <rPr>
            <sz val="10"/>
            <rFont val="SimSun"/>
            <charset val="134"/>
          </rPr>
          <t>4pcs 7-31-23 dr#74048 SPC</t>
        </r>
      </text>
    </comment>
    <comment ref="H534" authorId="0" shapeId="0" xr:uid="{7A2407C7-9D05-9F48-B5CD-92B88BED57CC}">
      <text>
        <r>
          <rPr>
            <sz val="10"/>
            <rFont val="SimSun"/>
            <charset val="134"/>
          </rPr>
          <t>4pcs 11-22-23 DR#74281 LIPA A</t>
        </r>
      </text>
    </comment>
    <comment ref="G536" authorId="0" shapeId="0" xr:uid="{FA0C3E94-C014-C345-BC23-EA1143C5F12F}">
      <text>
        <r>
          <rPr>
            <sz val="10"/>
            <rFont val="SimSun"/>
            <charset val="134"/>
          </rPr>
          <t>4PCS 2-18-23 STF#7700 SPC</t>
        </r>
      </text>
    </comment>
    <comment ref="H536" authorId="0" shapeId="0" xr:uid="{941B742C-BD92-2743-921B-063D5C617FB5}">
      <text>
        <r>
          <rPr>
            <sz val="10"/>
            <rFont val="SimSun"/>
            <charset val="134"/>
          </rPr>
          <t xml:space="preserve">4PCS 3-13-23 22327 MARLO
</t>
        </r>
      </text>
    </comment>
    <comment ref="G537" authorId="0" shapeId="0" xr:uid="{EEE1211D-7133-1D4F-B789-8F55F1605824}">
      <text>
        <r>
          <rPr>
            <sz val="10"/>
            <rFont val="SimSun"/>
            <charset val="134"/>
          </rPr>
          <t>IN 1PCS 3.28.25 DR#77371 SPC HACKET
IN 4PCS 05/16/24 REF# STC</t>
        </r>
      </text>
    </comment>
    <comment ref="H537" authorId="0" shapeId="0" xr:uid="{115DF1D2-7A91-E848-9DBC-C44385FF746C}">
      <text>
        <r>
          <rPr>
            <sz val="10"/>
            <rFont val="SimSun"/>
            <charset val="134"/>
          </rPr>
          <t>3.30.25
44721 1PC DAHLIA
OUT 4PCS 07/10/24 DR#75135-36 SPC KUYA HACKET</t>
        </r>
      </text>
    </comment>
    <comment ref="G538" authorId="0" shapeId="0" xr:uid="{D5E0484A-2174-8943-AD61-FE8A8676E447}">
      <text>
        <r>
          <rPr>
            <sz val="10"/>
            <rFont val="SimSun"/>
            <charset val="134"/>
          </rPr>
          <t>IN 2PCS 01.30.26 DR80716 SPC HACKET
IN 4PCS 11.10.25 DR#79871 SPC HACKET
IN 4PCS 10.17.25 DR#79672 SPC ROBIN/ALWIN</t>
        </r>
      </text>
    </comment>
    <comment ref="H538" authorId="0" shapeId="0" xr:uid="{BBBFDE6D-EF7F-9B43-9F48-55F1AE739F10}">
      <text>
        <r>
          <rPr>
            <sz val="10"/>
            <rFont val="SimSun"/>
            <charset val="134"/>
          </rPr>
          <t>1-5-26
4PCS OUT 53884 MARIBEL
OUT 4PCS 10.29.25 DR#79789 SPC RONNIE</t>
        </r>
      </text>
    </comment>
    <comment ref="G539" authorId="0" shapeId="0" xr:uid="{141891C0-4D49-D943-A81B-1D2808639B3A}">
      <text>
        <r>
          <rPr>
            <sz val="10"/>
            <rFont val="SimSun"/>
            <charset val="134"/>
          </rPr>
          <t>IN 1PC 05/16/24 DR# SPC
IN 1PC 05/16/24 DR#450425571 GOODYEAR
2PCS 9-8-23 DR#74192 SPC
1PC  8-15-23 DR#74084 SPC
4pcs 2-24-23 STF#7730 SPC
4PCS 2-16-23 STF#7686 SPC
4pcs 9-28-22 STF#7013 SPC</t>
        </r>
      </text>
    </comment>
    <comment ref="H539" authorId="0" shapeId="0" xr:uid="{1EDD7B74-6301-C149-949A-6C7312DE4954}">
      <text>
        <r>
          <rPr>
            <sz val="10"/>
            <rFont val="SimSun"/>
            <charset val="134"/>
          </rPr>
          <t>OUT 05/16/24 34308 2PCS SALES  BEL
1PC 1-7-24 DR#73365 SPC OLD DOT
4PCS 11-21-23 JO#9689BEL
1PC 8-21-23 JO#27615 WARRANTY
1PC 6-6-23 JO#25801 JARVIS
4pcs 2-17-23 jo21755 MAAM JEN
4PCS 9-29-22 JO#18315 MARLO</t>
        </r>
      </text>
    </comment>
    <comment ref="G542" authorId="0" shapeId="0" xr:uid="{FCA08094-33F0-704C-A315-FA4BEB85587A}">
      <text>
        <r>
          <rPr>
            <sz val="10"/>
            <rFont val="SimSun"/>
            <charset val="134"/>
          </rPr>
          <t>4PCS - 10-30-21 STF#5452 SPC</t>
        </r>
      </text>
    </comment>
    <comment ref="H542" authorId="0" shapeId="0" xr:uid="{DF2C814A-E738-7A42-8022-367EDC5ACF32}">
      <text>
        <r>
          <rPr>
            <sz val="10"/>
            <rFont val="SimSun"/>
            <charset val="134"/>
          </rPr>
          <t>3PCS - 11/4/2021 SPC
4PCS - 10/30/2021 JO11580 JARVIS</t>
        </r>
      </text>
    </comment>
    <comment ref="G543" authorId="0" shapeId="0" xr:uid="{BFF53D65-384C-1549-BA4C-76CB9ABF8BE3}">
      <text>
        <r>
          <rPr>
            <sz val="10"/>
            <rFont val="SimSun"/>
            <charset val="134"/>
          </rPr>
          <t xml:space="preserve">4PCS 4-26-22 STF#6243 SPC
4PC 02-21-2022 ST001786 LIPA A
</t>
        </r>
      </text>
    </comment>
    <comment ref="H543" authorId="0" shapeId="0" xr:uid="{F7A7389C-E9B9-0A4C-969F-F92B06A60F57}">
      <text>
        <r>
          <rPr>
            <sz val="10"/>
            <rFont val="SimSun"/>
            <charset val="134"/>
          </rPr>
          <t>1PC 5-11-22 STF#1776 SPC
4PC 04-26-2022 JO15014 SALES
4PC 02-23-22 ST001645 LIPA A
1pc 2-15-22 STF#1636 A
2PCS 1-11-22 JO#12887 JARVIS</t>
        </r>
      </text>
    </comment>
    <comment ref="G544" authorId="0" shapeId="0" xr:uid="{7B6EEF76-2D1A-B343-A25B-768B45546D99}">
      <text>
        <r>
          <rPr>
            <sz val="10"/>
            <rFont val="SimSun"/>
            <charset val="134"/>
          </rPr>
          <t>2PC 01-20-2022 ST005793 SPC</t>
        </r>
      </text>
    </comment>
    <comment ref="H544" authorId="0" shapeId="0" xr:uid="{7CBBDAAC-2F7F-2F4A-BFB0-425DC9A08C0B}">
      <text>
        <r>
          <rPr>
            <sz val="10"/>
            <rFont val="SimSun"/>
            <charset val="134"/>
          </rPr>
          <t xml:space="preserve">2PC 02-13-22 ST001634 SPC
</t>
        </r>
      </text>
    </comment>
    <comment ref="G545" authorId="0" shapeId="0" xr:uid="{9D85662F-236A-F744-8807-96E3C252E215}">
      <text>
        <r>
          <rPr>
            <sz val="10"/>
            <rFont val="SimSun"/>
            <charset val="134"/>
          </rPr>
          <t>4pcs 3-3-23 stf#777 spc
4PCS 2-16-23 STF#7686 SPC</t>
        </r>
      </text>
    </comment>
    <comment ref="H545" authorId="0" shapeId="0" xr:uid="{4B4EC488-BFCD-5945-88F1-235E843897E6}">
      <text>
        <r>
          <rPr>
            <sz val="10"/>
            <rFont val="SimSun"/>
            <charset val="134"/>
          </rPr>
          <t>4pcs 3-4-23 stF#2321 lipa a
4pcs 2-25-23 JO#21991 BEL</t>
        </r>
      </text>
    </comment>
    <comment ref="G546" authorId="0" shapeId="0" xr:uid="{6DE461F8-58BA-E54F-8CF4-7F764E2EEB0E}">
      <text>
        <r>
          <rPr>
            <sz val="10"/>
            <rFont val="SimSun"/>
            <charset val="134"/>
          </rPr>
          <t>IN 4PCS 11.7.25 DR#79863 SPC HACKET
IN 4PCS 11.10.25 DR#79871 SPC HACKET
IN 4PCS 10.17.25 DR#79672 SPC ROBIN/ALWIN</t>
        </r>
      </text>
    </comment>
    <comment ref="H546" authorId="0" shapeId="0" xr:uid="{09920485-BDE0-964A-B4C9-DD3E4FFCC165}">
      <text>
        <r>
          <rPr>
            <sz val="10"/>
            <rFont val="SimSun"/>
            <charset val="134"/>
          </rPr>
          <t>OUT 4PCS 11.14.25 DR#80014 LIPA A
OUT 4PCS 10.29.25 DR#79789 SPC RONNIE</t>
        </r>
      </text>
    </comment>
    <comment ref="G547" authorId="0" shapeId="0" xr:uid="{3A239153-8498-E547-872B-4B0F72539653}">
      <text>
        <r>
          <rPr>
            <sz val="10"/>
            <rFont val="SimSun"/>
            <charset val="134"/>
          </rPr>
          <t>4PCS 4-25-23 STF#8039 SPC</t>
        </r>
      </text>
    </comment>
    <comment ref="H547" authorId="0" shapeId="0" xr:uid="{E2908457-9B87-374F-937C-E34E2F08C1F6}">
      <text>
        <r>
          <rPr>
            <sz val="10"/>
            <rFont val="SimSun"/>
            <charset val="134"/>
          </rPr>
          <t>4PCS 4-30-23 JO#24929 MARLO</t>
        </r>
      </text>
    </comment>
    <comment ref="G548" authorId="0" shapeId="0" xr:uid="{1BEC50FB-82DB-1445-9944-6F63DA864B6F}">
      <text>
        <r>
          <rPr>
            <sz val="10"/>
            <rFont val="SimSun"/>
            <charset val="134"/>
          </rPr>
          <t>IN 4PCS 11.19.25 DR#79889 SPC ROBIN
IN 4PCS 10.17.25 DR#79672 SPC ROBIN/ALWIN</t>
        </r>
      </text>
    </comment>
    <comment ref="H548" authorId="0" shapeId="0" xr:uid="{B328FA12-1B90-724F-9AA3-31C5B9653374}">
      <text>
        <r>
          <rPr>
            <sz val="10"/>
            <rFont val="SimSun"/>
            <charset val="134"/>
          </rPr>
          <t>OUT 4PCS 10.29.25 DR#79789 SPC RONNIE</t>
        </r>
      </text>
    </comment>
    <comment ref="H549" authorId="0" shapeId="0" xr:uid="{7C065303-D80E-0941-BFA0-82CBF0DD1755}">
      <text>
        <r>
          <rPr>
            <sz val="10"/>
            <rFont val="SimSun"/>
            <charset val="134"/>
          </rPr>
          <t>4PCS 5-12-22 JO#15343 SALES</t>
        </r>
      </text>
    </comment>
    <comment ref="G550" authorId="0" shapeId="0" xr:uid="{B8E41018-1558-F649-9149-200B9DA56ECD}">
      <text>
        <r>
          <rPr>
            <sz val="10"/>
            <rFont val="SimSun"/>
            <charset val="134"/>
          </rPr>
          <t>IN 1PC 03/13/24 DR#74865 SPC
1pc 9-26-23 STA CRUZ
4PCS 4-25-23 STF#8039 SPC
4PCS 3-31-23 STF#7938 SPC</t>
        </r>
      </text>
    </comment>
    <comment ref="H550" authorId="0" shapeId="0" xr:uid="{CBA49EE5-B2C1-7042-BF57-357B28BD3D5B}">
      <text>
        <r>
          <rPr>
            <sz val="10"/>
            <rFont val="SimSun"/>
            <charset val="134"/>
          </rPr>
          <t>OUT 03/13/24 1PCS SALES 32687 BEL
1pc 10-12-23 JO#28768 MARLO
4PCS 5-23-23 JO#25523 MARLO
4PCS 3-31-23 JO#23749 BEL</t>
        </r>
      </text>
    </comment>
    <comment ref="G552" authorId="0" shapeId="0" xr:uid="{63C2774F-35CB-5043-AA88-5B6BE738CCFD}">
      <text>
        <r>
          <rPr>
            <sz val="10"/>
            <rFont val="SimSun"/>
            <charset val="134"/>
          </rPr>
          <t>4PCS 2-16-23 STF#7686 SPC</t>
        </r>
      </text>
    </comment>
    <comment ref="H552" authorId="0" shapeId="0" xr:uid="{C29CB136-59B9-834A-8729-914D1B547325}">
      <text>
        <r>
          <rPr>
            <sz val="10"/>
            <rFont val="SimSun"/>
            <charset val="134"/>
          </rPr>
          <t>4PCS 3-2-23 JO#22103 BEL</t>
        </r>
      </text>
    </comment>
    <comment ref="G555" authorId="0" shapeId="0" xr:uid="{4C3E930A-BDF1-B342-8A44-B04235ABF37A}">
      <text>
        <r>
          <rPr>
            <sz val="10"/>
            <rFont val="SimSun"/>
            <charset val="134"/>
          </rPr>
          <t>4PCS 4-30-23 STF#8063 SPC</t>
        </r>
      </text>
    </comment>
    <comment ref="H555" authorId="0" shapeId="0" xr:uid="{4E818D4C-2B12-E34B-86FA-A91A798C3948}">
      <text>
        <r>
          <rPr>
            <sz val="10"/>
            <rFont val="SimSun"/>
            <charset val="134"/>
          </rPr>
          <t>4PCS 5-29-23 STF#2479 LIPA A</t>
        </r>
      </text>
    </comment>
    <comment ref="G556" authorId="0" shapeId="0" xr:uid="{3655BA6C-03D0-1D42-ACB2-2DA59DE64CBA}">
      <text>
        <r>
          <rPr>
            <sz val="10"/>
            <rFont val="SimSun"/>
            <charset val="134"/>
          </rPr>
          <t>IN 4PCS 02.02.26 DR#162794 DRAKESTER</t>
        </r>
      </text>
    </comment>
    <comment ref="H556" authorId="0" shapeId="0" xr:uid="{FE2FB371-01F2-AE4D-96DF-7A85FDC2D072}">
      <text>
        <r>
          <rPr>
            <sz val="10"/>
            <rFont val="SimSun"/>
            <charset val="134"/>
          </rPr>
          <t>02.02.26
54812 4PCS JARVIS</t>
        </r>
      </text>
    </comment>
    <comment ref="G558" authorId="0" shapeId="0" xr:uid="{BCBA1BC2-1CBF-1940-B820-6534CFDBF47E}">
      <text>
        <r>
          <rPr>
            <sz val="10"/>
            <rFont val="SimSun"/>
            <charset val="134"/>
          </rPr>
          <t>5pcs 9-6-22 stf#6890 spc</t>
        </r>
      </text>
    </comment>
    <comment ref="H558" authorId="0" shapeId="0" xr:uid="{4F1D72B0-AF60-AF43-A4D1-13663F474124}">
      <text>
        <r>
          <rPr>
            <sz val="10"/>
            <rFont val="SimSun"/>
            <charset val="134"/>
          </rPr>
          <t>5PC 9-6-22 JO17903 MARIBEL</t>
        </r>
      </text>
    </comment>
    <comment ref="G559" authorId="0" shapeId="0" xr:uid="{FF843D85-C3F1-6641-A4F4-DE946277F586}">
      <text>
        <r>
          <rPr>
            <sz val="10"/>
            <rFont val="SimSun"/>
            <charset val="134"/>
          </rPr>
          <t>1PC  9-27-22 STF#6994 SPC
1pc 8-5-22 stf6736 SPC
4PCS 7-13-22 STF#6626 SPC</t>
        </r>
      </text>
    </comment>
    <comment ref="H559" authorId="0" shapeId="0" xr:uid="{45884E17-30F7-5048-B289-EEC581D85937}">
      <text>
        <r>
          <rPr>
            <sz val="10"/>
            <rFont val="SimSun"/>
            <charset val="134"/>
          </rPr>
          <t>2PCS 10-7-22 STF#2004 SPC
2pcs 9-28-22 STF#1994 SPC
1PC 8-25-22 STF#1943 SPC
1PC 7-20-22 STF#1881 SPC</t>
        </r>
      </text>
    </comment>
    <comment ref="G560" authorId="0" shapeId="0" xr:uid="{56AE30CE-BDCF-AC4F-9360-51924B95320C}">
      <text>
        <r>
          <rPr>
            <sz val="10"/>
            <rFont val="SimSun"/>
            <charset val="134"/>
          </rPr>
          <t>8PCS 9-27-22 STF#6994 SPC</t>
        </r>
      </text>
    </comment>
    <comment ref="H560" authorId="0" shapeId="0" xr:uid="{6B105AEF-F422-CD42-A014-34D92DFE1E1F}">
      <text>
        <r>
          <rPr>
            <sz val="10"/>
            <rFont val="SimSun"/>
            <charset val="134"/>
          </rPr>
          <t>2pcs 1-6-24 DR#73359 SPC OLD DOT
4PCS 1-5-23 STF#2191 SPC</t>
        </r>
      </text>
    </comment>
    <comment ref="G561" authorId="0" shapeId="0" xr:uid="{DD01D629-B63D-BF48-A690-A045002503D5}">
      <text>
        <r>
          <rPr>
            <sz val="10"/>
            <rFont val="SimSun"/>
            <charset val="134"/>
          </rPr>
          <t>4PCS 4-25-23 STF#8034 SPC
4PCS 9-27-22 STF#6994 SPC</t>
        </r>
      </text>
    </comment>
    <comment ref="H561" authorId="0" shapeId="0" xr:uid="{56129D33-A913-0942-AFE4-836099FBC0EB}">
      <text>
        <r>
          <rPr>
            <sz val="10"/>
            <rFont val="SimSun"/>
            <charset val="134"/>
          </rPr>
          <t>2PCS 10-17-23 JO#28901 JARVIS
2PCS 6-15-23 JO#26063 BEL
4PCS 10-11-22 JO#18689 ALY</t>
        </r>
      </text>
    </comment>
    <comment ref="G563" authorId="0" shapeId="0" xr:uid="{F2022454-122F-B644-955A-55DEACE7EC26}">
      <text>
        <r>
          <rPr>
            <sz val="10"/>
            <rFont val="SimSun"/>
            <charset val="134"/>
          </rPr>
          <t>1PC 2-18-23 STF#7700 SPC
1PC 1-28-23 STF#2307 LIPA A
1PC 1-28-23 STF#7588 SPC
2pcs 1-3-22 STF#2268 LIPA A
2pcs 11-9-22 stf#2193 site a
2PCS 10-24-22 STF#7146 SPC
1PC 10-1-22 STF#7029 SPC
6PCS 9-27-22 STF#6994 SPC
2PCS 9-23-22 STF#6968 SPC
8PCS 9-20-22 STF#6951 SPC
2PCS 9-2-22 STF#6867 SPC
4PCS 8-29-22 STF#6849 SPC</t>
        </r>
      </text>
    </comment>
    <comment ref="H563" authorId="0" shapeId="0" xr:uid="{84C485A5-A660-814B-ABF7-BC7D455E19F6}">
      <text>
        <r>
          <rPr>
            <sz val="10"/>
            <rFont val="SimSun"/>
            <charset val="134"/>
          </rPr>
          <t xml:space="preserve">2PCS 2-18-23 JO#21818 ALY
1PC  2-1-23 STF#2256 SPC
1PC 1-28-23 JO21303 ALY
2PCS 1-3-22 JO#20559 ALY
2PCS 11-9-22 JO#19244 JOJO
4PCS 11-3-22 JO#18959 JOJO
2PC 10-22-22 JO18953 JOJO
4PCS 10-10-22 JO#1693 SALES
4pcs 10-5-22 stf#2002 spc
1PC 9-29-22 JO18441 JARVIS
2PC 9-26-22 JO18309 JARVIS
2PCS 9-22-22 JO#18128 SALES
4PCS 9-16-22 STF#1976 SPC
2PCS 8-31-22 JO#17630 SPC
</t>
        </r>
      </text>
    </comment>
    <comment ref="G564" authorId="0" shapeId="0" xr:uid="{06984D9D-411B-5049-B9FE-EA6B3646F55B}">
      <text>
        <r>
          <rPr>
            <sz val="10"/>
            <rFont val="SimSun"/>
            <charset val="134"/>
          </rPr>
          <t>2PCS 1-12-23 STF#7496 SPC
1PC  10-7-22 STF#7059 SPC
4PCS 9-27-22 STF#6994 SPC
4PCS 8-29-22 STF#6849 SPC
4PCS 7-13-22 STF#6626 SPC</t>
        </r>
      </text>
    </comment>
    <comment ref="H564" authorId="0" shapeId="0" xr:uid="{749B03BF-0CCE-A84B-9D34-B496442F3033}">
      <text>
        <r>
          <rPr>
            <sz val="10"/>
            <rFont val="SimSun"/>
            <charset val="134"/>
          </rPr>
          <t>1PC 1-6-24 DR#73361 SPC OLD DOT
2PCS 1-12-23 JO#20856 BEL
4PCS 12-3-22 JO#19962 JARVIS
1PC 10-04-22 JO18547 MARIBEL
4PCS 9-6-22 STF#1964 SITE A
4PC 8-9-22 STF#1912 SPC</t>
        </r>
      </text>
    </comment>
    <comment ref="G565" authorId="0" shapeId="0" xr:uid="{20EBE5D3-07CE-0940-B1DA-144C5E7C1351}">
      <text>
        <r>
          <rPr>
            <sz val="10"/>
            <rFont val="SimSun"/>
            <charset val="134"/>
          </rPr>
          <t>4PCS 10-18-22 STF#7120 SPC
3PCS 9-27-22 STF#6994 SPC
3PCS 9-7-22 ST006893 SPC
4PCS 9-1-22 STF#6862 SPC
4PCS 8-18-22 STF#6800 SPC
8PCS 7-13-22 STF#6626 SPC</t>
        </r>
      </text>
    </comment>
    <comment ref="H565" authorId="0" shapeId="0" xr:uid="{6366F34E-20BA-1943-8A40-F5C1B5043CE7}">
      <text>
        <r>
          <rPr>
            <sz val="10"/>
            <rFont val="SimSun"/>
            <charset val="134"/>
          </rPr>
          <t>4PCS 11-3-22 JO#19192 MARLO
4PC 10-15-22 JO18795 MARIBEL
4PC 9-28-22 JO#18413 MARIBEL 
1PC 9-14-22 STF#1973 SPC
2PCS 9-11-22 JO#18032 ALY
2PCS 8-25-22 STF#1943 SPC
1PC 8-23-22 STF#1940 SPC
4PCS 8-16-22 STF#1925 SPC
4PCS 7-27-22 STF#1894 SPC</t>
        </r>
      </text>
    </comment>
    <comment ref="G566" authorId="0" shapeId="0" xr:uid="{43D69154-65B7-FE47-9AFD-C943ADC3C73C}">
      <text>
        <r>
          <rPr>
            <sz val="10"/>
            <rFont val="SimSun"/>
            <charset val="134"/>
          </rPr>
          <t>2PCS 11-21-22 STf#2210 SITE A
4PCS 9-27-22 STF#6994 SPC
4PCS 9-1-22 STF#6862 SPC</t>
        </r>
      </text>
    </comment>
    <comment ref="H566" authorId="0" shapeId="0" xr:uid="{E9EE5385-93F7-1548-A0A9-7DC753134D5B}">
      <text>
        <r>
          <rPr>
            <sz val="10"/>
            <rFont val="SimSun"/>
            <charset val="134"/>
          </rPr>
          <t>2PCS 12-12-22 JO#20118 A;LY
2PCS 11-28-22 STF#2098 SITE A
2PCS 11-17-22 STF#2074 SITE A
4PCS 11-2-22 STF#2044 SPC</t>
        </r>
      </text>
    </comment>
    <comment ref="G567" authorId="0" shapeId="0" xr:uid="{BCDF53A2-4DD2-5748-86F8-369DBE91EAFA}">
      <text>
        <r>
          <rPr>
            <sz val="10"/>
            <rFont val="SimSun"/>
            <charset val="134"/>
          </rPr>
          <t>4PCS  8-20-22 STF#6808 SPC</t>
        </r>
      </text>
    </comment>
    <comment ref="H567" authorId="0" shapeId="0" xr:uid="{DE4AA07A-3FF2-294F-B548-F00D2C6B91E9}">
      <text>
        <r>
          <rPr>
            <sz val="10"/>
            <rFont val="SimSun"/>
            <charset val="134"/>
          </rPr>
          <t>4PCS 11-24-22 ST002087 LIPA A</t>
        </r>
      </text>
    </comment>
    <comment ref="G568" authorId="0" shapeId="0" xr:uid="{8FA63D97-6B13-E941-932B-A47C280600BF}">
      <text>
        <r>
          <rPr>
            <sz val="10"/>
            <rFont val="SimSun"/>
            <charset val="134"/>
          </rPr>
          <t>1pc  9-24-22 STF#6978 SPC
4PCS 9-1-22 STF#6862 SPC
4PCS 7-13-22 STF#6626 SPC</t>
        </r>
      </text>
    </comment>
    <comment ref="H568" authorId="0" shapeId="0" xr:uid="{6B910D8D-0B79-F343-9403-BB3D25D17901}">
      <text>
        <r>
          <rPr>
            <sz val="10"/>
            <rFont val="SimSun"/>
            <charset val="134"/>
          </rPr>
          <t>4PCS 10-18-22 JO#18882 BEL
1PC 9-22-22 JO#18128 SALES
4PCS 8-27-22 STF#1945 SPC</t>
        </r>
      </text>
    </comment>
    <comment ref="G569" authorId="0" shapeId="0" xr:uid="{5F4D5641-A392-3D41-B9DA-C089AD3A663F}">
      <text>
        <r>
          <rPr>
            <sz val="10"/>
            <rFont val="SimSun"/>
            <charset val="134"/>
          </rPr>
          <t>1PC 9-22-22 STF#6962 SPC
4PCS 8-19-22 STF#6804 SPC
4PCS 8-8-22 STf#6747 SPC
4PCS 7-13-22 STF#6626 SPC
1PC 7-6-22 STF#6593 SPC
2PCS 6-27-22 STF#6547 SPC
4PS 6-23-22 STF#6528 SPC</t>
        </r>
      </text>
    </comment>
    <comment ref="H569" authorId="0" shapeId="0" xr:uid="{8890F3D1-B2EB-9B4C-BF18-EDD9E5760012}">
      <text>
        <r>
          <rPr>
            <sz val="10"/>
            <rFont val="SimSun"/>
            <charset val="134"/>
          </rPr>
          <t xml:space="preserve">
1PC 10-19-22 STF#2021 SPC
2PC 10-16-22 ST002018 LIPA A
1PC 9-25-22 JO#18356 ALY
1PC 9-13-22 JO#18076 JARVIS
4PC 8-6-22 JO17118 SALES
4PC SALES 7-9-22 JO16601 MARIBEL
1PC 6-27-22 JO16305 SALES
2PC 6-24-22 JO16227 SALES
</t>
        </r>
      </text>
    </comment>
    <comment ref="G570" authorId="0" shapeId="0" xr:uid="{A9429434-5418-4D40-8E1F-8BD86BBE8430}">
      <text>
        <r>
          <rPr>
            <sz val="10"/>
            <rFont val="SimSun"/>
            <charset val="134"/>
          </rPr>
          <t>2PCS 10-13-22 STF#7096 SPC
2PCS 10-4-22 STF#7043 SPC
4PCS 9-28-22 STF#7010 SPC
4PCS 9-10-22 STF#6908 SPC
8PCS 8-29-22 STF#6853 SPC
4PCS 7-25-22 STF#6684 SPC
2PCS 7-6-22 STF#2019 SITE A
2PC 7-3-22 ST002010 LIPA A
4PS 6-23-22 STF#6528 SPC</t>
        </r>
      </text>
    </comment>
    <comment ref="H570" authorId="0" shapeId="0" xr:uid="{81C1B682-4899-9D46-943E-62E579E80220}">
      <text>
        <r>
          <rPr>
            <sz val="10"/>
            <rFont val="SimSun"/>
            <charset val="134"/>
          </rPr>
          <t xml:space="preserve">2PC 11-5-22 JO19242 JOJO
1PC 10/11/22 JO#18374 MARIBEL
1pc 10-10-22 STF#2009 LIPA A
4PC 10-01-22 JO18491 MARIBEL
2PCS 9-30-221 JO#18455 BEL
4PCS 9-9-22 JO#17974 JARVIS
4PCS 9-1-22 JO#17771 JARVIS
2PCS 8-12-22 STF#1917 SPC
1PC 8-9-22 JO17213 SALES
1PC 8-5-22 JO17160 MARIBEL
2PCS 07-06-22 JO# 16534 PAUL 
2PC 7-3-22 JO16454 ALY
4PC 6-25-22 JO16200 SALES
</t>
        </r>
      </text>
    </comment>
    <comment ref="G571" authorId="0" shapeId="0" xr:uid="{C497308C-D900-4048-A423-0E6FC9060BAC}">
      <text>
        <r>
          <rPr>
            <sz val="10"/>
            <rFont val="SimSun"/>
            <charset val="134"/>
          </rPr>
          <t xml:space="preserve">4PCS 9-27-22 STF#6994 SPC
4PCS 9-14-22 STF#6921 SPC
2PCS 8-29-22 STF#6849 SPC
2PCS 8-18-22 STF#6800 SPC
4PCS 7-25-22 STF#6684 SPC
2PCS 7-11-22 STF#6613 SPC
4PS 6-23-22 STF#6528 SP
</t>
        </r>
      </text>
    </comment>
    <comment ref="H571" authorId="0" shapeId="0" xr:uid="{B6575F3A-9E71-0E4E-B4AF-1F9C8267606F}">
      <text>
        <r>
          <rPr>
            <sz val="10"/>
            <rFont val="SimSun"/>
            <charset val="134"/>
          </rPr>
          <t>4PC 10-8-22 JO18642 JARVIS
4PCS 9-22-22 STF#1986 SPC
4PCS 8-30-22 JO#17735 JARVIS
2PCS 8-29-22 JO#17690 ALY
2PCS 8-12-22 STF#1917 SPC
4pcs 7-23-22 JO#16896 SALES
2PCS 7-5-22 STF#1860 SPC
1PC 6-27-22 JO16305 SALES</t>
        </r>
      </text>
    </comment>
    <comment ref="G572" authorId="0" shapeId="0" xr:uid="{F43A3030-3B2A-EB4A-BEF5-8FDF8AB16BDA}">
      <text>
        <r>
          <rPr>
            <sz val="10"/>
            <rFont val="SimSun"/>
            <charset val="134"/>
          </rPr>
          <t>12PCS 8-29-22 STF#6849 SPC
4PS 6-23-22 STF#6528 SPC</t>
        </r>
      </text>
    </comment>
    <comment ref="H572" authorId="0" shapeId="0" xr:uid="{FD3E3C0D-0C5F-8242-9B7A-0009EFC0AC24}">
      <text>
        <r>
          <rPr>
            <sz val="10"/>
            <rFont val="SimSun"/>
            <charset val="134"/>
          </rPr>
          <t>4PCS 10-21--22 STF#2024 SPC
4PCS 8-9-22 JO#17256 SALES</t>
        </r>
      </text>
    </comment>
    <comment ref="G573" authorId="0" shapeId="0" xr:uid="{A51EB71C-39E7-7249-8BD7-5249D73383B2}">
      <text>
        <r>
          <rPr>
            <sz val="10"/>
            <rFont val="SimSun"/>
            <charset val="134"/>
          </rPr>
          <t>4PCS 8-19-22 STF#6804 SPC
4PCS 7-13-22 STF#6626 SPC</t>
        </r>
      </text>
    </comment>
    <comment ref="H573" authorId="0" shapeId="0" xr:uid="{8A619331-2249-E54B-B19B-DC13E74052D3}">
      <text>
        <r>
          <rPr>
            <sz val="10"/>
            <rFont val="SimSun"/>
            <charset val="134"/>
          </rPr>
          <t>2PCS 12-3-22 STF#2112 SPC
2PCS 10-3-22 JO#18541 SALES
4PCS 7-27-22 STF#1894 SPC</t>
        </r>
      </text>
    </comment>
    <comment ref="G575" authorId="0" shapeId="0" xr:uid="{0328B8F0-A71E-3E4F-BC31-FF4DB129631C}">
      <text>
        <r>
          <rPr>
            <sz val="10"/>
            <rFont val="SimSun"/>
            <charset val="134"/>
          </rPr>
          <t>4PCS 9-28-22 STF#7010 SPC
4PCS 9-27-22 STF#6994 SPC
3PCS 9-14-22 STF#6921 SPC
6PCS 9-1-22 STF#6862 SPC
4PCS 8-19-22 STF#6804 SPC
4PCS 8-2-22 STF#6720 SPC
4PCS 7-13-22 STF#6626 SPC</t>
        </r>
      </text>
    </comment>
    <comment ref="H575" authorId="0" shapeId="0" xr:uid="{E565D069-7252-A440-957D-B1697F291586}">
      <text>
        <r>
          <rPr>
            <sz val="10"/>
            <rFont val="SimSun"/>
            <charset val="134"/>
          </rPr>
          <t>4PCS 10-18-22 JO#188860 BEL
4PC 10-15-22 JO18788 MARIBEL
4PCS 9-24-22 JO#18299 BEL
1pc 9-11-22 JO#17995 MARLO
2PCS 9-11-22 JO#18041 JARVIS
4PCS 9-2-22 JO#17802 PAUL
PC 8-25-22 JO17604 MARIBEL
4PC 8-7-22 JO17221 MARIBEL
4PC 7-24-22 JO16880 ALY</t>
        </r>
      </text>
    </comment>
    <comment ref="G576" authorId="0" shapeId="0" xr:uid="{D384056E-70CB-344F-AB43-41EDAA7ADC8B}">
      <text>
        <r>
          <rPr>
            <sz val="10"/>
            <rFont val="SimSun"/>
            <charset val="134"/>
          </rPr>
          <t>4PCS 9-27-22 STF#6994 SPC
4pcs 9-8-22 STF#6902 SPC
1PC 9-8-22 STF#6898 SPC
4pcs 9-6-22 STF#6887 SPC</t>
        </r>
      </text>
    </comment>
    <comment ref="H576" authorId="0" shapeId="0" xr:uid="{FA54F4FF-CAB5-604F-BA2F-224ECF8948D1}">
      <text>
        <r>
          <rPr>
            <sz val="10"/>
            <rFont val="SimSun"/>
            <charset val="134"/>
          </rPr>
          <t>2PCS 12-13-22 STF#2148 SPC
2PCS 11-25-22 STF#2091 SPC
2PCS 11-25-22 STF#2090 SITE A
2PCS 9-14-22 STF#1973 SPC
1pc 9-12-22 STF#1971 SITE A
4PCS 9-10-22 JO#18005 BEL
1pc 9-10-22 STF#1968 SITE A
1PC 9-7-22 ST001966 LIPA A</t>
        </r>
      </text>
    </comment>
    <comment ref="G577" authorId="0" shapeId="0" xr:uid="{B86C986C-4661-8742-A2BD-BD9524C66CBB}">
      <text>
        <r>
          <rPr>
            <sz val="10"/>
            <rFont val="SimSun"/>
            <charset val="134"/>
          </rPr>
          <t>2PCS 1-19-23 STF#7538 SPC
2PCS 10-18-22 STF#7122 SPC
4PCS 10-17-22 STF#7111 SPC
2PCS  9-28-22 STF#7009 SPC
4PCS 8-29-22 STF#6849 SPC
4PCS 7-25-22 STF#6684 SPC
4PCS 7-14-22 STF#6635 SPC</t>
        </r>
      </text>
    </comment>
    <comment ref="H577" authorId="0" shapeId="0" xr:uid="{07ECD3D3-AE31-5549-9A77-F120A5DB3402}">
      <text>
        <r>
          <rPr>
            <sz val="10"/>
            <rFont val="SimSun"/>
            <charset val="134"/>
          </rPr>
          <t>2pcs 1-20-23 JO#20779 JOJO
2PCS 1-9-23 STF#2202 SPC
2PCS 11-3-22 STF#2045 SITE A
1PC 10-12-22 STF#2011 SPC
1PC 10/11/22 JO#18714 JARVIS 
2PCS 10-11-22 JO#18700 MARIBEL 
2pcs 9-27-22 stf#1992 site a
4PC 8-18-22 JO17447 JARVIS
4pcs 7-22-22 STF#1882 SITE A</t>
        </r>
      </text>
    </comment>
    <comment ref="G578" authorId="0" shapeId="0" xr:uid="{D4873357-B723-D54B-AA4A-BDC2E1614C24}">
      <text>
        <r>
          <rPr>
            <sz val="10"/>
            <rFont val="SimSun"/>
            <charset val="134"/>
          </rPr>
          <t>4PCS 10-21-22 STF#7131 SPC
2PCS 9-20-22 STF#6951 SPC
8PCS 8-29-22 STF#6849 SPC
2PCS 8-17-22 STF#6795 SPC
4PCS 7-25-22 STF#6684 SPC
4PCS 7-13-22 STF#6626 SPC</t>
        </r>
      </text>
    </comment>
    <comment ref="H578" authorId="0" shapeId="0" xr:uid="{5775845E-3C28-A048-95D0-2FE41901DB6E}">
      <text>
        <r>
          <rPr>
            <sz val="10"/>
            <rFont val="SimSun"/>
            <charset val="134"/>
          </rPr>
          <t>4pcs 10-21-22 JO#18919 JARVIS
2PCS 10-13-22 STF#2014 SITE A
2PCS 10-1-22 JO#18448 SALES
2PCS 9-17-22 STF#1975 SPC
4PCS 9-9-22 JO#17942 OFFICE
2pcs 8-17-22 JO#17404 SPC
4PC 8-7-22 JO17211 ALY
4PCS 7-14-22 STF#1875 SPC</t>
        </r>
      </text>
    </comment>
    <comment ref="G579" authorId="0" shapeId="0" xr:uid="{B40B7E2C-A832-284E-ADB8-04AA02A4F2FB}">
      <text>
        <r>
          <rPr>
            <sz val="10"/>
            <rFont val="SimSun"/>
            <charset val="134"/>
          </rPr>
          <t>4PCS 10-7-22 STF#7059 SPC
4PCS 8-29-22 STF#6849 SPC
2PC 8-6-22 STF#6739 SPC
4PCS 7-26-22 STF#6695 SPC</t>
        </r>
      </text>
    </comment>
    <comment ref="H579" authorId="0" shapeId="0" xr:uid="{43EC4FB9-AA21-6C4B-B3FA-D7D52E5D9B59}">
      <text>
        <r>
          <rPr>
            <sz val="10"/>
            <rFont val="SimSun"/>
            <charset val="134"/>
          </rPr>
          <t>4PCS 10-12-22 JO#1818704 MARLO 
4pcs 9-28-22 STF#1994 SPC
4PCS 8-9-22 JO#17234 PAU
2PCS 8-4-22 JO#17127 SALES</t>
        </r>
      </text>
    </comment>
    <comment ref="G580" authorId="0" shapeId="0" xr:uid="{FC6445CD-9FBD-EC49-8B09-45DA085239A2}">
      <text>
        <r>
          <rPr>
            <sz val="10"/>
            <rFont val="SimSun"/>
            <charset val="134"/>
          </rPr>
          <t>8PCS 9-27-22 STF#6994 SPC
2PCS 9-8-22 STF#2111 LIPA A
4PCS 8-18-22 STF#6800 SPC
4PCS 7-13-22 STF#6626 SPC</t>
        </r>
      </text>
    </comment>
    <comment ref="H580" authorId="0" shapeId="0" xr:uid="{39EE452F-F2F7-4D4D-A1B7-4CD0AFE5F26C}">
      <text>
        <r>
          <rPr>
            <sz val="10"/>
            <rFont val="SimSun"/>
            <charset val="134"/>
          </rPr>
          <t>3PCS 3-3-23 stf#2320 spc
1PC  1-24-23 STF#2239 SPC
4PCS 10-27-22 STF#2037 STC
2pc 9-8-22 jo17906 maribel
4PCS 8-30-22 JO#17708 JARVIS
4PC 7-17-22 JO16749 JARVIS</t>
        </r>
      </text>
    </comment>
    <comment ref="G581" authorId="0" shapeId="0" xr:uid="{427D388E-B216-0545-8812-A2596DA1C286}">
      <text>
        <r>
          <rPr>
            <sz val="10"/>
            <rFont val="SimSun"/>
            <charset val="134"/>
          </rPr>
          <t>4PCS 9-27-22 STF#6994 SPC
4PCS 9-1-22 STF#6862 SPC</t>
        </r>
      </text>
    </comment>
    <comment ref="H581" authorId="0" shapeId="0" xr:uid="{2320D3B5-21CB-344F-A9D2-52A724C15C55}">
      <text>
        <r>
          <rPr>
            <sz val="10"/>
            <rFont val="SimSun"/>
            <charset val="134"/>
          </rPr>
          <t>2PCS 1-17-23 STF#2217 SPC
2pcs 12-7-22 jo#200606 ALY
4PCS 9-22-22 JO#18128 SALES</t>
        </r>
      </text>
    </comment>
    <comment ref="G582" authorId="0" shapeId="0" xr:uid="{B33D5BB3-DED2-2043-8EF7-05669C1DFD52}">
      <text>
        <r>
          <rPr>
            <sz val="10"/>
            <rFont val="SimSun"/>
            <charset val="134"/>
          </rPr>
          <t>2pcs 1-11-23 STF#7492 SPC
4PCS 8-23-22 STF#6818 SPC
4PCS 7-13-22 STF#6626 SPC</t>
        </r>
      </text>
    </comment>
    <comment ref="H582" authorId="0" shapeId="0" xr:uid="{293A0A79-BBBF-4B42-AD80-88731AD4AE57}">
      <text>
        <r>
          <rPr>
            <sz val="10"/>
            <rFont val="SimSun"/>
            <charset val="134"/>
          </rPr>
          <t>4pcs 1-6-24 DR#73359 SPC OLD DOT
2PCS 10-3-23 JO#28557 BEL
2[PCS 4-6-23 JO#24201 ROSE
2PCS 3-29-23 JO#22278 JOJO</t>
        </r>
      </text>
    </comment>
    <comment ref="G584" authorId="0" shapeId="0" xr:uid="{C5C45C1C-4DAD-9542-87BD-2EA8B0D5F847}">
      <text>
        <r>
          <rPr>
            <sz val="10"/>
            <rFont val="SimSun"/>
            <charset val="134"/>
          </rPr>
          <t>4PCS 8-18-23 DR#74094 SPC
4PCS 9-15-22 STF#6935 SPC</t>
        </r>
      </text>
    </comment>
    <comment ref="H584" authorId="0" shapeId="0" xr:uid="{CA8C7CDF-2733-4E40-85A0-CA7842680012}">
      <text>
        <r>
          <rPr>
            <sz val="10"/>
            <rFont val="SimSun"/>
            <charset val="134"/>
          </rPr>
          <t xml:space="preserve">2PCS 9-4-23 DR#72252 SPC
2PCS 8-18-23 JO#27581 SALES
4pcs 10-26-22 JO#19018 ALY
</t>
        </r>
      </text>
    </comment>
    <comment ref="G585" authorId="0" shapeId="0" xr:uid="{54130AF6-E93E-B743-BCF7-3169FC66662B}">
      <text>
        <r>
          <rPr>
            <sz val="10"/>
            <rFont val="SimSun"/>
            <charset val="134"/>
          </rPr>
          <t>2PCS 8-27-22 STF#6846 SPC
4pcs 8-3-22 STF#6726 SPC</t>
        </r>
      </text>
    </comment>
    <comment ref="H585" authorId="0" shapeId="0" xr:uid="{0CBE9795-76A0-134B-9A9D-E21C063BF056}">
      <text>
        <r>
          <rPr>
            <sz val="10"/>
            <rFont val="SimSun"/>
            <charset val="134"/>
          </rPr>
          <t>2PCS 4-10-23 JO#24237 JARVIS
2PCS 2-21-23 JO#21882 MARLO
2PC 8-8-22 JO17232 PAULO</t>
        </r>
      </text>
    </comment>
    <comment ref="G587" authorId="0" shapeId="0" xr:uid="{50EB4494-7C5E-454B-B749-222A9E83B32C}">
      <text>
        <r>
          <rPr>
            <sz val="10"/>
            <rFont val="SimSun"/>
            <charset val="134"/>
          </rPr>
          <t>4PCS 9-23-22 STF#6969 SPC
4PCS 8-29-22 STF#6849 SPC
4PCS 7-25-22 STF#6684 SPC
2PCS 7-6-22 STF#6587 SPC
4PS 6-23-22 STF#6528 SPC</t>
        </r>
      </text>
    </comment>
    <comment ref="H587" authorId="0" shapeId="0" xr:uid="{2ECD8974-520E-C547-8D2C-D1E296A3CCFB}">
      <text>
        <r>
          <rPr>
            <sz val="10"/>
            <rFont val="SimSun"/>
            <charset val="134"/>
          </rPr>
          <t>2PCS 12-13-22 STF#2148 SPC
4PCS 9-30-221 JO#18453 BEL
2PCS 8-15-22 STF#1922 SPC
2PC 8-12-22 JO17304 PAULO
4PC 7-15-22 JO16741 JARVIS
2PC 6-20-22 JO16329 MARIBEL</t>
        </r>
      </text>
    </comment>
    <comment ref="G588" authorId="0" shapeId="0" xr:uid="{6F8664ED-2A76-BC4F-94D0-A3389546D336}">
      <text>
        <r>
          <rPr>
            <sz val="10"/>
            <rFont val="SimSun"/>
            <charset val="134"/>
          </rPr>
          <t>4PCS 10-18-22 STF#7120 SPC
4PCS 10-1-22 STF#2144 SITE A
4PCS 9-12-22 STF#2117  SITE A</t>
        </r>
      </text>
    </comment>
    <comment ref="H588" authorId="0" shapeId="0" xr:uid="{A9AC378A-8F93-E54E-A7BB-68D66DB72AE2}">
      <text>
        <r>
          <rPr>
            <sz val="10"/>
            <rFont val="SimSun"/>
            <charset val="134"/>
          </rPr>
          <t>4PCS 11-25-22 JO#19751 ALY
4PC 10-03-22 JO18530 ALY
4PCS 9-20-22 JO#18227 BEL</t>
        </r>
      </text>
    </comment>
    <comment ref="G589" authorId="0" shapeId="0" xr:uid="{87933229-65AB-C84A-84EA-D772D82FE89C}">
      <text>
        <r>
          <rPr>
            <sz val="10"/>
            <rFont val="SimSun"/>
            <charset val="134"/>
          </rPr>
          <t>1PC 9-20-22 STF#6951 SPC
1PC 9-15-22 STF#6935 SPC
6PCS 9-7-22 ST006893 SPC
4pcs 9-6-22 STF#6887 SPC
4PCS 8-19-22 STF#6804 SPC
1PC 7-25-22 STF#6684 SPC
4PCS 7-13-22 STF#6626 SPC</t>
        </r>
      </text>
    </comment>
    <comment ref="H589" authorId="0" shapeId="0" xr:uid="{26A57845-FA6A-4B4E-A923-B6BFEC45326F}">
      <text>
        <r>
          <rPr>
            <sz val="10"/>
            <rFont val="SimSun"/>
            <charset val="134"/>
          </rPr>
          <t>4PCS 11-14-22 JO#19459 JARVIS
4pc 9-19-22 st001979 lipa a
2PCS 9-10-22 JO#18010 BEL
2PCS 9-7-22 JO#17899 ALY 
4pc 8-27-22 jo17620 jarvis
4PCS 8-9-22 JO#17253 BEL
1PC 7-24-22 JO16858 PAULO</t>
        </r>
      </text>
    </comment>
    <comment ref="G590" authorId="0" shapeId="0" xr:uid="{63694DA7-0546-4042-B035-D116C2AC691F}">
      <text>
        <r>
          <rPr>
            <sz val="10"/>
            <rFont val="SimSun"/>
            <charset val="134"/>
          </rPr>
          <t>2PCS 10-10-22 STF#7080 SPC
8PCS 9-27-22 STF#6994 SPC
4PCS 8-19-22 STF#6804 SPC
4PCS 8-2-22 STF#6720 SPC</t>
        </r>
      </text>
    </comment>
    <comment ref="H590" authorId="0" shapeId="0" xr:uid="{057B5D70-B690-1444-9738-2782D118464F}">
      <text>
        <r>
          <rPr>
            <sz val="10"/>
            <rFont val="SimSun"/>
            <charset val="134"/>
          </rPr>
          <t>4PC 10-25-22 JO18999 MARIBEL
2PC 10-9-22 JO18666 ALY
4PC 10-02-22 JO18496 MARIBEL
2PCS 9-3-22 STF#1959 SPC
4PCS 8-26-22 JO#17653 MARIBEL
4PC 8-8-22 JO17223 MARIBEL</t>
        </r>
      </text>
    </comment>
    <comment ref="G591" authorId="0" shapeId="0" xr:uid="{6701478F-655E-7E45-BD0A-4BF9DF8B0ADF}">
      <text>
        <r>
          <rPr>
            <sz val="10"/>
            <rFont val="SimSun"/>
            <charset val="134"/>
          </rPr>
          <t>4PCS 11-6-22 STF#7207 SPC
2PCS 8-19-22 STF#6804 SPC
2pcs 7-28-22 STF#6699 SPC
4PS 6-23-22 STF#6528 SPC</t>
        </r>
      </text>
    </comment>
    <comment ref="H591" authorId="0" shapeId="0" xr:uid="{85341621-B820-E349-A24E-ABFEAD3889AC}">
      <text>
        <r>
          <rPr>
            <sz val="10"/>
            <rFont val="SimSun"/>
            <charset val="134"/>
          </rPr>
          <t>2PCS 11-30-22 STF#2102 LIPA A
2PCS 11-17-22 STF#2074 SITE A
4PCS 10-22-22 STF#2030 SPC
2PCS 8-18-22 STF#1935 SPC
2PC 7-21-22 JO16789 PAUL</t>
        </r>
      </text>
    </comment>
    <comment ref="G592" authorId="0" shapeId="0" xr:uid="{106C2511-F0B8-5C4D-8FDB-F23C7363FA1B}">
      <text>
        <r>
          <rPr>
            <sz val="10"/>
            <rFont val="SimSun"/>
            <charset val="134"/>
          </rPr>
          <t>4pcs 9-6-22 STF#6887 SPC
1PC 8-23-22 STF#6818 SPC
4PCS  8-20-22 STF#6808 SPC
4PCS 7-13-22 STF#6626 SPC
4PS 6-23-22 STF#6528 SPC</t>
        </r>
      </text>
    </comment>
    <comment ref="H592" authorId="0" shapeId="0" xr:uid="{9643046C-1DB0-6148-ABB7-511616004A73}">
      <text>
        <r>
          <rPr>
            <sz val="10"/>
            <rFont val="SimSun"/>
            <charset val="134"/>
          </rPr>
          <t>4PCS 9-23-22 STF#1987 SPC
4PCS 9-1-22 STF#1958 SPC
1PC 8-22-22 JO17544 JARVIS
4PC 8-16-22 JO17387 MARIBEL
4pcs 7-15-22 STF#1876 SPC</t>
        </r>
      </text>
    </comment>
    <comment ref="G594" authorId="0" shapeId="0" xr:uid="{FB8F352C-B236-7A41-B7A8-4A06E9E67912}">
      <text>
        <r>
          <rPr>
            <sz val="10"/>
            <rFont val="SimSun"/>
            <charset val="134"/>
          </rPr>
          <t>4P[CS 11-4-22 STF#7195 SPC
1PC 10-27-22 STF#7165 SPC
4PCS 10-13-22 STF#7096 SPC</t>
        </r>
      </text>
    </comment>
    <comment ref="H594" authorId="0" shapeId="0" xr:uid="{66F6103B-DE0B-5B4F-B42D-6176A6756955}">
      <text>
        <r>
          <rPr>
            <sz val="10"/>
            <rFont val="SimSun"/>
            <charset val="134"/>
          </rPr>
          <t>4PCS 10-27-22 JO#19065 BEL
1pc 10-27-22 STF#2036 DEFECTIVE SPC</t>
        </r>
      </text>
    </comment>
    <comment ref="G595" authorId="0" shapeId="0" xr:uid="{C3A72985-C30A-E043-8858-D44CF698400D}">
      <text>
        <r>
          <rPr>
            <sz val="10"/>
            <rFont val="SimSun"/>
            <charset val="134"/>
          </rPr>
          <t>4PCS 9-28-22 STF#7010 SPC</t>
        </r>
      </text>
    </comment>
    <comment ref="H595" authorId="0" shapeId="0" xr:uid="{7EBDC205-3829-D540-81F0-CFE3C437DD0D}">
      <text>
        <r>
          <rPr>
            <sz val="10"/>
            <rFont val="SimSun"/>
            <charset val="134"/>
          </rPr>
          <t>4PCS 10-17-22 JO#18848 SALES</t>
        </r>
      </text>
    </comment>
    <comment ref="G596" authorId="0" shapeId="0" xr:uid="{C885F3A7-97F5-2043-A8D0-DB183EE0AC0A}">
      <text>
        <r>
          <rPr>
            <sz val="10"/>
            <rFont val="SimSun"/>
            <charset val="134"/>
          </rPr>
          <t>4PCS 3-29-23 STF#7920 SPC
4PCS 9-27-22 STF#6994 SPC</t>
        </r>
      </text>
    </comment>
    <comment ref="H596" authorId="0" shapeId="0" xr:uid="{F0E4FE09-EE2E-834B-BE92-2A926E5AD404}">
      <text>
        <r>
          <rPr>
            <sz val="10"/>
            <rFont val="SimSun"/>
            <charset val="134"/>
          </rPr>
          <t>1PC 8-31-23 DR#72245 SPC
4PCS 3-30-23 JO#23723 ROSE
2PCS 1-26-23 STF#2241 SPC
2PCS 1-24-23 STF#2239 SPC
4PC 12-10-22 JO20050 ALY</t>
        </r>
      </text>
    </comment>
    <comment ref="G597" authorId="0" shapeId="0" xr:uid="{8C402121-BAC3-7B4F-B873-1F1895E9AA20}">
      <text>
        <r>
          <rPr>
            <sz val="10"/>
            <rFont val="SimSun"/>
            <charset val="134"/>
          </rPr>
          <t>4PCS 9-1-22 STF#6862 SPC
1PC 8-17-22 STF#6795 SPC
2pcs 8-2-22 STF#6723 SPC
4PS 6-23-22 STF#6528 SPC</t>
        </r>
      </text>
    </comment>
    <comment ref="H597" authorId="0" shapeId="0" xr:uid="{0D288A97-3BFD-414F-81F1-1A9F16F18F6D}">
      <text>
        <r>
          <rPr>
            <sz val="10"/>
            <rFont val="SimSun"/>
            <charset val="134"/>
          </rPr>
          <t>4pcs 10-5-22 stf#2002 spc
1PC 8-23-22 STF#1940 SPC
2PCS 8-2-22 JO#17094 SALES
2pcs 7-15-22 STF#1876 SPC
2PC 7-7-22 JO16549 ALY</t>
        </r>
      </text>
    </comment>
    <comment ref="G598" authorId="0" shapeId="0" xr:uid="{B2FE12F7-F504-964D-938A-8265F7621528}">
      <text>
        <r>
          <rPr>
            <sz val="10"/>
            <rFont val="SimSun"/>
            <charset val="134"/>
          </rPr>
          <t>4PCS 9-27-22 STF#6994 SPC</t>
        </r>
      </text>
    </comment>
    <comment ref="H598" authorId="0" shapeId="0" xr:uid="{2BE23D4B-402D-CD44-B05F-83CC39983A7B}">
      <text>
        <r>
          <rPr>
            <sz val="10"/>
            <rFont val="SimSun"/>
            <charset val="134"/>
          </rPr>
          <t>4PC 10-04-22 JO18549 MARIBEL</t>
        </r>
      </text>
    </comment>
    <comment ref="G599" authorId="0" shapeId="0" xr:uid="{AF9DF27A-8D5A-5D41-A732-B0259D512E6D}">
      <text>
        <r>
          <rPr>
            <sz val="10"/>
            <rFont val="SimSun"/>
            <charset val="134"/>
          </rPr>
          <t>2PCS 1-7-23 STF#2274 LIPA A
2pcs 10-5-22 stf#2002 spc
4pcs 9-28-22 stf#7010 SPC
4PCS 9-27-22 STF#6994 SPC</t>
        </r>
      </text>
    </comment>
    <comment ref="H599" authorId="0" shapeId="0" xr:uid="{918767B0-B226-9C4B-A54B-D1F26FB4C52C}">
      <text>
        <r>
          <rPr>
            <sz val="10"/>
            <rFont val="SimSun"/>
            <charset val="134"/>
          </rPr>
          <t>2P[CS 1-7-23 JO#20717 JARVIS
2PCS 1-4-22 STF#2187 SPC
4PCS 12-29-22 STF#2181 SPC
2PC 10-01-22 JO18449 JARVIS</t>
        </r>
      </text>
    </comment>
    <comment ref="G602" authorId="0" shapeId="0" xr:uid="{E5C5634A-300B-434A-9CD7-EC700AF7DEEA}">
      <text>
        <r>
          <rPr>
            <sz val="10"/>
            <rFont val="SimSun"/>
            <charset val="134"/>
          </rPr>
          <t>4pcs 9-28-22 stf#7010 SPC</t>
        </r>
      </text>
    </comment>
    <comment ref="H602" authorId="0" shapeId="0" xr:uid="{E0E98F05-CC79-3C43-A81D-A787FFE15126}">
      <text>
        <r>
          <rPr>
            <sz val="10"/>
            <rFont val="SimSun"/>
            <charset val="134"/>
          </rPr>
          <t>2PCS 10-2-23 DR#72299 SPC
2PCS 12-15-22 STF#2153  SPC</t>
        </r>
      </text>
    </comment>
    <comment ref="G603" authorId="0" shapeId="0" xr:uid="{E455CB7C-B99D-AA4D-836A-F99364038A58}">
      <text>
        <r>
          <rPr>
            <sz val="10"/>
            <rFont val="SimSun"/>
            <charset val="134"/>
          </rPr>
          <t>2PCS 10-02-22 ST007035 SPC
2PCS 9-20-22 STF#6951 SPC
4PCS 9-17-22 STF#6940 SPC
4PCS 9-12-22 STF#2116 SITE A
4pcs 9-6-22 STF#6887 SPC
2PC 8-6-22 STF#6739 SPC
4PCS 7-13-22 STF#6626 SPC
4PCS 7-9-22 STF#2030 SIOTE A
4PS 6-23-22 STF#6528 SPC</t>
        </r>
      </text>
    </comment>
    <comment ref="H603" authorId="0" shapeId="0" xr:uid="{54C1877C-A441-5F4B-8814-1D12F96C2FEF}">
      <text>
        <r>
          <rPr>
            <sz val="10"/>
            <rFont val="SimSun"/>
            <charset val="134"/>
          </rPr>
          <t>4PCS 10-19-22 STF#2021 SPC
2PCS 9-27-22 STF#1991 SITE A
2PC 9-18-22 JO18194 MARIBEL
4PCS 9-12-22 JO#18063 BEL
4PCS 9-10-22 JO#17990 ALY
4pcs 8-29-22 STF#1949 SPC
2PCS 8-4-22 JO#17088 BEL
4PCS 7-9-22 JO#16605 SALES
2PC 7-4-22 STF#1855 SPC
2PCS 6-30-22 STF#1851 SPC</t>
        </r>
      </text>
    </comment>
    <comment ref="G604" authorId="0" shapeId="0" xr:uid="{24A21B08-2F92-744E-A62E-93377EE2E117}">
      <text>
        <r>
          <rPr>
            <sz val="10"/>
            <rFont val="SimSun"/>
            <charset val="134"/>
          </rPr>
          <t>4PCS 12-9-22 STF#7357 SPC
4PCS 9-20-22 STF#6951 SPC
4PCS 8-29-22 STF#6849 SPC
4PCS 7-13-22 STF#6626 SPC</t>
        </r>
      </text>
    </comment>
    <comment ref="H604" authorId="0" shapeId="0" xr:uid="{AD1EA5D4-0FC5-3F43-9F36-9AB3C2873D35}">
      <text>
        <r>
          <rPr>
            <sz val="10"/>
            <rFont val="SimSun"/>
            <charset val="134"/>
          </rPr>
          <t>2PCS 6-8-23 STF#2496 SPC
2pcs 2-13-23 STF#2280 SPC
4PCS 11-11-22 JO#19376 ALY
4pcs 9-13-22 JO#18067 MARIBEL
2PCS 8-12-22 STF#1917 SPC
2PC 8-11-22 JO17197 MARLO</t>
        </r>
      </text>
    </comment>
    <comment ref="G605" authorId="0" shapeId="0" xr:uid="{FDA12D7B-E27D-0B47-83A1-C837C4EE62CD}">
      <text>
        <r>
          <rPr>
            <sz val="10"/>
            <rFont val="SimSun"/>
            <charset val="134"/>
          </rPr>
          <t>4PCS 10-17-22 STF#7113 SPC
4PCS 9-20-22 STF#6951 SPC</t>
        </r>
      </text>
    </comment>
    <comment ref="H605" authorId="0" shapeId="0" xr:uid="{F3FCB113-AF74-544E-9059-830486349A71}">
      <text>
        <r>
          <rPr>
            <sz val="10"/>
            <rFont val="SimSun"/>
            <charset val="134"/>
          </rPr>
          <t>4PC 10-17-22 JO18846 JARVIS
4pcs 10-7-22 JO#18625 ALY</t>
        </r>
      </text>
    </comment>
    <comment ref="G606" authorId="0" shapeId="0" xr:uid="{CF2CD513-9205-F94D-9FFB-F4D092DA4FAD}">
      <text>
        <r>
          <rPr>
            <sz val="10"/>
            <rFont val="SimSun"/>
            <charset val="134"/>
          </rPr>
          <t>4PCS 8-2-22 STF#6720 SPC
4PS 6-23-22 STF#6528 SPC</t>
        </r>
      </text>
    </comment>
    <comment ref="H606" authorId="0" shapeId="0" xr:uid="{35FEA75D-8F9E-B041-A209-4D4C6D4AA656}">
      <text>
        <r>
          <rPr>
            <sz val="10"/>
            <rFont val="SimSun"/>
            <charset val="134"/>
          </rPr>
          <t>4PC 8-20-22 JO17513 4PC ALY
4PCS 7-27-22 STF#1894 SPC</t>
        </r>
      </text>
    </comment>
    <comment ref="G607" authorId="0" shapeId="0" xr:uid="{66F39E33-57DE-474D-A0D6-8D082DDA2062}">
      <text>
        <r>
          <rPr>
            <sz val="10"/>
            <rFont val="SimSun"/>
            <charset val="134"/>
          </rPr>
          <t>4PCS 9-2-22 STF#6867 SPC
4PCS 8-24-22 STF#1942 SPC
2PCS 7-6-22 STF#6587 SPC
2PCS 7-6-22 STf#2017 SITE A
4PS 6-23-22 STF#6528 SPC</t>
        </r>
      </text>
    </comment>
    <comment ref="H607" authorId="0" shapeId="0" xr:uid="{A851E2BB-6A36-C449-A63F-967C2C4E649E}">
      <text>
        <r>
          <rPr>
            <sz val="10"/>
            <rFont val="SimSun"/>
            <charset val="134"/>
          </rPr>
          <t>4PCS 12-28-22 STF#2176 SPC
4PCS 9-1-22 JO#117739 JARVIS
4PCS 07-06-22 JO#16544 ALY 
2pcs 7-6-22 stf#1862 site a
2PC 6-29-22 JO16298 PAUL</t>
        </r>
      </text>
    </comment>
    <comment ref="G608" authorId="0" shapeId="0" xr:uid="{F5B6140F-E42F-7442-B8B7-E2C0527AB964}">
      <text>
        <r>
          <rPr>
            <sz val="10"/>
            <rFont val="SimSun"/>
            <charset val="134"/>
          </rPr>
          <t>1PC 3-28-23 STF#7913 SPC
4PCS 12-19-22 STF#7403 SPC
1PC 11-22-22 STf#7265 SPC
2PCS 11-15-22 STf#7240 SPC
4PCS 9-17-22 STF#6940 SPC
4PCS 9-2-22 STF#6867 SPC
4PCS 7-13-22 STF#6626 SPC
4PCS 7-14-22 STF#6635 SPC</t>
        </r>
      </text>
    </comment>
    <comment ref="H608" authorId="0" shapeId="0" xr:uid="{E1775A24-3137-4B4F-A34F-88EED9585DA3}">
      <text>
        <r>
          <rPr>
            <sz val="10"/>
            <rFont val="SimSun"/>
            <charset val="134"/>
          </rPr>
          <t>1PC 3-28-23 JO#23440 JARVIS
4pcs 2-9-23 JO#21545 BEL
4PCS 12-28-22 STF#2176 SPC
4PC 12-9-22 JO20044 ALY
1pc 11-19-22 jo19582 maribel
2PCS 11-12-22 JO#19438 BEL
4PC 10-02-22 JO18498 MARIBE;
3PCS 8-27-22 STF#1945 SPC
1PC 8-15-22 JO17374 MARIBEL
4PCS 8-11-22 STF#1915 SPC</t>
        </r>
      </text>
    </comment>
    <comment ref="G609" authorId="0" shapeId="0" xr:uid="{CB775754-ED70-4649-AD23-309F87631457}">
      <text>
        <r>
          <rPr>
            <sz val="10"/>
            <rFont val="SimSun"/>
            <charset val="134"/>
          </rPr>
          <t>4PCS 10-22-22 STF#7140 SPC
4PCS 10-02-22 ST007035 SPC
4PCS 9-2-22 STF#6867 SPC</t>
        </r>
      </text>
    </comment>
    <comment ref="H609" authorId="0" shapeId="0" xr:uid="{1CC6B938-A2E2-B742-BE9C-276A00BCCBC1}">
      <text>
        <r>
          <rPr>
            <sz val="10"/>
            <rFont val="SimSun"/>
            <charset val="134"/>
          </rPr>
          <t>8PCS 12-28-22 STF#2176 SPC
4pcs 10-6-22 JO#18588 SPC</t>
        </r>
      </text>
    </comment>
    <comment ref="G610" authorId="0" shapeId="0" xr:uid="{ECDF0B2F-DEA4-C044-B82A-38B65BE838A4}">
      <text>
        <r>
          <rPr>
            <sz val="10"/>
            <rFont val="SimSun"/>
            <charset val="134"/>
          </rPr>
          <t>2PCS 10-21-22 STF#7135 SPC
4PCS 10-1-22 STF#7029 SPC
4PCS 7-13-22 STF#6626 SPC</t>
        </r>
      </text>
    </comment>
    <comment ref="H610" authorId="0" shapeId="0" xr:uid="{D53922F2-4A03-B644-B1DA-4B53BAF3E579}">
      <text>
        <r>
          <rPr>
            <sz val="10"/>
            <rFont val="SimSun"/>
            <charset val="134"/>
          </rPr>
          <t>4PCS 10-10-22 STF#2010 SPC
2PCS 8-15-22 STF#1922 SPC
2PCS 8-13-22 STF#1919 SPC</t>
        </r>
      </text>
    </comment>
    <comment ref="G611" authorId="0" shapeId="0" xr:uid="{C1A205A8-5264-3541-B1F8-C91EEE19A774}">
      <text>
        <r>
          <rPr>
            <sz val="10"/>
            <rFont val="SimSun"/>
            <charset val="134"/>
          </rPr>
          <t>4PCS 1-13-23 STF#7504 SPC
4PCS 9-5-22 STF#6875 SPC
2PC 8-6-22 STF#6739 SPC
4PCS 7-25-22 STF#6684 SPC
4PCS 7-6-22 STF#6587 SPC
4PS 6-23-22 STF#6528 SPC</t>
        </r>
      </text>
    </comment>
    <comment ref="H611" authorId="0" shapeId="0" xr:uid="{9B7603A9-07EF-034B-9764-5B9315FB624F}">
      <text>
        <r>
          <rPr>
            <sz val="10"/>
            <rFont val="SimSun"/>
            <charset val="134"/>
          </rPr>
          <t>4PCS 1-13-23 JO#20915 JOJO
4pcs 11-8-22 STF#2062 SPC
4PCS 8-17-22 STF#1931 SPC
2pcs 8-5-22 STF#1906 SITEA 
4PC 7-24-22 ST001884 LIPA A
4PC 6-28-22 JO16314 JARVIS</t>
        </r>
      </text>
    </comment>
    <comment ref="G613" authorId="0" shapeId="0" xr:uid="{C436676A-6BBA-6D45-A582-60E360EE879E}">
      <text>
        <r>
          <rPr>
            <sz val="10"/>
            <rFont val="SimSun"/>
            <charset val="134"/>
          </rPr>
          <t>4PCS 8-18-22 STF#6800 SPC
4pcs 7-28-22 STF#6699 SPC
4PCS 7-13-22 STF#6626 SPC</t>
        </r>
      </text>
    </comment>
    <comment ref="H613" authorId="0" shapeId="0" xr:uid="{0105669D-7453-2045-8A6C-AA4EE1799F52}">
      <text>
        <r>
          <rPr>
            <sz val="10"/>
            <rFont val="SimSun"/>
            <charset val="134"/>
          </rPr>
          <t>4PCS 1-3-22 STF#2184 LIPA A
4PCS 8-5-22 STF#1905 SPC
4pcs 7-27-22 JO#16968 SALES</t>
        </r>
      </text>
    </comment>
    <comment ref="G621" authorId="0" shapeId="0" xr:uid="{8B4797AE-1D2E-554E-A7F2-E002B46C5AE0}">
      <text>
        <r>
          <rPr>
            <sz val="10"/>
            <rFont val="SimSun"/>
            <charset val="134"/>
          </rPr>
          <t>4PCS 9-9-22 STF#6904 SPC</t>
        </r>
      </text>
    </comment>
    <comment ref="H621" authorId="0" shapeId="0" xr:uid="{8C6DAB00-EDE9-784B-B191-E8F4A3723AD6}">
      <text>
        <r>
          <rPr>
            <sz val="10"/>
            <rFont val="SimSun"/>
            <charset val="134"/>
          </rPr>
          <t>4PCS 9-21-22 STF#1985 SPC</t>
        </r>
      </text>
    </comment>
    <comment ref="G625" authorId="0" shapeId="0" xr:uid="{F934CE34-472D-3044-B64C-C2B96B2938F7}">
      <text>
        <r>
          <rPr>
            <sz val="10"/>
            <rFont val="SimSun"/>
            <charset val="134"/>
          </rPr>
          <t>IN 1PC 12.26.25 DR02898 MS TIRE (6,640)</t>
        </r>
      </text>
    </comment>
    <comment ref="G626" authorId="0" shapeId="0" xr:uid="{592D2F0B-E8DC-2247-AD6B-8813AD7FC1DD}">
      <text>
        <r>
          <rPr>
            <sz val="10"/>
            <rFont val="SimSun"/>
            <charset val="134"/>
          </rPr>
          <t>IN 4PCS 11.13.25 DR#2496 GUDA (7,000)</t>
        </r>
      </text>
    </comment>
    <comment ref="H626" authorId="0" shapeId="0" xr:uid="{BB8BCCEE-BCA8-C140-ADEF-146EC1090719}">
      <text>
        <r>
          <rPr>
            <sz val="10"/>
            <rFont val="SimSun"/>
            <charset val="134"/>
          </rPr>
          <t xml:space="preserve">11-13-25
4 PCS 52256 ALY
</t>
        </r>
      </text>
    </comment>
    <comment ref="G628" authorId="0" shapeId="0" xr:uid="{1AF2346B-8981-9848-A10F-6E30A76751E4}">
      <text>
        <r>
          <rPr>
            <sz val="10"/>
            <rFont val="SimSun"/>
            <charset val="134"/>
          </rPr>
          <t xml:space="preserve">IN 4PCS 6.14.25 DR#144210 TYREMART
</t>
        </r>
      </text>
    </comment>
    <comment ref="H628" authorId="0" shapeId="0" xr:uid="{609DF257-3921-1942-B21B-461C889C663B}">
      <text>
        <r>
          <rPr>
            <sz val="10"/>
            <rFont val="SimSun"/>
            <charset val="134"/>
          </rPr>
          <t xml:space="preserve">6-16-25
4 PCS 47319 MARIBEL
</t>
        </r>
      </text>
    </comment>
    <comment ref="G632" authorId="0" shapeId="0" xr:uid="{AD456791-5DB9-6E4B-913A-E50F3186BB71}">
      <text>
        <r>
          <rPr>
            <sz val="10"/>
            <rFont val="SimSun"/>
            <charset val="134"/>
          </rPr>
          <t>IN 1PC 01.10.26 DR03192 MS TIRE 12,700</t>
        </r>
      </text>
    </comment>
    <comment ref="H632" authorId="0" shapeId="0" xr:uid="{58893DAD-2C2A-A943-9D89-09902C944A46}">
      <text>
        <r>
          <rPr>
            <sz val="10"/>
            <rFont val="SimSun"/>
            <charset val="134"/>
          </rPr>
          <t xml:space="preserve">1-10-26
1PC 54018 ALY
</t>
        </r>
      </text>
    </comment>
    <comment ref="G634" authorId="0" shapeId="0" xr:uid="{C96EA474-35B0-7144-809A-017C46DA4F28}">
      <text>
        <r>
          <rPr>
            <sz val="10"/>
            <rFont val="SimSun"/>
            <charset val="134"/>
          </rPr>
          <t xml:space="preserve">4pcs 7-30-24 dr#0000462 tyremart </t>
        </r>
      </text>
    </comment>
    <comment ref="H634" authorId="0" shapeId="0" xr:uid="{271C8F4A-4C8E-564E-842E-202633E98079}">
      <text>
        <r>
          <rPr>
            <sz val="10"/>
            <rFont val="SimSun"/>
            <charset val="134"/>
          </rPr>
          <t>4pcs 8-1-24 jo# rose</t>
        </r>
      </text>
    </comment>
    <comment ref="G638" authorId="0" shapeId="0" xr:uid="{3E5C3DD1-5DA9-9A4C-8B49-589F2929108B}">
      <text>
        <r>
          <rPr>
            <sz val="10"/>
            <rFont val="SimSun"/>
            <charset val="134"/>
          </rPr>
          <t>IN 3PCS 03.03.26 DR80785 SPC HACKET
IN 4PCS 11.24.25 DR#0049185 SOUTHWAY
IN 2PCS 01-02-25 DR#19674 SPC KUYA ALWIN
IN 4PCS 09/28/24 SI#64679 SOUTHWAY
4PCS 2-17-24 SI#63298 SOUTHWAY
4PCS 9-21-23 STA CRUZ
1pc 8-5-23 DR#74063 SPC
4PCS 5-8-23 SI#61376 SOUTHWAY</t>
        </r>
      </text>
    </comment>
    <comment ref="H638" authorId="0" shapeId="0" xr:uid="{A4D7E50C-25F4-B240-A11D-D1D795229EB3}">
      <text>
        <r>
          <rPr>
            <sz val="10"/>
            <rFont val="SimSun"/>
            <charset val="134"/>
          </rPr>
          <t>OUT 2PCS 01.30.26 DR80229 LIPA A ALWIN
OUT 1PCS 01.22.26 DR80217 LIPA A
OUT 4PC 8.5.25 DR#78392 LIPA A
12-29-24
41222 2PCS SALES ALY
OUT 4PCS 10/01/24 DR#75426 SPC KUYA HACKET
OUT 01-13-2024
31009 2PCS SALES
2PCS 11-13-23 DR#74267 LIPA A
1PC 8-13-23 JO#27308 MARLO
4pcs 6-7-23 STF#2493 SPC</t>
        </r>
      </text>
    </comment>
    <comment ref="G639" authorId="0" shapeId="0" xr:uid="{CE3D8D1B-E70B-5B45-BD3E-2ABC8C9CDD8B}">
      <text>
        <r>
          <rPr>
            <sz val="10"/>
            <rFont val="SimSun"/>
            <charset val="134"/>
          </rPr>
          <t>IN 8PCS 7.19.25 DR#0047233 SOUTHWAY
IN 1PCS 5.27.25 DR#78756 SPC ROI
IN 4PCS 3.5.25 SI#65429
SOUTHWAY
----------------------------------------------
4PCS 12-17-24 SI#64996 SOUTHWAY
IN 3PCS 10/13/24 DR#76646-48 SPC KUYA HACKET
IN 1PC 09/26/24 REF#75714 STC KUYA BOYONG
IN 1PCS 09/26/24 DR#76609 SPC KUYA MIKE
IN 5PCS 09/21/24 DR#76370 SPC KUYA HACKET
IN 1PCS 09/21/24 DR#76091 LIPA A
2PCS 12-26-23 DR#74539 SPC
4PCS 9-8-23 DR#39199 SOUTHWAY
8PCS 6-29-23 SI#61719 SOUTHWAY
4PCS 5-15-23 STF#8112 SPC</t>
        </r>
      </text>
    </comment>
    <comment ref="H639" authorId="0" shapeId="0" xr:uid="{8ECA8E10-0E8F-A447-884A-689CA669479B}">
      <text>
        <r>
          <rPr>
            <sz val="10"/>
            <rFont val="SimSun"/>
            <charset val="134"/>
          </rPr>
          <t>OUT 4PCS 9.16.25 DR#79265 S.V
OUT 4PCS 7.19.25 DR#78371 SPC HACKET
OUT 4PCS 5.30.25 DR#77998 LIPA A
OUT 1PC 3.14.25 DR#77157 LIPA A
OUT 4PCS 2.18.25 DR#77107 SPC KUYA MIKE
1-17-25
41871 2PCS SALES JARVIS
2PC OUT 1/9/25 JO39949
 OFFICE
10/05/24
37349 8PCS SALES MAM JEN
OUT 1PCS 10/01/24 DR#75426 SPC KUYA HACKET
08/15/24
36788 2PCS SALES BEL
4pcs 7-24-23 dr#73882 spc
4PCS 5-14-23 JO#25297 MARLO</t>
        </r>
      </text>
    </comment>
    <comment ref="G640" authorId="0" shapeId="0" xr:uid="{598A3BB1-9B8D-3844-BDEB-6700A0896C9D}">
      <text>
        <r>
          <rPr>
            <sz val="10"/>
            <rFont val="SimSun"/>
            <charset val="134"/>
          </rPr>
          <t>IN 4PCS 5.27.25 DR#78756 SPC ROI
IN 1PC 5.17.25 DR#78046 LIPA A
IN 4PCS 1-31-25 SI#65224 SOUTHWAY
----------------------------------------------
IN 2PCS 10-22-24 DR#76671 SPC KUYA HACKET
IN 2PCS 10/13/24 DR#76646-48 SPC KUYA HACKET
IN 1PC 09/26/24 REF#75714 STC KUYA BOYONG
IN 1PCS 09/26/24 DR#76609 SPC KUYA MIKE
IN 1PC 09/25/24 DR#76094 LIPA A
IN 2PCS 03/15/24 SI#63563 SOUTHWAY
2PCS 11-28-23 SI#92780 SOUTHWAY
1PC 10-12-23 SI#62404 SOUTHWAY
3PCS 8-2-23 DR#38916 SOUTHWAY
4PCS 5-5-23 SI#61420 SOUTHWAY</t>
        </r>
      </text>
    </comment>
    <comment ref="H640" authorId="0" shapeId="0" xr:uid="{62B3D807-636F-C246-94B1-1C11F9C614EC}">
      <text>
        <r>
          <rPr>
            <sz val="10"/>
            <rFont val="SimSun"/>
            <charset val="134"/>
          </rPr>
          <t>OUT 1PC 02.18.26 DR80865 SPC HACKET
02.13.26
55088 2PCS JARVIS
4-25-25
2 PCS 45579 MARLO
OUT 3.15.25 DR#77158 1PCS BINAN
OUT 2PCS 2.3.25 DR#76961 LIPA A
-----------------------------------------------
11/24/24
40051 4PCS SALES DAHLIA
10/05/24
37349 4PCS SALES MAM JEN
2PCS 1-12-24 DR#73381 SPC
2PCS 11-23-23 JO#29705 BEL
4PCS 7-26-23 JO#27001 MARLO</t>
        </r>
      </text>
    </comment>
    <comment ref="G641" authorId="0" shapeId="0" xr:uid="{FBDABB9E-AE0B-7249-8003-C6950D871183}">
      <text>
        <r>
          <rPr>
            <sz val="10"/>
            <rFont val="SimSun"/>
            <charset val="134"/>
          </rPr>
          <t>IN 4PCS 03.03.26 DR80785 SPC HACKET</t>
        </r>
      </text>
    </comment>
    <comment ref="G642" authorId="0" shapeId="0" xr:uid="{A88072A3-05D1-7E42-AF06-085340D14EBA}">
      <text>
        <r>
          <rPr>
            <sz val="10"/>
            <rFont val="SimSun"/>
            <charset val="134"/>
          </rPr>
          <t>IN 2PCS 01.22.26 DR79992 SPC RONNIE
IN 4PCS 5.26.25 DR#78753 SOC BRIAN
IN 4PCS 1-31-25 SI#65224 SOUTHWAY
---------------------------------------------
IN 2PCS 09/21/24 DR#76091 LIPA A
IN 2PCS 04/23/24 DR#74897 SPC
8PCS 12-19-23 SI#62888 SOUTHWAY
2PCS 7-19-23 DR#74016 SPC
2PCS 5-29-23 STF#8177 SPC</t>
        </r>
      </text>
    </comment>
    <comment ref="H642" authorId="0" shapeId="0" xr:uid="{09795152-4BA0-6244-B5DA-0040FA329E5C}">
      <text>
        <r>
          <rPr>
            <sz val="10"/>
            <rFont val="SimSun"/>
            <charset val="134"/>
          </rPr>
          <t>OUT 2PCS 01.21.26 DR80215 LIPA A
5-17-25
2 PCS 46447 ALY
5-9-25
4 PCS 46170 JARVIS
10/05/24
37349 4PCS SALES MAM JEN
out 2pcs 09/21/24 dr#75413 spc old dot
2PCS 1-27-24 dr#73399 LIPA A
4PCS 12-12-23 JO#30192 BEL</t>
        </r>
      </text>
    </comment>
    <comment ref="G643" authorId="0" shapeId="0" xr:uid="{C531ACDC-4924-B04C-80C4-3D70CE48E0C3}">
      <text>
        <r>
          <rPr>
            <sz val="10"/>
            <rFont val="SimSun"/>
            <charset val="134"/>
          </rPr>
          <t>IN 1PCS 03.03.26 DR80785 SPC HACKET
IN 2PCS 10.15.25 DR#78731 LIPA A
IN 2PCS 9.23.25 DR#78706 LIPA A
IN 2PCS 06/15/24 SI#64104 SOUTHWAY
4PCS 5/11/2024 SI#63903 SOUTHWAY
IN 4PCS 04/01/24 DR#73440 LIPA A</t>
        </r>
      </text>
    </comment>
    <comment ref="H643" authorId="0" shapeId="0" xr:uid="{0E394806-1052-F84E-9179-D9EC47AFD904}">
      <text>
        <r>
          <rPr>
            <sz val="10"/>
            <rFont val="SimSun"/>
            <charset val="134"/>
          </rPr>
          <t>OUT 1PC 02.12.26 DR80249 LIPA A
4 PC OUT 2/2/25 JO42357 ALY
2PCS 5/24/2024 34562 BEL
out 4pcs 04/11/24 dr#74767 lipa a</t>
        </r>
      </text>
    </comment>
    <comment ref="G644" authorId="0" shapeId="0" xr:uid="{B8AC6477-75C9-374A-9144-4A2ED2B76934}">
      <text>
        <r>
          <rPr>
            <sz val="10"/>
            <rFont val="SimSun"/>
            <charset val="134"/>
          </rPr>
          <t>IN 16PCS 09/28/24 SI#64679 SOUTHWAY
8pcs 5-17-24 SI#63891 SOUTHWAY
IN 1PCS 03/19/24 DR#74782  SPC 
IN 3PCS 2/28/24  SI# 63390 SOUTHWAY
IN 3PCS 2/28/24  SI# 63420 SOUTHWAY
4PCS 1-8-24 Dr#74604 SPC
2PCS 1-3-23 DR#73323 LIPA A
2PCS 12-27-23 DR#74540 SPC
4PCS 12-19-23 SI#62888 SOUTHWAY
12PCS 11-28-23 SI#92780 SOUTHWAY
2PCS 6-21-23 SI#61671 SOUTHWAY
4PCS 6-7-23 SPC
8PCS 5-5-23 SI#61420 SOUTHWAY</t>
        </r>
      </text>
    </comment>
    <comment ref="H644" authorId="0" shapeId="0" xr:uid="{0D4E3901-4C5C-2643-A5A8-DF6A4BD8BA45}">
      <text>
        <r>
          <rPr>
            <sz val="10"/>
            <rFont val="SimSun"/>
            <charset val="134"/>
          </rPr>
          <t>10/05/24
37349 8PCS SALES MAM JEN
OUT 4PCS 10/02/24 DR#75428 LIPA A
OUT 4PCS 09/30/24 DR#75423 SPC KUYA EMMAN
OUT 2PCS 09/03/24 DR#75396 LIPA A
OUT 2PCS 08/24/24 DR#75386 LIPA A
OUT 4PCS 06/20/24 DR#75112 SPC KUYA ADWIN
OUT 4PCS 04/20/24 DR#74781 SPC SIR NEL
4pcs 2/8/24 DR#74702 LIPA A
4pcs 2-19-24 32064 bel
4PCS 1-3-24 JO#30771 JOHNLY
4PCS 12-28-23 JO#30586 BEL
\OUT 12-23-2023
30477 2PCS SALES MARIBEL
4PCS 12-14-23 DR#73971 SPC
4PCS 12-11-23 DR#73966 SPC
2PCS 10-2-23 DR#72299 SPC
4PCS 9-1-23 DR#72247 SPC
5-14-23 st002454 LIPA A 4PCS
5-13-23 JO25274 MARIBEL 4PCS</t>
        </r>
      </text>
    </comment>
    <comment ref="G645" authorId="0" shapeId="0" xr:uid="{12007952-CFFB-6745-A891-8A59279041E8}">
      <text>
        <r>
          <rPr>
            <sz val="10"/>
            <rFont val="SimSun"/>
            <charset val="134"/>
          </rPr>
          <t>IN 4PCS 03.03.26 DR80785 SPC HACKET</t>
        </r>
      </text>
    </comment>
    <comment ref="G646" authorId="0" shapeId="0" xr:uid="{30DC1D4E-319C-7E4B-8C8E-95D3400A34A7}">
      <text>
        <r>
          <rPr>
            <sz val="10"/>
            <rFont val="SimSun"/>
            <charset val="134"/>
          </rPr>
          <t>IN 4PCS 7.19.25 DR#0047233 SOUTHWAY
IN 1PCS 09/24/24 DR#76550 SPC SERVICE
IN 4PCS 09/21/24 REF#75709 STC
2PCS 2-7-24 DR#74650;74801 SPC
4PCS 11-11-23 SI#62609 SOUTHWAY
2PC 10-12-23 SI#62404 SOUTHWAY
4PCS 6-21-23 SI#61671 SOUTHWAY
4pcs 6-21-23 SI#61670 SOUTHWAY
8PCS 5-5-23 SI#61420 SOUTHWAY</t>
        </r>
      </text>
    </comment>
    <comment ref="H646" authorId="0" shapeId="0" xr:uid="{8DFE2DF7-9A37-D34A-9860-7E0E25844DE8}">
      <text>
        <r>
          <rPr>
            <sz val="10"/>
            <rFont val="SimSun"/>
            <charset val="134"/>
          </rPr>
          <t>OUT 4PCS 7.19.25 DR#78371 SPC HACKET
10/05/24
37349 8PCS SALES MAM JEN
OUT 1PCS 09/23/24 DR#75414 LIPA A
OUT 2PCS 09/19/24 DR#75409-10 SPC KUYA HACKET
OUT 2PCS 08/19/24 DR#75377 LIPA A
2PCS 2-2-24 JO#31593 JOHNLY
2pcs 11-8-23 DR#74259 SPC
2PCS 9-1-23 JO#27847 MARLO
4PCS 7-15-23 DR#73868 LIPA A
1PC 6-9-23 JO#25884 ROSE
1PC 6-9-23 JO#25885 ROSE
2PCS 5-28-23 STf#2478 SPC
2pcs 5-18-23 JO#25392 JARVIS</t>
        </r>
      </text>
    </comment>
    <comment ref="G647" authorId="0" shapeId="0" xr:uid="{0D5568D0-5E4E-2149-B642-24D37EABCDF3}">
      <text>
        <r>
          <rPr>
            <sz val="10"/>
            <rFont val="SimSun"/>
            <charset val="134"/>
          </rPr>
          <t>IN 1PCS 5.16.25 DR#78043 LIPA A MIKE
IN 1PCS 3.5.25 SI#65429
SOUTHWAY
IN 1PC 2.22.25 SI#65337 SOUTHWAY
---------------------------------------------
IN 6PCS 09/28/24 SI#64679 SOUTHWAY
IN 2PCS 09/16/24 SI#64545 SOUTHWAY
IN 4PCS 07/06/24 SI#64232 SOUTHWAY
IN 2PCS 06/28/24 SI#64212 SOUTHWAY
2PCS 5-2-24 SI#63816 SOUTHWAY
IN 1PC 03/30/31 DR#74886 SPC KUYA HACKET
4PCS 1-17-24 SI#63104 SOUTHWAY
4pcs 12-13-23 SI#62901 SOUTHWAY
4PCS 6-9-23 SPC</t>
        </r>
      </text>
    </comment>
    <comment ref="H647" authorId="0" shapeId="0" xr:uid="{CE756F8B-3842-514D-8DED-8E45AE484455}">
      <text>
        <r>
          <rPr>
            <sz val="10"/>
            <rFont val="SimSun"/>
            <charset val="134"/>
          </rPr>
          <t>12.28.25
53645 2PCS ALY
12-12-25
2 PCS 53172 MARLO
OUT 1PCS 2.20.25 DR#77117 BIÑAN HACKET
2PC OUT 2/6/25 JO42631 ALY
OUT 1PCS 2.3.25 DR#76961 LIPA A
----------------------------------------------
1PC 11/20/24 JO39792 ALY
09/21/24
37796 4PCS SALES ALY
08/28/24
37169 2PCS SALES JARVIS
OUT 06/28/24 35516 4PCS SALES BEL
OUT 06/24/24 35402 2PCS SALES BEL
OUT 2PCS 04/01/24 DR#74748 LIPA A
OUT 03/24/24 32966 1PCS SALES BEL
OUT 2-8-24 DR#74664-65 4PCS  SPC
4PCS 12-6-23 JO#29998 MARLO</t>
        </r>
      </text>
    </comment>
    <comment ref="G649" authorId="0" shapeId="0" xr:uid="{44C5CE26-AC0F-1C43-8DE7-56C089D863C7}">
      <text>
        <r>
          <rPr>
            <sz val="10"/>
            <rFont val="SimSun"/>
            <charset val="134"/>
          </rPr>
          <t>IN 4PCS 03.03.26 DR80785 SPC HACKET</t>
        </r>
      </text>
    </comment>
    <comment ref="G650" authorId="0" shapeId="0" xr:uid="{061A323D-4C8E-5546-A4D6-666892800441}">
      <text>
        <r>
          <rPr>
            <sz val="10"/>
            <rFont val="SimSun"/>
            <charset val="134"/>
          </rPr>
          <t>IN 2PCS 11.28.25 DR#77846 BINAN
IN 2PCS 10.30.25 DR#78748 LIPA A
IN 4PCS 8.7.25 DR#78842 SPC HACKET
IN 2PCS 7.20.25 DR#77235 BINAN HACKET
IN 2PCS 5.14.25 DR#77728 SPC HACKET
IN 2PCS 3.22.25 DR#77443 SPC BRY
IN 4PCS 3.18.25 DR#77434 SPC HACKET
1-27-30 4PCS DR#76184 LIPA A
----------------------------------------------
IN 4PCS 09/25/24 DR#76094 LIPA A
2PCS 2-17-24 SI#63298 SOUTHWAY
4PCS 6-29-23 SI#61719 SOUTHWAY
4PCS 5-5-23 SI#61420 SOUTHWAY</t>
        </r>
      </text>
    </comment>
    <comment ref="H650" authorId="0" shapeId="0" xr:uid="{AF5B4A24-61E5-D844-92CE-0957A4A661A5}">
      <text>
        <r>
          <rPr>
            <sz val="10"/>
            <rFont val="SimSun"/>
            <charset val="134"/>
          </rPr>
          <t>11-30-25
2 PCS 52797 ALY
10-30-25 
4 PCS 51894 MARLO
10-26-2025
2PCS 51769 ALY SALES
OUT 4PCS 7.22.25 DR#78374 SPC SERVICE
7.7.25
48420 2PCS BEL
OUT 1PC 5.4.25 DR#77635 SPC HACKET
4.19.25 
45431 1PC ALY
OUT 2PCS 3.20.25 DR#77178 LIPA A
OUT 4PCS 1-27-25 DR#76951 SPC KUYA MIKE
4PC OUT 1/27/25 JO42212 MARLO 
10/05/24
37349 4PCS SALES MAM JEN
OUT 01-20-2024
31183 4PCS MARLO
2PCS 8-29-23 JO#27828 BEL
2PCS 8-20-23 JO#27607 MARLO</t>
        </r>
      </text>
    </comment>
    <comment ref="G653" authorId="0" shapeId="0" xr:uid="{DB7103C8-7245-B54F-9CC1-91E8C92A70D2}">
      <text>
        <r>
          <rPr>
            <sz val="10"/>
            <rFont val="SimSun"/>
            <charset val="134"/>
          </rPr>
          <t>IN 2PCS 11.24.25 DR#0049185 SOUTHWAY
IN 4PCS 8.7.25 DR#78842 SPC HACKET
IN 1PCS 6.24.25 DR#77765 SPC HACKET
IN 2PCS 6.18.25 DR#77754 SPC HACKET
IN 4PC 5.9.25 DR#77717 SPC ROI
IN 4PCS 4.15.25 SI#65753 SOUTHWAY 
IN 2PCS 09/28/24 SI#64679 SOUTHWAY
IN 2PCS 09/21/24 DR#76370 SPC KUYA HACKET
IN 4PCS 09/21/24 DR#76091 LIPA A
8PCS 5-2-24 SI#63816 SOUTHWAY
IN  4PCS 03/07/24 DR#74853 SPC 
8PCS 2-3-24 SI#63199 SOUTHWAY
4PCS 12-19-23 SI#62888 SOUTHWAY
2PCS 11-11-23 SI#62609 SOUTHWAY
2PCS 10-21-23 SI#624530 SOUTHWAY
6PCS 9-8-23 DR#39199 SOUTHWAY
2pcs 5-22-23 STF#8141 SPC
8PCS 5-5-23 SI#61420 SOUTHWAY</t>
        </r>
      </text>
    </comment>
    <comment ref="H653" authorId="0" shapeId="0" xr:uid="{091D6825-370A-694B-9874-EC91CEA512A6}">
      <text>
        <r>
          <rPr>
            <sz val="10"/>
            <rFont val="SimSun"/>
            <charset val="134"/>
          </rPr>
          <t>11-24-25
2 PCS 52611 JARVIS
8-25-25
2 PCS 49965 JARVIS
7.31.25
49242 2PCS MARLO
OUT 2PCS 7.17.25 DR#78368 SPC MIKE
OUT 1PC 6.23.25 DR#78333 LIPA A
6-12-25
2 PCS 47360 JARVIS
5.14.25 2PCS DR#77649 SPC HACKET
OUT 2PCS 4.25.25 DR#77615 LIPA A
OUT 2PCS 3.31.25 DR#77199 LIPA A
2 PCS OUT 3-7-25 JO43800
 MARLO
OUT 2PCS 2.14.25 DR#76993 SPC
10/06/24
38253 1PC SALES
OUT 4PCS 09/21/24 DR#75412 LIPA A BRIAN
08/15/24
36730 2PCS SALES MARLO
OUT 4PCS 06/26/24 DR#75119 SPC MASTER
OUT 8PCS 04/18/24 STC KUYA MIKE
OUT 2/28/24 16PCS STC
OUT 1-28-24 JO#31466 2PCS SALES
OUT 1-26-24 JO#31370 2PCS JARVIS
OUT 01-08-2024
30906 2PCS SALES MARLO
2PCS 1-6-24 JO#30833 LEN
2PCS 11-7-23 JO#29319 ROSE
2PCS 10-5-23 JO#28588 ROSE
2PCS 10-2-23 DR#72299 SPC
2PCS 10-1-23 JO#28457 OFFICE
2PCS 8-28-23 JO#27787 JARVIS
2pcs 5-20-23 JO#25438 JARVIS
4PCS 5-11-23 STF#2450 LIPA A</t>
        </r>
      </text>
    </comment>
    <comment ref="G654" authorId="0" shapeId="0" xr:uid="{790F1A81-C4B8-B041-B6FF-AB665A17D22C}">
      <text>
        <r>
          <rPr>
            <sz val="10"/>
            <rFont val="SimSun"/>
            <charset val="134"/>
          </rPr>
          <t>IN 2PCS 11.14.25 DR#79878 SPC HACKET
IN 11PCS 7.19.25 DR#0047233 SOUTHWAY
IN 4PCS 1-24-25 DR#77002 SPC KUYA HACKET
----------------------------------------------
IN 4PCS 09/21/24 DR#76370 SPC KUYA HACKET
IN 4PCS 09/21/24 DR#76091 LIPA A
4PCS 12-19-23 SI#62888 SOUTHWAY
2pcs 11-17-23 DR#74414 SPC
2PCS 11-11-23 SI#62609 SOUTHWAY
4PCS 5-8-23 SI#61376 SOUTHWAY</t>
        </r>
      </text>
    </comment>
    <comment ref="H654" authorId="0" shapeId="0" xr:uid="{070BAE14-64B4-494E-B5E1-BFB64A7257BD}">
      <text>
        <r>
          <rPr>
            <sz val="10"/>
            <rFont val="SimSun"/>
            <charset val="134"/>
          </rPr>
          <t>11-12-25
2 PCS 52199 JARVIS
OUT 4PCS 7.21.25 DR#78372 LIPA A BRY
OUT 4PCS 7.19.25 DR#78370 BINAN HACKET
OUT 2PCS 7.19.25 DR#78371 SPC EMMAN
3.19.25 2PCS DR#77166 LIPA ROI
3.8.25 1PCS DR#77142 BIÑAN HACKET
2-2-25 2PC OUT JO42423 ALY
OUT 1PCS 11/30/24 DR#75481 LIPA A KUYA JOEL
OUT 2PCS 10/05/24 DR#75434 SPC KUYA HACKET
OUT 4PCS 09/21/24 DR#75412 LIPA A BRIAN
4PCS 2-10-24-24 SAELS
1PC 8-31-23 DR#72244 SPC
1PC 8-11-23 JO#27406 ROSE</t>
        </r>
      </text>
    </comment>
    <comment ref="G655" authorId="0" shapeId="0" xr:uid="{8F59837B-F516-8F4B-B19C-C08A04DED93E}">
      <text>
        <r>
          <rPr>
            <sz val="10"/>
            <rFont val="SimSun"/>
            <charset val="134"/>
          </rPr>
          <t>IN 4PCS 11.24.25 DR#0049185 SOUTHWAY
IN 4PCS 6.21.25 DR#77763 SPC HACKET
IN 3PCS 5.5.25 DR#77704 SPC EMMAN
IN 4PCS 3.5.25 SI#65429
SOUTHWAY
IN 1PC 2.22.25 DR#77069 LIPA A
IN 1PCS 1-31-25 SI#65224 SOUTHWAY
----------------------------------------------
IN 4PCS 8-30-24 SI#64490 SOUTHWAY
2PCS 1-26-24 DR# LIPA A
5PCS 12-19-23 SI#62888 SOUTHWAY
1PC 12-10-23 DR# SPC
2PCS 10-21-23 SI#624530 SOUTHWAY
4PCS 6-29-23 SI#61772  SOUTHWAY
4PCS 6-29-23 SI#61774 SOUTHWAY
4PCS 5-8-23 SI#61376 SOUTHWAY</t>
        </r>
      </text>
    </comment>
    <comment ref="H655" authorId="0" shapeId="0" xr:uid="{39502A15-E5B9-2D46-B9CE-DCD555509000}">
      <text>
        <r>
          <rPr>
            <sz val="10"/>
            <rFont val="SimSun"/>
            <charset val="134"/>
          </rPr>
          <t>8.8.25
49473 4PCS ALY
6.19.25
47689 4PCS BEL
4.19.25
45317 2PCS DAHLIA
OUT 1PCS 4.5.25 DR#77558 BIÑAN HACKET
4PCS OUT 2-22-25 JO43293
 MARLO
1-23-25
42071 2pcs sales aly 
11-30-24
40200 2PCS SALES DAHLIA
08/10/24
36669 2PCS SALES DAHLIA
2PCS 1-26-24 JO#31411 SPC
OUT 1-17-24 DR#73388 5PCS SPC
1PC 12-13-23 JO#30110 JOHNLY
1PC 12-8-23 JO#30026 ROSE
2PCS 10-17-23 JO#28894 BEL
2PCS 9-18-23 JO#28235 BEL
4PCS 7-15-23 DR#73868 LIPA A</t>
        </r>
      </text>
    </comment>
    <comment ref="G656" authorId="0" shapeId="0" xr:uid="{D869F319-549D-8040-9BAE-E6BEB91B9558}">
      <text>
        <r>
          <rPr>
            <sz val="10"/>
            <rFont val="SimSun"/>
            <charset val="134"/>
          </rPr>
          <t>IN 4PCS 11.24.25 DR#0049185 SOUTHWAY
IN 6PCS 8.19.25 DR#00467671 SOUTHWAY
IN 2PCS 7.19.25 DR#78561 LIPA A
IN 4PCS 7.19.25 DR#78881 SPC EMMAN
IN 2PCS 6.9.25 DR#65932 SOUTHWAY 
IN 2PCS 4.30.25 DR#77693 SPC HACKET
IN 3PCS 3.29.25 DR#77375 SPC HACKET 
IN 2PCS 2.28.25 DR#77039 SPC HACKET
2PCS 12-07-24 DR76142 LIPA a
4PCS 11/11/24 DR#75703-04 SPC KUYA HACKET &amp; ROI
IN 1PC 10-22-24 DR#76671 SPC KUYA HACKET
IN 2PCS 10/13/24 DR#76646-48 SPC KUYA HACKET
IN 2PCS 06/28/24 SI#64212 SOUTHWAY
IN 8PCS 05/25/24 SI#63968 SOUTHWAY
1PC 5-2-24 SI#63816 SOUTHWAY
IN 1PCS 3/26/24  SI# 63624 SOUTHWAY
IN 1PCS 03/14/24 DR#74868 SPC
IN 2PCS 2/28/24  SI# 63390 SOUTHWAY
IN 2PCS 2/28/24  SI# 63420 SOUTHWAY
4PCS 12-13-23 SI#62856 SOUTHWAY
4PCS 10-21-23 SI#624530 SOUTHWAY
8PCS 9-8-23 DR#39199 SOUTHWAY
2PCS 6-21-23 SI#61671 SOUTHWAY
2pcs 5-22-23 STF#8141 SPC
8PCS 5-5-23 SI#61420 SOUTHWAY</t>
        </r>
      </text>
    </comment>
    <comment ref="H656" authorId="0" shapeId="0" xr:uid="{085DA632-A221-1148-A44A-BE558AA7E6F8}">
      <text>
        <r>
          <rPr>
            <sz val="10"/>
            <rFont val="SimSun"/>
            <charset val="134"/>
          </rPr>
          <t>OUT 2PCS 10.31.25 DR#79791 LIPA A
10-23-25
4 PCS 51651 MARIBEL
9-15-25
2 PCS 50581 MARLO
OUT 3PCS 8.29.25 DR#78439 SPC HACKET
7-19-25
2 PCS 48810 MARLO
7.7.25
48447 4PCS JARVIS
3.30.25
44712 2PCS ALY
3 PCS OUT 3-5-25 JO46310 MARLO
4PCS 12/7/24 JO40444 MARIBEL 
11/06/24 4PCS STC
10/14/24
38484 1PC SALES BEL
10/02/24 1PC OUT FOR WARRANTY
09/30/24
38089 1PC SALES BEL
OUT 06/22/24 35342 2PCS SALES BEL
OUT 4PCS 06/04/24 DR#75098 SPC KUYA HACKET
OUT 05/12/24 34254 4PCS SALES BEL
OUT 04/06/24 33257 2PCS SALES JHONLY
OUT 03/28/24 33064 2PCS SALES JHONLY
OUT 03/24/24 32936 2PCS SALES MARLO
OUT 03/06/24 32477 1PCS SALES ALY
4PCS 12-4-23 JO#29950 MARO
4PCS 10-7-23 DR#73907 LIPA A
4PCS 9-28-23 DR#72293 LIPA A
2PCS 9-17-23 JO#28210 MARLO
2PCS 9-13-23 JO#28125 MARLO
2PCS 7-22-23 STA CRUZ
2PCS 5-15-23 JO#25310 BEL
4PCS 5-11-23 STF#2450 LIPA A</t>
        </r>
      </text>
    </comment>
    <comment ref="G657" authorId="0" shapeId="0" xr:uid="{87E453AE-308E-F24E-A174-93A49081B64D}">
      <text>
        <r>
          <rPr>
            <sz val="10"/>
            <rFont val="SimSun"/>
            <charset val="134"/>
          </rPr>
          <t>IN 4PCS 8.12.25 DR#78601 LIPA A
IN 4PCS 7.28.25 DR#78802 SPC BRY
IN 29PCS 7.19.25 DR#0047233 SOUTHWAY
IN 3PCS 7.11.25 DR#78863 SPC MIKE
IN 5PCS 6.21.25 DR#77763 SPC HACKET
IN 4PCS 6.13.25 DR#78789 SPC MIKE
IN 1PCS 5.27.25 DR#78756 SPC ROI
IN 4PC 5.9.25 DR#77717 SPC ROI
IN 2PCS 4.15.25 SI#65753 SOUTHWAY 
IN 4PCS 3.5.25 SI#65457 SOUTHWAY
IN 4PCS 3.5.25 SI#65427
SOUTHWAY
IN 4PCS 3.5.25 SI#65428 SOUTHWAY
8PCS 01-04-25 SI#65071 SOUTHWAY
2PCS 01-04-25 SI#65131 SOUTHWAY
2PCS 01-04-25 SI#65070 SOUTHWAY
8PCS 12-06-24 SI#64973 SOUTHWAY
3PCS 11/11/24 DR#75703-04 SPC KUYA HACKET &amp; ROI
IN 6PCS 08/11/24 DR#76519 SPC MASTER
IN 4PCS 7/06/24 REF#75639 STC
IN 2PCS 05/21/24 DR#75042 SPC KUYA BOYONG
4pcs 5-17-24 SI#63891 SOUTHWAY
IN 4PCS 05/06/24 DR# SPC MASTER
IN 4PCS 05/05/24 DR#73474 LIPA A
IN 2PCS 3/26/24  SI# 63624 SOUTHWAY
IN 2PCS 03/23/24 DR#74625 SPC
IN 4PCS 03/16/24 DR#73429 LIPA A 
IN 4PCS 03/16/24 DR#74870 SPC
3PCS 2-17-24 SI#63298 SOUTHWAY
4PCS 2-15-24 DR#73404 LIPA A
8PCS 1-17-24 SI#63064 SOUTHWAY
2PCS 12-20-23 STA CRUZ
1PC 12-20-23 DR#74596 SPC
2PCS 11-28-23 SI#62711 SOUTHWAY
4PCS 10-21-23 SI#624530 SOUTHWAY
8PCS 9-8-23 DR#39199 SOUTHWAY
4PCS 6-29-23 SI#61772 SOUTHWAY
8PCS 5-5-23 SI#61420 SOUTHWAY</t>
        </r>
      </text>
    </comment>
    <comment ref="H657" authorId="0" shapeId="0" xr:uid="{1943F693-99ED-1243-A754-A8063DE8FB59}">
      <text>
        <r>
          <rPr>
            <sz val="10"/>
            <rFont val="SimSun"/>
            <charset val="134"/>
          </rPr>
          <t>10-23-2025
1PC DR#79778 LIPA A 
8-12-25
4 PCS 49546 ALY
8.9.25
49517 4PCS BEL
OUT 3PCS 8.7.25 DR#78395 SPC HACKET
7.27.25
49078 4PCS ALY
OUT 4PCS 7.21.25 DR#78372 LIPA A BRY
OUT 4PCS 7.19.25 DR#78370 BINAN HACKET
OUT 17PCS 7.19.25 DR#78371 SPC EMMAN
7.1.25
48282 4PCS BEL
6.13.25
47311 4PCS BEL
6-5-25
4 PCS 47183 MARIBEL
5.14.25
46320 1PC BEL
out 4pcs 5.5.25 dr#77639 spc mike
4-6-25
1 PC OUT JO44943 ALY
4 PCS OUT 3-18-25 JO44135 ALY
3.15.25
44156 1PC BEL
OUT 4PCS 3.6.25 DR#77137 SPC MIKE
4 PC OUT 2-8-25 JO42696 ALY
2 PC OUT 1/25/25 JO42154 MARIBEL 
OUT 2PCS 1-19-25 DR#76923 LIPA A
2PC OUT 1/19/25 JO41898 MARIBEL
OUT 8PCS 1-14-25 DR#76916 SPC SERVICE
----------------------------------------------
2PC OUT 12/19/24 JO40836 MARIBEL
OUT 4PCS 12-06-24 DR#75494 LIPA A
4PCS OUT 12/3/24 JO40313 MARIBEL
10/21/2024	38645 1PC SALES
10/21/2024	38686 2PCS SALES
07/16/24
36051 4PCS SALES BEL
07/11/24
35922 2pcs sales len
OUT 4PCS 05/28/24 DR#75087 LIPA A KUYA HACKET
OUT 05/15/24 34220 2PCS SALES LEN 
OUT 05/05/24 34032 4PCS SALES  MARLO
OUT 05/01/24 33913 4PCS SALES
MAM JEN
OUT 4PCS 03/28/24 DR#74744 SPC KUYA HACKET
OUT 4PCS 03/21/24 DR#74733 LIPA A
OUT 03/16/24 32763 2PCS SALES OFFICE
OUT 03/12/24 4PCS SALES 32644 JHONLY
OUT 03/10/24 4PCS DR#74703 SPC MASTER
2PCS 2-14-24 31907 SAELS
OUT 2-8-24 DR#74664-65 4PCS  SPC
2/5/2024 31636 1PC SALES
out 01-27-2024
31379 2pcs sales marlo
4PCS 12-21-23 JO#30446 JACKO
1pc 12-16-23 DR#73975 LIPA A
4PCS 11-25-23 JO#29756 JARVIS
2PCS 10-08-23 DR#73908 SPC
4PCS 9-28-23 DR#72293 LIPA A
4PCS 9-17-23 JO#28206 MARLO
2 pcs 7-24-23 dr#73881 spc
4PCS 5-24-23 JO#25537 ROSE
4PCS 5-11-23 STF#2450 LIPA A</t>
        </r>
      </text>
    </comment>
    <comment ref="G658" authorId="0" shapeId="0" xr:uid="{8069E28A-05BA-ED4B-A3F0-0F8B20248A39}">
      <text>
        <r>
          <rPr>
            <sz val="10"/>
            <rFont val="SimSun"/>
            <charset val="134"/>
          </rPr>
          <t>IN 4PCS 03.03.26 DR80785 SPC HACKET</t>
        </r>
      </text>
    </comment>
    <comment ref="G659" authorId="0" shapeId="0" xr:uid="{E2AE6CF5-AE42-B648-A439-2903C90E8A4D}">
      <text>
        <r>
          <rPr>
            <sz val="10"/>
            <rFont val="SimSun"/>
            <charset val="134"/>
          </rPr>
          <t>IN 4PCS 6.9.25 DR#65932 SOUTHWAY 
IN 2PCS 4.30.25 DR#77693 SPC HACKET
IN 2PCS 4.15.25 SI#65753 SOUTHWAY 
IN 3PCS 3.5.25 SI#65427
SOUTHWAY
IN 4PCS 3.5.25 SI#65428 SOUTHWAY
4PCS 01-04-25 SI#65130 SOUTHWAY
2PCS 01-04-25 SI#65071 SOUTHWAY
4PCS 12-17-24 SI#64996 SOUTHWAY
IN 4PCS 10/13/24 DR#76646-48 SPC KUYA HACKET
IN 7-26-24 SI#64311 1PC SOUTHWAY
IN 4PCS 07/04/24 DR#75223 SPC KUYA HACKET
IN 4PCS 06/01/24 SI#63981 SOUTHWAY (for stc)
IN 1PCS 04/24/24 SI#63853 SOUTHWAY
IN 4PCS 04/22/24 DR#SP0050 SPC
IN 4PCS 04/21/24 DR#SP0049 SPC
IN 4PCS 3/26/24  SI# 63624 SOUTHWAY
4pcs 2-5-24 DR#74647 SPC
2PCS 11-28-23 SI#92780 SOUTHWAY
3PCS 11-4-23 DR#72688 LIPA A
4pcs 6-21-23 SI#61670 SOUTHWAY
4PCS 6-9-23 SPC
8PCS 5-5-23 SI#61420 SOUTHWAY</t>
        </r>
      </text>
    </comment>
    <comment ref="H659" authorId="0" shapeId="0" xr:uid="{2C00E912-9330-8047-94C5-294415E5DAD1}">
      <text>
        <r>
          <rPr>
            <sz val="10"/>
            <rFont val="SimSun"/>
            <charset val="134"/>
          </rPr>
          <t>11-18-25
2 PCS 52426 MARLO
OUT 1PC 8.11.25 DR#78400 SPC LALAMOVE
OUT 4PCS 5.17.25 DR#77963 LIPA A JOEL
4 PCS OUT 3-26-25 JO44446 MARIBEL
OUT 4PCS 3.18.25 DR#77167 SPC MIKE
OUT 1PCS 2.20.25 DR#77120 SPC ALWIN
OUT 1PCS 2.3.25 DR#76961 LIPA A
4PC OUT 1/11/25 JO41653 ALY
----------------------------------------------
12-22-24
40938 4PCS SALES DALIA
10/05/24
37349 4PCS SALES MAM JEN
OUT 4PCS 09/19/24 DR#75409-10 SPC KUYA HACKET
07/16/24
36052 1PC SALES
OUT 2PCS 06/26/24 DR#75119 SPC MASTER
OUT 2PCS 06/24/24 DR#75117 SPC
OUT 4PCS 06/02/24 REF# STC KUYA HACKET
OUT 4PCS 04/25/24 DR#74789 SPC KUYA HACKET
OUT 04/01/24 33105 4PCS SALES LEN
OUT 4PCS 03/28/24 DR#74744 SPC KUYA HACKET
4PCS 2-9-24 JO#30678 SAELS
4PCS 1-26-24 JO#31399 SAELS
3PCS 1-12-24 DR#73381 SPC
2PCS 10-28-23 JO#29134 OFFICE
1PC 9-30-23 DR#72296 SPC
4PCS 5-16-23 JO#25318 BEL
4PCS 5-11-23 STF#2450 LIPA A</t>
        </r>
      </text>
    </comment>
    <comment ref="G660" authorId="0" shapeId="0" xr:uid="{E01694B2-FFB3-A74C-8638-0DFF18C92635}">
      <text>
        <r>
          <rPr>
            <sz val="10"/>
            <rFont val="SimSun"/>
            <charset val="134"/>
          </rPr>
          <t>IN 8PCS 03.03.26 DR80785 SPC HACKET
IN 4PCS 12.29.25 DR#79921-22 SPC HACKET</t>
        </r>
      </text>
    </comment>
    <comment ref="H660" authorId="0" shapeId="0" xr:uid="{F03D8AC0-8876-624A-8F53-9760643D3DBA}">
      <text>
        <r>
          <rPr>
            <sz val="10"/>
            <rFont val="SimSun"/>
            <charset val="134"/>
          </rPr>
          <t>01.29.26
54616 4PCS BEL</t>
        </r>
      </text>
    </comment>
    <comment ref="G661" authorId="0" shapeId="0" xr:uid="{3BA98F5B-AA89-2C49-85B2-84563F3838B9}">
      <text>
        <r>
          <rPr>
            <sz val="10"/>
            <rFont val="SimSun"/>
            <charset val="134"/>
          </rPr>
          <t>IN 4PCS 6.21.25 DR#0046829 SOUTHWAY
IN 2PCS 2.22.25 SI#65337 SOUTHWAY
2PCS 01-04-25 SI#65071 SOUTHWAY
IN 4PCS 8-30-24 SI#64490 SOUTHWAY
IN 2PCS 08/11/24 DR#76519 SPC MASTER
IN 4PCS 06/15/24 SI#64104 SOUTHWAY
IN 4PCS 06/04/24 DR#73487 LIPA A
4pcs 5-17-24 SI#63891 SOUTHWAY
2PCS 1-8-24 Dr#74604 SPC
4PCS 12-13-23 SI#62856 SOUTHWAY
4PCS 11-11-23 SI#62609 SOUTHWAY</t>
        </r>
      </text>
    </comment>
    <comment ref="H661" authorId="0" shapeId="0" xr:uid="{92537C7D-35F2-4148-9854-C45D5708CEEF}">
      <text>
        <r>
          <rPr>
            <sz val="10"/>
            <rFont val="SimSun"/>
            <charset val="134"/>
          </rPr>
          <t>OUT 2PCS 12.30.25 DR#80082 SPC
OUT 2PCS 9.13.25 DR#79261 LIPA A
2 PCS OUT 3-17-2025 JO44110 MARLO 
3.16.25 2pcs DR#77160 lipa a 
OUT 4PCS 3.6.25 DR#77137 SPC MIKE
OUT 2PCS 1-18-25 JO#41856 MARLO SALES
OUT 2PCS 1-14-25 DR#76916 SPC SERVICE
----------------------------------------------
OUT 4PCS 11/30/24 DR#75481 LIPA A KUYA JOEL
OUT 06/27/27 35430 2PCS SALES BEL 
OUT 06/05/24 34854 4PCS SALES BEL 
OUT 05/27/24 34624 4PCS SALES BEL
4PCS 1-15-24 JO#31113 MARLO
2pcs 1-6-24 DR#73362 LIPA A
4PCS 12-14-23 DR#73971 SPC</t>
        </r>
      </text>
    </comment>
    <comment ref="G662" authorId="0" shapeId="0" xr:uid="{14F1ADB0-304A-CE46-8EFC-777BC94851CB}">
      <text>
        <r>
          <rPr>
            <sz val="10"/>
            <rFont val="SimSun"/>
            <charset val="134"/>
          </rPr>
          <t>IN 1PC 8.19.25 DR#00467671 SOUTHWAY
IN 4PCS 10-22-24 DR#76671 SPC KUYA HACKET
IN 2PCS 08/17/24 DR#77251 SPC KUYA HACKET
IN 4PCS 8-2-24 SI#64323 SOUTHWAY
IN 2PCS 07/08/24 DR#76054 LIPA A
IN 2PCS 07/08/24 DR#76054 LIPA A
4PCS 6-21-23 SI#61671 SOUTHWAY
8PCS 5-5-23 SI#61420 SOUTHWAY</t>
        </r>
      </text>
    </comment>
    <comment ref="H662" authorId="0" shapeId="0" xr:uid="{49236BE0-818E-EF4D-B831-95ADFCDB7835}">
      <text>
        <r>
          <rPr>
            <sz val="10"/>
            <rFont val="SimSun"/>
            <charset val="134"/>
          </rPr>
          <t>OUT 1PCS 8.29.25 DR#78439 SPC HACKET
OUT 2PCS 7.11.25 DR#78361 BINAN EMMAN
OUT 1PCS 2.14.25 DR#76992 STC
1PC  OUT 12/4/24 JO40317 MARIBEL
10/05/24
37349 4PCS SALES MAM JEN
OUT 07/09/24 35834 2PCS SALES BEL
OUT 07/06/24 35745 2PCS SALES BEL
OUT 4PCS 04/22/24 DR#74785 SPC SIR ADWIN
OUT 1-17-24 DR#73388 2PCS SPC
4PCS 5-11-23 STF#2450 LIPA A</t>
        </r>
      </text>
    </comment>
    <comment ref="G663" authorId="0" shapeId="0" xr:uid="{7E62DBDA-72C7-2E4B-AAEF-FFAE95DBEAC0}">
      <text>
        <r>
          <rPr>
            <sz val="10"/>
            <rFont val="SimSun"/>
            <charset val="134"/>
          </rPr>
          <t>IN 4PCS 03.03.26 DR80785 SPC HACKET
IN 3PCS 11.24.25 DR#0049185 SOUTHWAY
IN 2PC 5.9.25 DR#77717 SPC ROI
IN 2PCS 4.4.25 DR#77390 SPC HACKET
IN 4PCS 3.29.25 DR#77375 SPC HACKET 
IN 2PCS 12-30-24 DR#76862 SPC KUYA RONNIE
5pcs 11-12-24 SI#64926 SOUTHWAY
IN 4PCS 09/28/24 SI#64628 SOUTHWAY
IN 2PCS 09/25/24 DR#76094 LIPA A
IN 4PCS 09/06/24 DR#76567 SPC
IN 4PCS 06/17/24 DR#75187 SPC MASTER
IN 1PCS 05/06/24 DR# SPC MASTER
IN 2PCS 3/26/24  SI# 63624 SOUTHWAY
IN 4PCS 2/28/24  SI# 63390 SOUTHWAY
IN 4PCS 2/28/24  SI#63420 SOUTHWAY
N 02-18-2024
REF#73405A 4PCS LIPA A
4PCS 2-17-24 SI#63298 SOUTHWAY
4PC 10-12-23 SI#62404 SOUTHWAY
2pcs 6-21-23 SI#61670 SOUTHWAY
8PCS 5-5-23 SI#61420 SOUTHWAY</t>
        </r>
      </text>
    </comment>
    <comment ref="H663" authorId="0" shapeId="0" xr:uid="{FA155706-ADD3-7443-AE3F-3A8653AC337A}">
      <text>
        <r>
          <rPr>
            <sz val="10"/>
            <rFont val="SimSun"/>
            <charset val="134"/>
          </rPr>
          <t>OUT 2PCS 02.18.26 DR80865-68 SPC HACKET
11-29-25
2 PCS 52746 ALY
9.28.25
50961 1PC MARLO
9-9-25
1 PC 50369 MARLO
OUT 1PC 8.11.25 DR#78400 SPC LALAMOVE
5-17-25
2 PCS 46410 MARIBEL 
4-16-25
2 PCS OUT JO45344 ALY
4-1-25
2 PCS OUT JO44778 ALY
OUT 4PCS 1-25-25 DR#76943 SPC C/O BOSS SAM
---------------------------------------------
12-28-2024 SALES
41118 2PCS DAHLIA
OUT 2PCS 11/30/24 DR#75481 LIPA A KUYA JOEL
OUT 4PCS 11/28/24 DR#75477 SPC KUYA ALWIN
OUT 1PC 11/8/2024
JO39401 SALES ALY
10/05/24
37349 12PCS SALES MAM JEN
OUT 2PCS 05/04/24 DR#75056 LIPA A
OUT 3PCS 04/22/24 DR#74785 SPC SIR ADWIN
OUT 03/05/2024 32540 2PCS SALES MARLO
OUT 02-18-2024
32022 4PCS SALES LEN
OUT 02-17-2024
31997 4PCS SALES MARIBEL
2PCS 12-5-23 JO#29988 BEL
2PCS 11-5-23 JO#29287 MARLO
2pcs 10-01-2023 dr#72297 spc
2PCS 7-23-23 JO#26923 BEL
4PCS 5-11-23 STF#2450 LIPA A</t>
        </r>
      </text>
    </comment>
    <comment ref="G664" authorId="0" shapeId="0" xr:uid="{3F56AD8E-0F2F-734E-B01F-C6D3DF98C892}">
      <text>
        <r>
          <rPr>
            <sz val="10"/>
            <rFont val="SimSun"/>
            <charset val="134"/>
          </rPr>
          <t>IN 4PCS 09/21/24 DR#76091 LIPA A
4PCS 11-11-23 SI#62609 SOUTHWAY</t>
        </r>
      </text>
    </comment>
    <comment ref="H664" authorId="0" shapeId="0" xr:uid="{2A6B722B-24D7-C344-B4FF-DC4F0138E926}">
      <text>
        <r>
          <rPr>
            <sz val="10"/>
            <rFont val="SimSun"/>
            <charset val="134"/>
          </rPr>
          <t>OUT 4PCS 09/21/24 DR#75412 LIPA A BRIAN
4PCS 12-7-23 dr#73958 spc</t>
        </r>
      </text>
    </comment>
    <comment ref="G665" authorId="0" shapeId="0" xr:uid="{7AACE6B3-F419-CA45-94C7-31179D748A24}">
      <text>
        <r>
          <rPr>
            <sz val="10"/>
            <rFont val="SimSun"/>
            <charset val="134"/>
          </rPr>
          <t>IN 2PCS 11.21.25 DR#78667 LIPA A
IN 1PCS 6.18.25 DR#77754 SPC HACKET
IN 2PCS 5.27.25 DR#78756 SPC ROI
IN 2PCS 5.5.25 DR#77704 SPC EMMAN
IN 2PCS 3.7.25 DR#77050 SPC HACKET
IN 2PCS 3.5.25 SI#65429
SOUTHWAY
IN 2PC 2.12.25 DR#77057 LIPA A
IN 4PCS 09/28/24 SI#64679 SOUTHWAY
IN 1PC 09/25/24 DR#76094 LIPA A
IN 7-26-24 SI#64311 2PC SOUTHWAY
IN 1PCS 06/06/24 DR#75177 SPC KUYA HACKET
4PCS 9-8-23 DR#39199 SOUTHWAY
2pcs 6-21-23 SI#61670 SOUTHWAY
8PCS 5-8-23 SI#61376 SOUTHWAY</t>
        </r>
      </text>
    </comment>
    <comment ref="H665" authorId="0" shapeId="0" xr:uid="{D0951E73-DF12-1346-8D83-F0762A26F2D2}">
      <text>
        <r>
          <rPr>
            <sz val="10"/>
            <rFont val="SimSun"/>
            <charset val="134"/>
          </rPr>
          <t>OUT 4PCS 11.21.25 DR#80025 SPC
OUT 2PCS 8.26.25 DR#78432 S.V
6.15.25
47568 1PC AYE
4 PCS OUT 3-11-25 JO43928 MARIBEL
2 PCS OUT 2-12-25 JO42818 MARLO 
OUT 11-19-24 DR#75469 4PCS LIPA A
OUT 1PCS 10/05/24 DR#75434 SPC KUYA HACKET
10/05/24
37349 4PCS SALES MAM JEN
07/18/24
36066 2PCS SALES MARLO
OUT 06/05/24 34853 1PCS SALES 
BEL
1PC 10-17-23 JO#28810 MARLO
2PCS 7-22-23 STA CRUZ
4PCS 7-5-23 JO#26477 ROSE
4PCS 5-11-23 STF#2450 LIPA A</t>
        </r>
      </text>
    </comment>
    <comment ref="G666" authorId="0" shapeId="0" xr:uid="{F0121F99-1D98-1B4D-A5CC-5DFAD7DB1FDD}">
      <text>
        <r>
          <rPr>
            <sz val="10"/>
            <rFont val="SimSun"/>
            <charset val="134"/>
          </rPr>
          <t>IN 4PCS 12.29.25 DR#79921-22 SPC HACKET</t>
        </r>
      </text>
    </comment>
    <comment ref="G667" authorId="0" shapeId="0" xr:uid="{C38847BF-DB76-344A-9003-87704D9F074A}">
      <text>
        <r>
          <rPr>
            <sz val="10"/>
            <rFont val="SimSun"/>
            <charset val="134"/>
          </rPr>
          <t>IN 2PCS 8.11.25 DR#79006-07 SPC EMMAN
IN 4PCS 6.9.25 DR#65932 SOUTHWAY 
IN 1PCS 3.5.25 SI#65429
SOUTHWAY
IN 2PCS 1-17-25 SI#65162 SOUTHWAY
IN 2PCS 1-17-25 SI#65202 SOUTHWAY
IN 2PCS 1-16-25 DR#76888 SPC KUYA MIKE
IN 3PCS 12-05-24 DR#75741 SPC KUYA MIKE
IN 4PCS 09/16/24 SI#64545 SOUTHWAY
IN 2PCS 06/22/24 DR#75191 SPC KUYA ADWIN
IN 3PCS 06/01/24 SI#63981 SOUTHWAY (for stc)
IN 11PCS 06/01/24 SI#64015 SOUTHWAY (for spc)
IN 1PC 05/31/24 DR#75169 SPC KUYA HACKET
IN 4PCS 03/06/24 SI#63447 SOUTHWAY
5PCS 2-17-24 SI#63298 SOUTHWAY
4PCS 12-19-23 SI#62888 SOUTHWAY
8PCS 5-5-23 SI#61419 SOUTHWAY</t>
        </r>
      </text>
    </comment>
    <comment ref="H667" authorId="0" shapeId="0" xr:uid="{8A54D860-790D-2C41-B5D8-D3B9CB7DEFB2}">
      <text>
        <r>
          <rPr>
            <sz val="10"/>
            <rFont val="SimSun"/>
            <charset val="134"/>
          </rPr>
          <t>OUT 1PCS 02.18.26 DR80865-68 SPC HACKET
11-30-25
1 PC 52802 ALY
8.9.25
49522 4PCS MARLO
5.21.25
46602 2PCS ALY
OUT 1PCS 2.20.25 DR#77117 BIÑAN HACKET
4 PCS OUT 2-7-25 FOR BIÑAN 
2pcs out 12/20/24 jo40888 marlo
3PCS OUT 11/25/24 JO40067 JARVIS
11/23/24
39986 1PC SALES MARLO
OUT 1PC SALES 11/05/2024
JO39307 JARVIS
OUT 1PC 09/07/24 DR#75400 LIPA A
OUT 06/19/24 35281 2PCS SALES
LEN
OUT 11PCS 06/04/24 DR#75097 SPC KUYA HACKET
OUT 3PCS 06/02/24 REF# STC KUYA HACKET
OUT 05/27/24 34609 1PCS SALES  BEL
05/09/24 
34152 4pcs sales boss jun
OUT 4PCS 05/09/24 DR#75062 SPC MASTER
OUT 1PCS 3/10/24 DR#74703 SPC PICK UP MASTER
OUT 03/02/2024 32365 1PCS SALES BEL
OUT 4PCS 2/26/24 DR# 74689-90 SPC PICK UP MASTER
1PC 2-8-24 JO#31745 SALES
2PCS 01-03-24 JO#30669 JONHLY
2PCS 12-30-23 DR#73995 SPC
4PCS 5-16-23 JO#25320 MARLO</t>
        </r>
      </text>
    </comment>
    <comment ref="G668" authorId="0" shapeId="0" xr:uid="{7C8BC7D7-972F-2241-A94B-DF30F38DCEFC}">
      <text>
        <r>
          <rPr>
            <sz val="10"/>
            <rFont val="SimSun"/>
            <charset val="134"/>
          </rPr>
          <t>4PCS 6-9-23 SI#61575 SOUTHWAY</t>
        </r>
      </text>
    </comment>
    <comment ref="H668" authorId="0" shapeId="0" xr:uid="{D287D788-FAC0-FA43-BD42-F3ED5AEA279D}">
      <text>
        <r>
          <rPr>
            <sz val="10"/>
            <rFont val="SimSun"/>
            <charset val="134"/>
          </rPr>
          <t>OUT 4PCS 10/03/24 DR#75429 SPC KUYA HACKET</t>
        </r>
      </text>
    </comment>
    <comment ref="G669" authorId="0" shapeId="0" xr:uid="{997341EC-6BCA-8945-90F4-E42D154C0227}">
      <text>
        <r>
          <rPr>
            <sz val="10"/>
            <rFont val="SimSun"/>
            <charset val="134"/>
          </rPr>
          <t>IN 4PCS 01.30.26 DR#0049899 SOUTHWAY
IN 4PCS 10.27.25 DR#79689 SPC BRY
IN 4PCS 6.9.25 DR#65932 SOUTHWAY 
IN 4PCS 3.5.25 SI#65429
SOUTHWAY
IN 4PCS 1-17-25 SI#65161 SOUTHWAY
IN 1PCS 1-17-25 SI#65160 SOUTHWAY
----------------------------------------------
4PCS 12-17-24 SI#64996 SOUTHWAY
3PCS 12-06-24 SI#64973 SOUTHWAY
2pcs 11-12-24 SI#64926 SOUTHWAY
4PCS 11/11/24 DR#75703-04 SPC KUYA HACKET &amp; ROI
IN 2PCS 09/28/24 SI#64628 SOUTHWAY
IN 4PCS 09/28/24 SI#64679 SOUTHWAY
IN 1PC 09/26/24 REF#75714 STC KUYA BOYONG
IN 1PCS 09/26/24 DR#76609 SPC KUYA MIKE
IN 4PCS 09/21/24 REF#76091 LIPA A
IN 4PCS 08/17/24 DR#77251 SPC KUYA HACKET
IN 7-26-24 SI#64311 2PCS SOUTHWAY
IN 4PCS 07/18/24 DR# SPC KUYA HACKET
IN 4PCS 06/28/24 SI#64212 SOUTHWAY
4PCS 2-17-24 SI#63298 SOUTHWAY
4PC 10-12-23 SI#62404 SOUTHWAY
8PCS 5-5-23 SI#61419 SOUTHWAY</t>
        </r>
      </text>
    </comment>
    <comment ref="H669" authorId="0" shapeId="0" xr:uid="{E7B816DF-CDCC-1344-A394-AB1CD799ACD0}">
      <text>
        <r>
          <rPr>
            <sz val="10"/>
            <rFont val="SimSun"/>
            <charset val="134"/>
          </rPr>
          <t>02.28.26
55632 2PCS MARLO
OUT 2PCS 12.5.25 DR#80053 SPC SERVICE
OUT 4PCS 7.10.25 DR#78357 SPC
OUT 4PCS 4.9.25 DR#77569 LIPA A
4 PCS OUT 2-19-25 JO43049   MARLO
OUT 4PCS 2.6.25 DR#76972 BIÑAN
OUT 1-22-25 2pcs DR#76931 SPC KUYA MIKE
OUT 2PCS 1-20-25 DR#76924 LIPA A
OUT 2PCS 1-14-25 DR#76916 SPC RANGER
----------------------------------------------
OUT 3PCS 12-06-24 DR#75494 LIPA A
OUT 1PCS 11/30/24 DR#75481 LIPA A KUYA JOEL
OUT 1PCS 11/22/24 JO39959 JARVIS
10/21/2024	38559 4PCS SALES
OUT 2PCS 10/05/24 DR#75434 SPC KUYA HACKET
10/05/24
37349 8PCS SALES MAM JEN
09/24/24
37903 2PCS SALES MARLO
08/08/24
36589 4PCS SALES BEL
07/19/24
36084 2PCS SALES JARVIS
OUT 4PCS 07/08/24 REF#75642 STC SERVICE
OUT 04/11/24 33316 4PCS SALES BEL
4PCS 12-15-23 DR#73973 SPC
4PCS 7-23-23 JO#26931 MARLO
4PCS 5-18-23 stf#2461 LIPA A</t>
        </r>
      </text>
    </comment>
    <comment ref="G671" authorId="0" shapeId="0" xr:uid="{59B0DB3D-A55A-4343-A387-3ED4DB26DAE0}">
      <text>
        <r>
          <rPr>
            <sz val="10"/>
            <rFont val="SimSun"/>
            <charset val="134"/>
          </rPr>
          <t>IN 4PCS 10.27.25 DR#77834 BIÑAN
IN 2PCS 8.11.25 DR#79006-07 SPC EMMAN
IN 2PCS 6.21.25 DR#0046829 SOUTHWAY
IN 1PCS 5.27.25 DR#78756 SPC ROI
IN 2PCS 4.15.25 SI#65753 SOUTHWAY 
2PCS 5-2-24 SI#63816 SOUTHWAY
4PCS 12-13-23 SI#62856 SOUTHWAY
4pcs 7-23-23 dr#72646 lipa a
8PCS 5-5-23 SI#61419 SOUTHWAY</t>
        </r>
      </text>
    </comment>
    <comment ref="H671" authorId="0" shapeId="0" xr:uid="{A729FF92-5628-594C-B372-AA5147E97613}">
      <text>
        <r>
          <rPr>
            <sz val="10"/>
            <rFont val="SimSun"/>
            <charset val="134"/>
          </rPr>
          <t>9-24-25
2 PCS 50834 MARLO
8-10-25
4 PCS 49541 ALY
OUT 2PCS 6.3.25 DR#78304 STC LALAMOVE
4-25-25
1 PC 45558 ALY 
12-26-24
41053 2PCS SALES ALY
4PCS 12-5-23 JO#29995 MARLO
4pcs 7-21-23 STC
4PCS 5-18-23 stf#2461 LIPA A</t>
        </r>
      </text>
    </comment>
    <comment ref="G672" authorId="0" shapeId="0" xr:uid="{A2344680-AC9F-8043-976F-5CE0D858DCFF}">
      <text>
        <r>
          <rPr>
            <sz val="10"/>
            <rFont val="SimSun"/>
            <charset val="134"/>
          </rPr>
          <t>IN 2PCS 11.25.25 DR#79899 SPC HACKET
IN 2PCS 11.25.25 DR#79899 SPC HACKET
IN 1PCS 4.30.25 DR#77693 SPC HACKET
IN 3PC 4.22.25 DR#77672 SPC HACKET
IN 1PCS 3.5.25 SI#65429
SOUTHWAY
IN 1PC 11/25/24 DR#75722 SPC KUYA EMMAN
IN 9PCS 10/26/24 SI#64736 SOUTHWAY
IN 10PCS 09/28/24 SI#64628 SOUTHWAY
IN 1PC 06/08/24 DR#73488 LIPA A BRIAN
1PC 2-17-24 SI#63298 SOUTHWAY
4PCS 2-3-24 SI#63199 SOUTHWAY
4PCS 1-14-24 DR#73331 LIPA A
1pc 12-5-23 SI#62823 SOUTHWAY
5PCS 9-8-23 DR#39199 SOUTHWAY
4PCS 5-5-23 SI#61419 SOUTHWAY</t>
        </r>
      </text>
    </comment>
    <comment ref="H672" authorId="0" shapeId="0" xr:uid="{06096A6D-0050-4048-99BE-BA3351F4AFB4}">
      <text>
        <r>
          <rPr>
            <sz val="10"/>
            <rFont val="SimSun"/>
            <charset val="134"/>
          </rPr>
          <t>1-9-26
2PCS 54012 ALY
OUT 2PCS 9.8.25 DR#79251 S.V MEET UP
OUT 4PCS 4.11.25 DR#77577 LIPA A
1PC 12/24/24 JO41043 JARVIS
OUT 11PCS 10/28/24 DR#75445 SPC
OUT 4PCS 09/30/24 DR#75422 LIPA A KUYA ROI
OUT 2PCS 08/29/24 REF#75684 STC
OUT 2PCS 08/28/24 REF#75683 STC
OUT 06/04/24 34818 1PCS SALES BEL
OUT 2PCS 03/16/24 DR#74721 SPC
1pc 2-4-24 jo#31653 sales bel
4PCS 1-14-24 JO#31089 BEL
4pcs 12-23-23 dr#73985 SPC
1PC 11-30-23 JO#29874 JARVIS
4PCS 9-28-23 DR#72293 LIPA A
4PCS 5-18-23 stf#2461 LIPA A</t>
        </r>
      </text>
    </comment>
    <comment ref="G673" authorId="0" shapeId="0" xr:uid="{A5B52BF6-9E20-5B44-A2F8-6745F9871697}">
      <text>
        <r>
          <rPr>
            <sz val="10"/>
            <rFont val="SimSun"/>
            <charset val="134"/>
          </rPr>
          <t>IN 4PCS 03.03.26 DR80785 SPC HACKET
IN 17PCS 7.19.25 DR#0047233 SOUTHWAY
IN 4PCS 7.17.25 DR#78871 SPC HACKET
IN 1PC 6-24-25 DR78086 LIPA A
IN 2PCS 2.14.25 DR#77026 SPC
IN 6PCS 1-17-25 SI#65162 SOUTHWAY
IN 4PCS 1-17-25 SI#65160 SOUTHWAY
2PCS 01-04-25 SI#65071 SOUTHWAY
IN 1PC 11/25/24 DR#75722 SPC KUYA EMMAN
1PC 11-12-24 SI#64924 SOUTHWAY
OUT 1PC SALES 11/12/2024
JO39635 DALIA
IN 1PCS 11/02/24 DR#76697 SPC KUYA HACKET
IN 4PCS 10/13/24 DR#76646-48 SPC KUYA HACKET
IN 4PCS 09/21/24 DR#76091 LIPA A
IN 2PCS 08/17/24 DR#77251 SPC KUYA HACKET
IN 4PCS 05/25/24 SI#63968 SOUTHWAY
2pcs 5-17-24 SI#63891 SOUTHWAY
IN 4PCS 03/06/24 SI#63447 SOUTHWAY
IN 2PCS 2/28/24  SI# 63420 SOUTHWAY
4PCS 12-27-23 DR#74540 SPC
4PCS 11-28-23 SI#92780 SOUTHWAY
4PCS 6-29-23 SI#61719 SOUTHWAY
8PCS 5-5-23 SI#61419 SOUTHWAY</t>
        </r>
      </text>
    </comment>
    <comment ref="H673" authorId="0" shapeId="0" xr:uid="{41B84296-88E0-A341-AD4C-EA3E443C398C}">
      <text>
        <r>
          <rPr>
            <sz val="10"/>
            <rFont val="SimSun"/>
            <charset val="134"/>
          </rPr>
          <t>1-3-25
2PCS OUT 53841 ALY
11-15-25
2 PCS 52337 ALY
OUT 4PCS 7.19.25 DR#78370 BINAN HACKET
OUT 10PCS 7.19.25 DR#78371 SPC EMMAN
6-24-25
1 PC 47913 ALY
3.31.25
44740 4PCS JARVIS
2 PCS OUT 2-11-25 JO42832 MARIBEL 
OUT 2PCS 1.28.25 DR#76953 STC
OUT 1-22-25 4pcs DR#76931 SPC KUYA MIKE
OUT 4PCS 1-20-25 DR#76924 LIPA A
OUT 2PCS 1-15-25 DR#76915 SPC
OUT 1PC SALES 11/13/2024
JO39619 ALY
----------------------------------------------
OUT 1PC WARRANTY 11/12/24
JO39635 DALIA
OUT 1 PC 10/29/24
JO#38896 MARIBEL
10/05/24
37349 12PCS SALES MAM JEN
OUT 07/01/24 35577 2PCS SALES  JARVIS
OUT 05/01/24 33890 2PCS SALES
LEN
OUT 2PCS 3/10/24 DR#74703 SPC PICK UP MASTER
2PCS out 2-22-2024 stc
out 12-26-2023
30564 4pcs sales
4PCS 11-23-23 STA CRUZ
2PCS 9-12-23 JO#28122 MARLO
4PCS 7-15-23 DR#73868 LIPA A
2PCS 5-16-23 JO#25347 BEL</t>
        </r>
      </text>
    </comment>
    <comment ref="G674" authorId="0" shapeId="0" xr:uid="{C282556D-5D1A-D641-ADEE-4C74000EB22F}">
      <text>
        <r>
          <rPr>
            <sz val="10"/>
            <rFont val="SimSun"/>
            <charset val="134"/>
          </rPr>
          <t>IN 2PCS 10.31.25 DR#79853-54  HACKET
IN 14PCS 7.19.25 DR#0047233 SOUTHWAY
IN 4PCS 6.26.25 DR#77775-76 SPC EMMAN
IN 4PCS 6.4.25 DR#77221 BIÑAN HACKET
IN 4PCS 4.22.25 DR#77549 LIPA A
IN 4PCS 4.15.25 SI#65753 SOUTHWAY 
IN 2PCS 4.11.25 DR#77658 SPC HACKET
IN 2PCS 3.22.25 DR#77443 SPC BRY
IN 4PCS 3.20.25 DR#77438 SPC
IN 4PCS 3.17.25 DR#77427 SPC MIKE
IN 4PCS 2.22.25 SI#65337 SOUTHWAY
IN 2PCS 1-28-25 DR#77007 SPC KUYA HACKET
IN 2PCS 1-17-25 DR#76178 LIPA 
A
IN 4PCS 1-17-25 SI#65161 SOUTHWAY
IN 2PCS 1-17-25 SI#65202 SOUTHWAY
----------------------------------------------
IN 4PCS 12-30-24 DR#76863 SPC KUYA RONNIE
IN 10PCS 10/26/24 SI#64736 SOUTHWAY
IN 4PCS 08/11/24 DR#76519 SPC MASTER
IN 2PCS 06/15/24 SI#64104 SOUTHWAY
2PCS 5/11/2024 SI#63873 SOUTHWAY
8PCS 5/11/2024 SI#63903 SOUTHWAY
4PCS 5/11/2024 SI#63874 SOUTHWAY
IN 4PCS 03/06/24 SI#63458 SOUTHWAY
IN 4PCS 03/06/24 SI#63447 SOUTHWAY
4PCS 11-28-23 SI#62711 SOUTHWAY
4pcs 6-21-23 SI#61670 SOUTHWAY
4PCS 5-5-23 SI#61412 SOUTHWAY</t>
        </r>
      </text>
    </comment>
    <comment ref="H674" authorId="0" shapeId="0" xr:uid="{2B26A588-545D-DB4C-B0F0-83F806ED00AB}">
      <text>
        <r>
          <rPr>
            <sz val="10"/>
            <rFont val="SimSun"/>
            <charset val="134"/>
          </rPr>
          <t>OUT 2PCS 12.12.25 DR#80064 SPC ROBIN
OUT 4PCS 7.21.25 DR#78372 LIPA A BRY
OUT 10PCS 7.19.25 DR#78371 SPC EMMAN
OUT 4PCS 6.7.25 DR#78312 HACKET MEET UP
3PCS 4.29.25 DR#77623 SPC HACKET
4-23-25
1 PC 45561 JARVIS
OUT 4PCS 4.22.25 DR#77608 SPC NHEL
4-11-25
2 PCS OUT JO45159 ROSE
4-1-25
4PCS OUT JO44769 JARVIS
2 PCS OUT 3-20-25 JO44273 ALY
4 PCS OUT 3-19-25 JO44254 ALY
4 PCS OUT 3-8-25 JO43849 MARIBEL
4 PCS OUT 2-18-25 JO43037 JARVIS
OUT 1-22-25 3pcs DR#76931 SPC KUYA MIKE
OUT 2PCS 1-20-25 DR#76924 LIPA A
OUT 1-18-25 4PCS JO#41854 MARLO SALES
2PC OUT 1/8/25 JO41533 ALY
12-27-24
41104 4PCS SALES MARLO
OUT 4PCS 10/28/24 DR#75444 LIPA A BRIAN
OUT 2PCS 10/28/24 DR#75442 SPC BRIAN
OUT 4PCS 10/03/24 DR#75429 SPC KUYA HACKET
OUT 4PCS 07/22/24 DR#75353 SPC KUYA BOYONG
OUT 2PCS 06/03/24 DR#75095 SPC KUYA EMAN
OUT 2PCS 05/30/24 DR#75089 SPC KUYA HACKET
OUT 4PSC 5-21-24 DR#75073 SPC ADWIN
OUT 4PCS 05/16/24 REF# STC
OUT 03/12/24 4PCS DR#74706 SPC
OUT 4PCS 3/10/24 DR#74703 SPC PICK UP MASTER
out 4pcs 01-24-24 dr#73396 spc
4PCS 8-2-23 DR#73896 SPC
2PC  5-22-23 STF#2469 SPC
2PCS 5-14-23 JO25309 MARIBEL</t>
        </r>
      </text>
    </comment>
    <comment ref="G675" authorId="0" shapeId="0" xr:uid="{BBA515B5-EDF5-8F4C-B926-EE046AEBCCBB}">
      <text>
        <r>
          <rPr>
            <sz val="10"/>
            <rFont val="SimSun"/>
            <charset val="134"/>
          </rPr>
          <t>2pcs 5-17-24 SI#63891 SOUTHWAY
4PCS 12-13-23 SI#62856 SOUTHWAY</t>
        </r>
      </text>
    </comment>
    <comment ref="H675" authorId="0" shapeId="0" xr:uid="{6DA41D89-5D2E-224E-8140-B5044C8508BE}">
      <text>
        <r>
          <rPr>
            <sz val="10"/>
            <rFont val="SimSun"/>
            <charset val="134"/>
          </rPr>
          <t>OUT 4PCS 6.7.25 DR#78313 SPC ALWIN
2PCS 1-26-24 DR#000001 SPC</t>
        </r>
      </text>
    </comment>
    <comment ref="G676" authorId="0" shapeId="0" xr:uid="{97C743BE-C6D2-C243-B85D-BA90A68BF39E}">
      <text>
        <r>
          <rPr>
            <sz val="10"/>
            <rFont val="SimSun"/>
            <charset val="134"/>
          </rPr>
          <t>IN 10PCS 01.30.26 DR#0049899 SOUTHWAY
IN 3PCS 7.19.25 DR#0047233 SOUTHWAY
IN 4PCS 7.17.25 DR#78871 SPC HACKET
IN 4PCS 4.14.25 DR#77539 SPC
IN 1PCS 1-28-25 DR#77007 SPC KUYA HACKET
4PCS 01-04-25 SI#65071 SOUTHWAY
4PCS 01-04-25 SI#65131 SOUTHWAY
IN 2PCS 10-26-24 DR#76857 SPC KUYA BOYONG
IN 4PCS 09/28/24 SI#64680 SOUTHWAY
IN 16PCS 09/28/24 SI#64628 SOUTHWAY
IN 4PCS 05/03/24 DR#75018 SPC
4PCS 5-2-24 SI#63816 SOUTHWAY
4PCS 5-5-23 SI#61412 SOUTHWAY</t>
        </r>
      </text>
    </comment>
    <comment ref="H676" authorId="0" shapeId="0" xr:uid="{41B7FDB8-8D79-3F4F-95F5-0F6CC51A5A35}">
      <text>
        <r>
          <rPr>
            <sz val="10"/>
            <rFont val="SimSun"/>
            <charset val="134"/>
          </rPr>
          <t>OUT 4PCS 01.30.26 DR80230 SPC HACKET
OUT 4PCS 10.20.25 DR#79774 LIPA A
9-10-25
2 PCS 50399 ALY
7-30-25
1 PC 49130 ALY
5-15-25
2 PCS 46391 MARLO
OUT 4PCS 4.8.25 DR#77565 SPC HACKET
1-17-25
41864 1PC SALES BEL
OUT 4PCS 01-7-24 DR#75549 SPC KUYA HACKET
12-26-24
41075 2PCS SALES ALY
OUT 4PCS 12-16-24 DR#75518 SPC
OUT 12PCS 09/30/24 DR#75423 SPC KUYA EMMAN
OUT 4PCS 09/30/24 DR#75422 LIPA A KUYA ROI
OUT 4PCS 07/30/24  DR#75366 SPC
OUT 05/04/24 33985 4PCS SALES JOHNLY
OUT 4PCS 03/21/24 DR# STC</t>
        </r>
      </text>
    </comment>
    <comment ref="G677" authorId="0" shapeId="0" xr:uid="{9C30AF03-C46C-8F4A-9721-9CEF4558808C}">
      <text>
        <r>
          <rPr>
            <sz val="10"/>
            <rFont val="SimSun"/>
            <charset val="134"/>
          </rPr>
          <t>IN 4PCS 11.24.25 DR#0049185 SOUTHWAY
IN 1PCS 3.4.25 DR#77040 SPC HACKET
IN 4PCS 10-22-24 DR#76671 SPC KUYA HACKET
IN 3PCS 09/28/24 SI#64679 SOUTHWAY
4PCS 5-2-24 SI#63816 SOUTHWAY
IN 1PC 04/12/13 DR#SP0020 SPC
4PCS 1-8-24 Dr#74604 SPC
6PCS 10-12-23 SI#62406 SOUTHWAY</t>
        </r>
      </text>
    </comment>
    <comment ref="H677" authorId="0" shapeId="0" xr:uid="{6C4838E7-C9AA-AB4D-87CB-886023838AAE}">
      <text>
        <r>
          <rPr>
            <sz val="10"/>
            <rFont val="SimSun"/>
            <charset val="134"/>
          </rPr>
          <t>OUT 4PCS 6.29.25 DR#78341 SPC
OUT 4PCS 4.8.25 DR#77565 SPC HACKET
OUT 1PC 3.14.25 DR#77157 LIPA A
out 4pcs 10/07/24 dr#75435 lipa a
OUT 4PCS 09/30/24 DR#75423 SPC KUYA EMMAN
OUT 04/12/24 33441 4PCS SALES JHONLY
OUT 2-3-24 DR#74657 1PC SALES
6PCS 10-13-23 DR#73918 SPC</t>
        </r>
      </text>
    </comment>
    <comment ref="G678" authorId="0" shapeId="0" xr:uid="{E83C3E67-51A2-D040-997B-8E3533C4B4A8}">
      <text>
        <r>
          <rPr>
            <sz val="10"/>
            <rFont val="SimSun"/>
            <charset val="134"/>
          </rPr>
          <t>IN 4PCS 09/16/24 SI#64545 SOUTHWAY
4PCS 1-27-24 dr#73399 LIPA A
2PCS 1-17-24 SI#63064 SOUTHWAY
2PCS 12-13-23 SI#62856 SOUTHWAY
4PCS 11-28-23 SI#92780 SOUTHWAY</t>
        </r>
      </text>
    </comment>
    <comment ref="H678" authorId="0" shapeId="0" xr:uid="{9638F3CA-254A-444A-828A-B3B97FDDC726}">
      <text>
        <r>
          <rPr>
            <sz val="10"/>
            <rFont val="SimSun"/>
            <charset val="134"/>
          </rPr>
          <t>OUT 2PCS SALES 11/15/24
JO39818 ALY
4PCS 1-25-24 DR# LIPA A 
OUT 01-13-2024
DR#73383 LIPA A
4pcs 1-8-24 DR#73368 SPC</t>
        </r>
      </text>
    </comment>
    <comment ref="G679" authorId="0" shapeId="0" xr:uid="{3200314B-8CF3-574C-836B-F5B200215DA2}">
      <text>
        <r>
          <rPr>
            <sz val="10"/>
            <rFont val="SimSun"/>
            <charset val="134"/>
          </rPr>
          <t>IN 4PCS 02.10.26 DR80737 SPC ALWIN
IN 4PCS 11.24.25 DR#0049185 SOUTHWAY
IN 6PCS 7.7.25 DR#0047066 SOUTHWAY
IN 4PCS 5.10.25 DR#77721 SPC HACKET
IN 4PCS 4.15.25 SI#65753 SOUTHWAY 
IN 4PCS 3.18.25 DR#77434 SPC HACKET
IN 4PCS 2.12.25 DR#77057 LIPA A
----------------------------------------------
10pcs 11-12-24 SI#64926 SOUTHWAY
IN 3PCS 09/16/24 SI#64545 SOUTHWAY
1PC 12-13-23 SI#62856 SOUTHWAY
8PCS 12-5-23 SI#62823 SOUTHWAY
4PCS 6-9-23 SI#61575 SOUTHWAY
4PCS 6-7-23 SPC</t>
        </r>
      </text>
    </comment>
    <comment ref="H679" authorId="0" shapeId="0" xr:uid="{0452B6F1-D65B-0346-BDFD-6716A0DB7BC4}">
      <text>
        <r>
          <rPr>
            <sz val="10"/>
            <rFont val="SimSun"/>
            <charset val="134"/>
          </rPr>
          <t>12-26-25
4 PCS OUT 53613 JARVIS
OUT 4PCS 9.11.25 DR#79255 LIPA A
8-24-25
4 PCS 49941 ALY
OUT 6PCS 7.10.25 DR#78359 SPC RONNIE
5-1-25
4 PCS 45911 ALY
4-7-25
4 PCS OUT JO44984 JARVIS
4PCS OUT 2-18-25 JO43009 MARIBE;L 
OUT 4PCS 2.12.25 DR#76990 BIÑAN
OUT 2PCS 11/30/24 DR#75481 LIPA A KUYA JOEL
OUT 8PCS 11/28/24 DR#75477 SPC KUYA ALWIN
OUT 2PCS 10/03/24 DR#75429 SPC KUYA HACKET
OUT 04/11/24 33436 4PCS SALES JHONLY
OUT 2PCS 3/10/24 DR#74703 SPC PICK UP MASTER
4PCS 2-19-24 DR# SPC
4PCS 1-12-24 DR#73381 SPC
1PC  12-14-23 DR#73971 SPC3PCS 8-1-23 DR#73895 SPC</t>
        </r>
      </text>
    </comment>
    <comment ref="G680" authorId="0" shapeId="0" xr:uid="{32BAF1D1-27A6-AF40-85A9-CBFF3FCFDD3F}">
      <text>
        <r>
          <rPr>
            <sz val="10"/>
            <rFont val="SimSun"/>
            <charset val="134"/>
          </rPr>
          <t>IN 4PCS 11.24.25 DR#0049185 SOUTHWAY
IN 4PCS 8.1.25 DR#78819 SPC EMMAN
IN 2PCS 7.17.25 DR#78871 SPC HACKET
IN 2PCS 6.7.25 DR#78778 SPC HACKET
IN 2PCS 2.22.25 SI#65337 SOUTHWAY
IN 1PCS 1-24-25 DR#77002 SPC KUYA HACKET
----------------------------------------------
IN 2PCS 09/28/24 SI#64629 SOUTHWAY
IN 6PCS 09/28/24 SI#64679 SOUTHWAY
IN 8PCS 06/28/24 SI#64212 SOUTHWAY
IN 1PC 06/17/24 DR#73493 1PC LIPA A
4pcs 5-17-24 SI#63891 SOUTHWAY
2PCS 2-7-24 DR#74650;74801 SPC
4PCS 12-19-23 SI#62888 SOUTHWAY
2PCS 12-10-23 DR# SPC
4PCS 6-21-23 SI#61671 SOUTHWAY
8PCS 5-5-23 SI#61419 SOUTHWAY</t>
        </r>
      </text>
    </comment>
    <comment ref="H680" authorId="0" shapeId="0" xr:uid="{60282294-4EFA-8142-8D1A-DD83F06AC972}">
      <text>
        <r>
          <rPr>
            <sz val="10"/>
            <rFont val="SimSun"/>
            <charset val="134"/>
          </rPr>
          <t>02.23.26
55320 4PCS MARLO
OUT 4PCS 02.11.26 DR80246 SPC HACKET
11-29-25
2 PCS 52737 JARVIS
8-24-25
4 PCS 49941 ALY
7-19-25
4 PCS 48858 ALY
6.27.25
48061 2PCS JARVIS
2PC OUT 1/28/25 JO42236 JARVIS
4PC OUT 1/23/25 JO42027 MARLO
1PC 12/24/24 JO41034 ALY
OUT 6PCS 10/01/24 DR#75426 SPC KUYA HACKET
OUT 2PCS 09/19/24 DR#75409-10 SPC KUYA HACKET
OUT 06/17/24 35190 4PCS SALES MARLO
OUT 06/14/15 35123 1PCS SALES BEL
OUT 4PCS 06/13/24 DR#75107 SPC 
OUT 04/29/24 33873 4PCS SALES MARLO
OUT 2PCS 03/23/24 DR#74735 SPC KUYA MIKE
2PCS 1-12-24 DR#73381 SPC
2PCS 12-9-23 JO#30095 BEL
4PCS 8-2-23 DR#73896 SPC
2PCS 7-22-23 JO#26904 BEL
2PCS 5-29-23 JO#25645 ROSE
4PCS 5-18-23 stf#2461 LIPA A</t>
        </r>
      </text>
    </comment>
    <comment ref="G682" authorId="0" shapeId="0" xr:uid="{4C1CF511-C43B-254E-A274-C996590EBA44}">
      <text>
        <r>
          <rPr>
            <sz val="10"/>
            <rFont val="SimSun"/>
            <charset val="134"/>
          </rPr>
          <t>IN 4PCS 01.09.26 DR79951-53 SPC HACKET
IN 2PCS 8.7.25 DR#78842 SPC HACKET
IN 14PCS 7.19.25 DR#0047233 SOUTHWAY
IN 4PCS 2.27.25 DR#77070 LIPA A
IN 1PCS 1-24-25 DR#77002 SPC KUYA HACKET
IN 1PCS 1-16-25 DR#76890 SPC KUYA EMMAN
---------------------------------------------
IN 4PCS 09/16/24 SI#64545 SOUTHWAY
2PCS 1-12-24 DR# SPC
2PC 10-12-23 SI#62404 SOUTHWAY
4PCS 7-8-23 DR#38700 SOUTHWAY
4PCS 6-9-23 SPC</t>
        </r>
      </text>
    </comment>
    <comment ref="H682" authorId="0" shapeId="0" xr:uid="{7B40BB2B-2176-F34D-A31A-6A0912609BBA}">
      <text>
        <r>
          <rPr>
            <sz val="10"/>
            <rFont val="SimSun"/>
            <charset val="134"/>
          </rPr>
          <t>8.21.25
49819 4PCS ALY
OUT 2PCS 7.25.25 DR#78378 LIPA A
OUT 10PCS 7.19.25 DR#78371 SPC EMMAN
4 PCS OUT 2-26-25 JO43403 ALY
2pc OUT 1/24/25 JO42006 DALIA
10/27/24
38818 2PCS SALES MARLO
OUT 2PSC 5-21-24 DR#75073 SPC ADWIN
OUT 04/2/24 33787 2PCS SALES MARLO
2PCS 11-9-23 DR#74261 SPC
2PCS 8-19-23 DR#72226 SPC</t>
        </r>
      </text>
    </comment>
    <comment ref="G683" authorId="0" shapeId="0" xr:uid="{869F4528-7311-7C40-902B-9A8F78333851}">
      <text>
        <r>
          <rPr>
            <sz val="10"/>
            <rFont val="SimSun"/>
            <charset val="134"/>
          </rPr>
          <t>IN 1PCS 5.10.25 DR#77721 SPC HACKET
2PCS 11/11/24 DR#75703-04 SPC KUYA HACKET &amp; ROI
IN 4PCS 06/01/24 SI#63981 SOUTHWAY (for stc)
N 4PCS 06/01/24 SI#64015 SOUTHWAY (for spc)
IN 4PCS 06/01/24 SI#63982 SOUTHWAY (for lipa b)
4PCS 12-13-23 SI#62856 SOUTHWAY
4PCS  12-5-23 SI#62823 SOUTHWAY
4PCS 11-11-23 SI#62609 SOUTHWAY</t>
        </r>
      </text>
    </comment>
    <comment ref="H683" authorId="0" shapeId="0" xr:uid="{3791FAEA-163C-3B4D-B4DD-B588B5029342}">
      <text>
        <r>
          <rPr>
            <sz val="10"/>
            <rFont val="SimSun"/>
            <charset val="134"/>
          </rPr>
          <t>10-1-25
2 PCS 51028 ALY
OUT 1PCS 9.1.25 DR#78443 LIPA A
2.16.25
42986 2PCS SALES ALY
OUT 2PCS 11/19/24 JO39729 
MARIBEL
OUT 4PCS 06/04/24 DR#75097 SPC KUYA HACKET
OUT 4PCS 06/02/24 REF# STC KUYA HACKET
3pcs 2-23-24 DR#74686 LIPA A
1PC 1-26-24 DR#000001 SPC
OUT 1-17-24 DR#73388 2PCS SPC
OUT 12-22-2023
30454 2PCS SALES
4PCS NO NOTE</t>
        </r>
      </text>
    </comment>
    <comment ref="G684" authorId="0" shapeId="0" xr:uid="{49DDB5F6-2294-C042-8533-2256A59A4C18}">
      <text>
        <r>
          <rPr>
            <sz val="10"/>
            <rFont val="SimSun"/>
            <charset val="134"/>
          </rPr>
          <t>IN 4PCS 12.29.25 DR#79921-22 SPC HACKET</t>
        </r>
      </text>
    </comment>
    <comment ref="H684" authorId="0" shapeId="0" xr:uid="{3AF8CF01-3497-A84E-BAF3-A443AF5D778E}">
      <text>
        <r>
          <rPr>
            <sz val="10"/>
            <rFont val="SimSun"/>
            <charset val="134"/>
          </rPr>
          <t>01.15.26
54198 2PCS BEL</t>
        </r>
      </text>
    </comment>
    <comment ref="G685" authorId="0" shapeId="0" xr:uid="{5753E613-0C4F-1C47-B7CC-A85D8818E80E}">
      <text>
        <r>
          <rPr>
            <sz val="10"/>
            <rFont val="SimSun"/>
            <charset val="134"/>
          </rPr>
          <t>IN 4PCS 6.9.25 DR#78070 LIPA A
IN 1PCS 11/02/24 DR#76697 SPC KUYA HACKET
4pcs 5-17-24 SI#63891 SOUTHWAY4PCS 10-21-23 SI#624530 SOUTHWAY
4PCS 6-9-23 SPC</t>
        </r>
      </text>
    </comment>
    <comment ref="H685" authorId="0" shapeId="0" xr:uid="{09B840BA-0A79-FC4A-9E7F-09E76577993F}">
      <text>
        <r>
          <rPr>
            <sz val="10"/>
            <rFont val="SimSun"/>
            <charset val="134"/>
          </rPr>
          <t>6-9-25
4 PCS 47293 ALY
4-9-25
2 PCS OUT JO45142 ALY
OUT 1PC 10/09/24 DR#75438 SPC
OUT 04/29/24 33884 4PCS SALES LEN
4pcs 10-1-23 JO#28245 JARVIS</t>
        </r>
      </text>
    </comment>
    <comment ref="G687" authorId="0" shapeId="0" xr:uid="{49C500D6-0DC5-2247-BD99-D1A73A47521C}">
      <text>
        <r>
          <rPr>
            <sz val="10"/>
            <rFont val="SimSun"/>
            <charset val="134"/>
          </rPr>
          <t>IN 8PCS 01.30.26 DR#0049899 SOUTHWAY
IN 4PCS 5.27.25 DR#78756 SPC ROI
IN 12PCS 5.16.25 SI#65821 SOUTHWAY
IN 4PCS 3.5.25 SI#65457 SOUTHWAY
IN 3PCS 3.5.25 SI#65428 SOUTHWAY
IN 2PCS 2.27.25 DR#77070 LIPA A
IN 1PCS 12-30-24 DR#76863 SPC KUYA RONNIE
1PCS 12-17-24 SI#64996 SOUTHWAY
IN 4PCS 05/25/24 SI#63968 SOUTHWAY
4PCS 5-2-24 SI#63816 SOUTHWAY
IN 2PCS 03/28/24 DR#74885 SPC KUYA HACKET
4PCS 2-17-24 SI#63298 SOUTHWAY
4PCS 2-3-24 SI#63199 SOUTHWAY
1PC 1-30-24 DR#73344 LIPA A
4PCS 12-19-23 SI#62888 SOUTHWAY
4PCS 11-28-23 SI#92780 SOUTHWAY
4PCS 6-29-23 SI#61778 SOUTHWAY
8PCS 5-5-23 SI#61419 SOUTHWAY</t>
        </r>
      </text>
    </comment>
    <comment ref="H687" authorId="0" shapeId="0" xr:uid="{35EE5A8C-A899-2A47-94F2-8D2DE5B2035D}">
      <text>
        <r>
          <rPr>
            <sz val="10"/>
            <rFont val="SimSun"/>
            <charset val="134"/>
          </rPr>
          <t>02.16.26
55214 2PCS BEL
OUT 5PCS 01.30.26 DR80230 SPC HACKET
12-27-25
2 PCS OUT 53672 JARVIS
12-26-25
1 PC OUT 53566 ALY
OUT 1PC 8.30.25 DR#78438 BIÑAN HACKET
OUT 1PCS 7.19.25 DR#78371 SPC EMMAN
OUT 2PCS 6.18.25 DR#78324 SPC HACKET
OUT 5.16.25 8PCS DR#77959 SPC ROI
4.17.25
45401 4PCS ALY
OUT 4PCS 3.6.25 DR#77137 SPC MIKE
4 PCS OUT 2-26-25 JO43300 MARLO
1-31-25
42268 2PCS DAHLIA
OUT 2PCS 12-8-24 JO#40506 ALY
OUT 2PCS 10/26/24 DR#75441 SPC KUYA HACKET
09/05/24
37390 2PCS SALES BEL
OUT 05/09/24 34152 4PC SALES BOSS JUN
OUT 2PCS 3/10/24 DR#74703 SPC PICK UP MASTER
OUT 2-11-24 JO#31837 2PCS SLAES
out 01-30-2024
31438 4pcs sales johnly
2PCS 1-12-24 DR#73381 SPC
3PCS 12-30-23 DR#73995 SPC
4PCS 10-25-23 DR#73937 SPC
4PCS 5-27-23 JO#25576 MARLO
4PCS 5-18-23 stf#2461 LIPA A</t>
        </r>
      </text>
    </comment>
    <comment ref="G688" authorId="0" shapeId="0" xr:uid="{89DB783E-9DB7-4B4A-A3B0-6766BA3F6040}">
      <text>
        <r>
          <rPr>
            <sz val="10"/>
            <rFont val="SimSun"/>
            <charset val="134"/>
          </rPr>
          <t>IN 4PCS 9.17.25 DR#78648 LIPA A
IN 4PCS 7.19.25 DR#78562 LIPA A
IN 4PCS 5.28.25 DR#78758 SPC HACKET
IN 2PCS 3.5.25 DR#77046 SPC HOWARD
----------------------------------------------
IN 4PCS 12-05-24 DR#75741 SPC KUYA MIKE
IN 10PCS 10/26/24 SI#64736 SOUTHWAY
2pcs 5-17-24 SI#63891 SOUTHWAY
4PCS 11-11-23 SI#62609 SOUTHWAY
4PC 10-12-23 SI#62404 SOUTHWAY
4PCS 8-2-23 DR#38916 SOUTHWAY
4PCS 8-2-23 DR#38917 SOUTHWAY
4PCS 5-5-23 SI#61412 SOUTHWAY</t>
        </r>
      </text>
    </comment>
    <comment ref="H688" authorId="0" shapeId="0" xr:uid="{C298BFFA-4D44-A14E-9F62-7A1FE9A15D70}">
      <text>
        <r>
          <rPr>
            <sz val="10"/>
            <rFont val="SimSun"/>
            <charset val="134"/>
          </rPr>
          <t>OUT 2PCS 02.18.26 DR80865-68 SPC HACKET
OUT 2PCS 11.02.25 DR#79792 LIPA A
9.17.25
50627 4pcs aly
OUT 4PCS 7.19.25 DR#78371 SPC HACKET
OUT 4PCS 5.19.25 DR#77970 SPC
OUT 2PCS 01-08-25 DR#75550 SPC
12-04-24
40362 4PCS BEL
OUT 6PCS 10/28/24 DR#75442 SPC BRIAN
OUT 4PCS 05/29/24 DR#75088 LIPA A
OUT 1PC 04/02/24 DR#74754 LIPA A
1PC 1-12-24 DR#73382 SPC
2pcs 1-2-23 DR#73996 SPC
2PCS 12-30-23 DR#73995 SPC
4PCS 8-15-23 JO#27498 MALO
4PCS 8-13-23 JO#27459 BEL
4PCS 8-4-23 DR#72202 SPC</t>
        </r>
      </text>
    </comment>
    <comment ref="G689" authorId="0" shapeId="0" xr:uid="{74F387A1-F0CB-7542-9A5E-671BDE6F342A}">
      <text>
        <r>
          <rPr>
            <sz val="10"/>
            <rFont val="SimSun"/>
            <charset val="134"/>
          </rPr>
          <t>IN 4PCS 12.29.25 DR#79921-22 SPC HACKET</t>
        </r>
      </text>
    </comment>
    <comment ref="G690" authorId="0" shapeId="0" xr:uid="{B4805DB4-F56D-5D4E-B0FE-1AB0E6C104F0}">
      <text>
        <r>
          <rPr>
            <sz val="10"/>
            <rFont val="SimSun"/>
            <charset val="134"/>
          </rPr>
          <t>IN 8PCS 01.30.26 DR#0049899 SOUTHWAY
IN 8PCS 6.21.25 DR#0046829 SOUTHWAY
IN 15PCS 5.16.25 SI#65821 SOUTHWAY
IN 3PCS 1-31-25 SI#65224 SOUTHWAY
3PCS 01-04-25 SI#65131 SOUTHWAY
----------------------------------------------
in 2pcs 10/22/24 dr#76107 lipa a
IN 1PC 10-22-24 DR#76671 SPC KUYA HACKET
IN 4PCS 08/22/24 DR#76553 SPC KUYA EMMAN
IN 2PCS 07/18/24 DR# SPC KUYA HACKET
4PCS 11-11-23 SI#62609 SOUTHWAY
4PC 10-12-23 SI#62404 SOUTHWAY
1PC 7-12-23 DR#73244 SPC
4PCS 6-29-23 SI#61772 SOUTHWAY</t>
        </r>
      </text>
    </comment>
    <comment ref="H690" authorId="0" shapeId="0" xr:uid="{73783E8F-C275-F842-BCB5-0E6631B0442B}">
      <text>
        <r>
          <rPr>
            <sz val="10"/>
            <rFont val="SimSun"/>
            <charset val="134"/>
          </rPr>
          <t>OUT 4PCS 02.18.26 DR80865-68 SPC HACKET
OUT 4PCS 01.30.26 DR80230 SPC HACKET
9-21-25
4 PCS 50784 JARVIS
OUT 4PCS 7.21.25 DR#78372 LIPA A BRY
OUT 3PCS 6.21.25 DR#78332 SPC
OUT 1PC 6.18.25 DR#78325 SPC ROI
OUT 4PCS 6.3.25 DR#78302 SPC EMMAN
OUT 4PCS 5.16.25 DR#77961 LIPA A MIKE
OUT 5.16.25 8PCS DR#77959 SPC ROI
OUT 1PCS 3.18.25 DR#77167 SPC MIKE
OUT 2PCS 2.14.25 DR#77000 SPC KUYA BASTE
OUT 4PCS 11/8/2024
JO39382 SALES JARVIS 
09/12/24
37559 4PCS SALES MAM JEN
08/16/24
36858 4PCS SALES JARVIS
OUT 2PCS 07/11/24 DR#75139 LIPA A
4PCS 10-20-23 JO#28955 BEL
4PCS 10-7-23 JO#28682 MARLO
1pc 7-9-23 STF#2546 LIPA A</t>
        </r>
      </text>
    </comment>
    <comment ref="G691" authorId="0" shapeId="0" xr:uid="{5F12FB52-44A8-9F4B-B6C6-CFAAF2936005}">
      <text>
        <r>
          <rPr>
            <sz val="10"/>
            <rFont val="SimSun"/>
            <charset val="134"/>
          </rPr>
          <t>IN 1PC 4.24.25 DR#77678 SPC MIEK
IN 4PCS 10-20-24 DR#76105 LIPA A
IN 7-26-24 SI#64311 4PCS SOUTHWAY
IN 2PCS 05/25/24 SI#63968 SOUTHWAY
IN 2PCS 03/06/24 SI#63447 SOUTHWAY
2PCS 2-17-24 SI#63298 SOUTHWAY
2PCS 12-13-23 SI#62856 SOUTHWAY
1PC  11-17-23 DR#74414 SPC
1PC 11-11-23 SI#62609 SOUTHWAY
2PC 10-12-23 SI#62404 SOUTHWAY
4PCS 5-5-23 SI#61412 SOUTHWAY</t>
        </r>
      </text>
    </comment>
    <comment ref="H691" authorId="0" shapeId="0" xr:uid="{307A3109-D488-074C-BA37-61DEBE27B540}">
      <text>
        <r>
          <rPr>
            <sz val="10"/>
            <rFont val="SimSun"/>
            <charset val="134"/>
          </rPr>
          <t>OUT 1PCS 02.18.26 DR80865-68 SPC HACKET
OUT 1PC 5.30.25 DR#77995 LIPA A
OUT 2PCS 4.1.25 DR#77552 LIPA A
1PCS OUT 11/20/24 JO39753 ALY
10/20/2024	38657 4P[CS SALES
07/16/24
35996 4PCS SALES MARLO
OUT 05/12/24 34252 2PCS SALES BEL
OUT 2PCS 04/20/24 DR#74782 LIPA A
4pcs 1-4-24 DR#23351-52 SPC
11/2/2023 29227 2PCS MARLO
2PCS 7-1-23 JO#26419 BE;</t>
        </r>
      </text>
    </comment>
    <comment ref="G692" authorId="0" shapeId="0" xr:uid="{9D1C5C7F-D584-804E-99D1-92354F4DD0B2}">
      <text>
        <r>
          <rPr>
            <sz val="10"/>
            <rFont val="SimSun"/>
            <charset val="134"/>
          </rPr>
          <t>IN 2PCS 04/19/24 REF.74685 STC
2PCS 12-15-23 DR#74531 SPC
4PCS 6-14-23 SPC</t>
        </r>
      </text>
    </comment>
    <comment ref="H692" authorId="0" shapeId="0" xr:uid="{AE701FB9-1508-D145-8308-F1E4C7FCEBAE}">
      <text>
        <r>
          <rPr>
            <sz val="10"/>
            <rFont val="SimSun"/>
            <charset val="134"/>
          </rPr>
          <t>OUT 04/19/24 33538 2PCS SALES JHONLY
2pcs 12-19-2023 jo#30326 rose
4PCS 11-8-23 JO#29371 LEN</t>
        </r>
      </text>
    </comment>
    <comment ref="G694" authorId="0" shapeId="0" xr:uid="{9B870699-171F-6A41-B735-2E91C6F86E78}">
      <text>
        <r>
          <rPr>
            <sz val="10"/>
            <rFont val="SimSun"/>
            <charset val="134"/>
          </rPr>
          <t>IN 6PCS 01.30.26 DR#0049899 SOUTHWAY
IN 2PCS 11.24.25 DR#0049185 SOUTHWAY
IN 4PCS 7.2.25 DR#77758 SPC BRY
IN 1PC 6.19.25 DR#78082 LIPA A
IN 4PCS 3.5.25 SI#65429
SOUTHWAY
4PCS 6-21-23 SI#61672 SOUTHWAY</t>
        </r>
      </text>
    </comment>
    <comment ref="H694" authorId="0" shapeId="0" xr:uid="{DBF810F1-9B87-4448-9A80-EF5475945CFA}">
      <text>
        <r>
          <rPr>
            <sz val="10"/>
            <rFont val="SimSun"/>
            <charset val="134"/>
          </rPr>
          <t>OUT 4PCS 01.30.26 DR80230 SPC HACKET
OUT 2PCS 01.21.26 DR80216 SPC
9-10-25
2 PCS 50397 ALY
6.19.25
47832 5PCS ALY
2PCS 12-18-23 DR#73977 SPC</t>
        </r>
      </text>
    </comment>
    <comment ref="G695" authorId="0" shapeId="0" xr:uid="{1A9EC0FA-B843-4C4C-B0D3-6D1DE2D9E095}">
      <text>
        <r>
          <rPr>
            <sz val="10"/>
            <rFont val="SimSun"/>
            <charset val="134"/>
          </rPr>
          <t>IN 4PCS 03.03.26 DR80785 SPC HACKET
2pcs 5-17-24 SI#63892 SOUTHWAY</t>
        </r>
      </text>
    </comment>
    <comment ref="H695" authorId="0" shapeId="0" xr:uid="{53C19888-AC9C-9E40-823B-76B78F35E547}">
      <text>
        <r>
          <rPr>
            <sz val="10"/>
            <rFont val="SimSun"/>
            <charset val="134"/>
          </rPr>
          <t>10/05/24
37349 4PCS SALES MAM JEN</t>
        </r>
      </text>
    </comment>
    <comment ref="G696" authorId="0" shapeId="0" xr:uid="{11D5AAB9-5FA1-F64C-8436-44C36A56558D}">
      <text>
        <r>
          <rPr>
            <sz val="10"/>
            <rFont val="SimSun"/>
            <charset val="134"/>
          </rPr>
          <t>2PCS 01-04-25 SI#65131 SOUTHWAY
IN 1PCS 09/16/24 SI#64545 SOUTHWAY
IN 2PCS 07/13/24 SI#64258 SOUTHWAY
4PCS 12-13-23 SI#62856 SOUTHWAY
4PCS 5-5-23 SI#61412 SOUTHWAY</t>
        </r>
      </text>
    </comment>
    <comment ref="H696" authorId="0" shapeId="0" xr:uid="{246002ED-058F-9A44-9ED7-534BB657D14B}">
      <text>
        <r>
          <rPr>
            <sz val="10"/>
            <rFont val="SimSun"/>
            <charset val="134"/>
          </rPr>
          <t>OUT 3PCS 5.5.25 DR#77637 LIPA A
12-28-2024 SALES
41155 1PCS ROSE
OUT 1PC 11/07/24 DR#75465 SPC
08/31/24
37253 1PC SALES OFFICE
OUT 07/05/24 35717 2PCS SALES LEN
4PCS 12-7-23 JO#30007 JARVIS</t>
        </r>
      </text>
    </comment>
    <comment ref="G697" authorId="0" shapeId="0" xr:uid="{E524E86F-D336-7B41-86B0-F497D3FD03D9}">
      <text>
        <r>
          <rPr>
            <sz val="10"/>
            <rFont val="SimSun"/>
            <charset val="134"/>
          </rPr>
          <t>IN 4PCS 11.24.25 DR#0049185 SOUTHWAY
IN 4PCS 6.26.25 DR#77775-76 SPC EMMAN
IN 4PCS 5.17.25 DR#78048 LIPA A
IN 4PCS 3.5.25 SI#65429
SOUTHWAY
----------------------------------------------
IN 4PCS 10/28/24 DR#76686 SPC
IN 2PCS 10/08/24 DR#76101 LIPA A
IN 5PCS 9-27-24 SI#64619 SOUTHWAY 
IN 2PCS 07/06/24 SI#64232 SOUTHWAY
IN 4PCS 05/25/24 SI#63968 SOUTHWAY
IN 3PCS 05/15/24 DR#75037 SPC
IN 1PC 05/15/24 REF#74600 STC
2PCS 12-13-23 SI#62856 SOUTHWAY
8PCS 9-8-23 DR#39199 SOUTHWAY
1PC 5-26-23 STF#2438 LIPA A
8PCS 5-5-23 SI#61412 SOUTHWAY</t>
        </r>
      </text>
    </comment>
    <comment ref="H697" authorId="0" shapeId="0" xr:uid="{AD197899-35F6-8D41-A1FD-7A4379BBFAFD}">
      <text>
        <r>
          <rPr>
            <sz val="10"/>
            <rFont val="SimSun"/>
            <charset val="134"/>
          </rPr>
          <t>10-28-25
4 PCS 51821 MARIBEL
5-17-25
4 PCS 46451 MARIBEL
OUT 4PCS 4.11.25 DR#77575 SPC KUYA HACKET
10/28/24
38830 4PCS SALES JARVIS
10/08/24
38271 2PCS SALES BEL
10/05/24
37349 4PCS SALES MAM JEN
OUT 05/18/24 34367 4PCS SALES  BOSS JUN
OUT 4/19/24 33634 4PCS SALES JHONLY
4PCS 12-13-23 JO#30187 LEN
2PCS 9-9-23 JO#28046 JARVIS
5PCS 5-26-23 JO#25611 OFFICE
4PCS 5-11-23 STF#2450 LIPA A</t>
        </r>
      </text>
    </comment>
    <comment ref="G698" authorId="0" shapeId="0" xr:uid="{56B9575F-0A49-7E47-A05B-A9C127EB6666}">
      <text>
        <r>
          <rPr>
            <sz val="10"/>
            <rFont val="SimSun"/>
            <charset val="134"/>
          </rPr>
          <t>IN 2PCS 6.9.25 DR#65932 SOUTHWAY 
IN 2PCS 05/07/24 DR#73475 LIPA A
4PCS 6-29-23 SI#61780 SOUTHWAY</t>
        </r>
      </text>
    </comment>
    <comment ref="H698" authorId="0" shapeId="0" xr:uid="{78D9D89F-A45F-5949-A814-7F9A81238D32}">
      <text>
        <r>
          <rPr>
            <sz val="10"/>
            <rFont val="SimSun"/>
            <charset val="134"/>
          </rPr>
          <t xml:space="preserve">OUT 2PCS 02.18.26 DR80865-68 SPC HACKET
02.10.26
55008 2PCS JARVIS
5-24-25
2 PCS 46778 ALY
OUT 05/03/24 33991 2PCS SALES BEL
OUT 04/19/24 33634 4PCS SALES JHONLY
</t>
        </r>
      </text>
    </comment>
    <comment ref="G699" authorId="0" shapeId="0" xr:uid="{0CE3A391-7927-AD45-9AA3-617C309B9B80}">
      <text>
        <r>
          <rPr>
            <sz val="10"/>
            <rFont val="SimSun"/>
            <charset val="134"/>
          </rPr>
          <t>IN 8PCS 01.30.26 DR#0049899 SOUTHWAY (1PC TO FOLLOW RECEIVED 02.07.26)
IN 2PCS 01.09.26 DR80470 BIÑAN ROI
IN 2PCS 5.26.25 DR#78753 SPCC BRIAN
IN 3PCS 09/28/24 SI#64628 SOUTHWAY
IN 2PCS 06/14/24 DR#75208 SPC
4PCS 11-28-23 SI#92780 SOUTHWAY</t>
        </r>
      </text>
    </comment>
    <comment ref="H699" authorId="0" shapeId="0" xr:uid="{303C5331-EBA5-6144-90E4-5C2F1A45159D}">
      <text>
        <r>
          <rPr>
            <sz val="10"/>
            <rFont val="SimSun"/>
            <charset val="134"/>
          </rPr>
          <t>OUT 1PC 02.07.26 DR80239 SPC
OUT 7PCS 01.30.26 DR80230 SPC HACKET
9-12-25
2 PCS 50493 JARVIS
OUT 2PCS 6.4.25 DR#78306 SPC SERVICE
OUT 3PCS 11/28/24 DR#75477 SPC KUYA ALWIN
4pcs 02-04-2024 dr#74660 spc
1PC 1-12-24 DR#73381 SPC</t>
        </r>
      </text>
    </comment>
    <comment ref="G700" authorId="0" shapeId="0" xr:uid="{74D62035-6221-454F-8C67-CD34028AE1BA}">
      <text>
        <r>
          <rPr>
            <sz val="10"/>
            <rFont val="SimSun"/>
            <charset val="134"/>
          </rPr>
          <t>IN 3PCS 3/26/24  SI# 63624 SOUTHWAY
IN 02-18-2024
2PCS SPC MASTER DELIVER
3PCS 2-3-24 SI#63199 SOUTHWAY
2PCS 12-27-23 DR#74540 SPC
2pcs 12-13-23 SI#62901 SOUTHWAY
4PCS 12-13-23 SI#62855 SOUTHWAY
4PCS 11-28-23 SI#92780 SOUTHWAY
4PC 10-12-23 SI#62404 SOUTHWAY
2PCS 9-8-23 DR#39199 SOUTHWAY
8PCS 6-9-23 SI#61575 SOUTHWAY
4PCS 6-7-23 SPC</t>
        </r>
      </text>
    </comment>
    <comment ref="H700" authorId="0" shapeId="0" xr:uid="{40244DB1-281B-F844-A90B-349E78A698FD}">
      <text>
        <r>
          <rPr>
            <sz val="10"/>
            <rFont val="SimSun"/>
            <charset val="134"/>
          </rPr>
          <t>OUT 11-17-24 DR#75466 1PC LIPA A
OUT 1PC 07/20/24 DR#75351 LIPA A
OUT 1PC 05/12/24 DR#75064 SPC KUYA MIKE
OUT 03/13/24 4PCS SALES 32630 MARLO
2PCS 2-14-24 31911 SALES
2PCS 1-14-24 JO#31050 LIPA A
4pcs 1-10-24 DR#73374 SPC
2PCS 12-18-23 JO#30285 LEN
12/2/2023 29918 2PCS SALES
4PCS 11-12-23 29431 LEN
1PC  10-4-23 DR#73992 SPC
2PCS 9-28-23 DR#72294 LIPA A
1pc 9-20-23 DR#72283 LIPA A
2PCS 8-27-23JO#27776 ARIEL
4PCS 6-24-23 STF#2520 SPC
4PCS 6-12-23 STF#2501 LIPA A</t>
        </r>
      </text>
    </comment>
    <comment ref="G701" authorId="0" shapeId="0" xr:uid="{BC567E5D-C582-8F4A-AD97-6637CD6689F8}">
      <text>
        <r>
          <rPr>
            <sz val="10"/>
            <rFont val="SimSun"/>
            <charset val="134"/>
          </rPr>
          <t>IN 2PCS 01.13.26 DR79969 SPC ROI
IN 5PCS 10.6.25 DR#0048427 SOUTHWAY
IN 4PCS 7.19.25 DR#78881 SPC EMMAN
IN 1PC 7.2.25 DR#77788 SPC SERVICE
IN 1PCS 6.21.25 DR#0046829 SOUTHWAY
IN 2PCS 3.5.25 SI#65457 SOUTHWAY
IN 2PCS 3.5.25 SI#65423 SOUTHWAY
IN 2PCS 2.20.25 DR#77030 SPC ALWIN
----------------------------------------------
8pcs 11-12-24 SI#64926 SOUTHWAY
IN 4PCS 08/15/24 SI#64396 SOUTHWAY
IN 4PCS 06/01/24 SI#63981 SOUTHWAY (for stc)
IN 2PCS 06/01/24 SI#64015 SOUTHWAY (for spc)
IN 4PCS 06/01/24 SI#63982 SOUTHWAY (for lipa b)
 IN 4PCS 04/03/24 SI#63545 SOUTHWAY
6pcs 2-5-24 DR#74647 SPC
4PCS 11-28-23 SI#92780 SOUTHWAY
4PCS 6-29-23 SI#61773 SOUTHWAY
3PCS 6-29-23 SI#61719 SOUTHWAY
4PCS 6-9-23 SPC</t>
        </r>
      </text>
    </comment>
    <comment ref="H701" authorId="0" shapeId="0" xr:uid="{C1403E37-3B1F-6446-B2FA-EE410228DB1C}">
      <text>
        <r>
          <rPr>
            <sz val="10"/>
            <rFont val="SimSun"/>
            <charset val="134"/>
          </rPr>
          <t>OUT 2PCS 11.20.25 DR#80024 SPC ADWIN
11-19-25
1 PC 52438 MARIBEL
OUT 3PCS 8.31.25 DR#78440 SPC
8-23-25
1 PC 49934 MARIBEL
7-3-25
5 PCS 48353 JARVIS
OUT 3PCS 4.16.25 DR#77601 SPC HACKET
OUT 4PCS 12/3/24 JO40296 DALIA
OUT 4PCS 11/30/24 DR#75482 SPC KUYA HACKET
OUT 4PCS 11/28/24 DR#75477 SPC KUYA ALWIN
07/26/24
36257 4pcs sales bel
OUT 2PCS 06/20/24 DR#75112 SPC KUYA ADWIN
OUT 2PCS 06/04/24 DR#75097 SPC KUYA HACKET
OUT 4PCS 06/02/24 REF# STC KUYA HACKET
OUT 05/21/24  34422 4PCS SALES BOSS JUN
OUT 4PCS 05/09/24 DR#75062 SPC MASTER
OUT 04/16/24 33489 2PCS SALE MARLO
4pcs 01-27-2024 31443 jarvis
4PCS 11-13-23 DR#74266 SPC
3pcs 11-8-23 DR#74259 SPC
4PCS 8-4-23 DR#72202 SPC</t>
        </r>
      </text>
    </comment>
    <comment ref="G702" authorId="0" shapeId="0" xr:uid="{F72EF934-9947-D347-A21E-3A0EC826B342}">
      <text>
        <r>
          <rPr>
            <sz val="10"/>
            <rFont val="SimSun"/>
            <charset val="134"/>
          </rPr>
          <t>IN 2PCS 04/28/24 DR#75015 SPC KUYA HACKET
4PCS 12-19-23 SI#62888 SOUTHWAY</t>
        </r>
      </text>
    </comment>
    <comment ref="H702" authorId="0" shapeId="0" xr:uid="{FE529121-7D75-9F4C-8FFA-8536377B726B}">
      <text>
        <r>
          <rPr>
            <sz val="10"/>
            <rFont val="SimSun"/>
            <charset val="134"/>
          </rPr>
          <t>OUT 04/28/24 33853 2PCS SALES JARVIS</t>
        </r>
      </text>
    </comment>
    <comment ref="G704" authorId="0" shapeId="0" xr:uid="{B30441EA-E823-1E4A-BA97-A296182835CA}">
      <text>
        <r>
          <rPr>
            <sz val="10"/>
            <rFont val="SimSun"/>
            <charset val="134"/>
          </rPr>
          <t>IN 4PCS 02.10.26 DR80737 SPC ALWIN
IN 2PCS 02.04.26 DR80188 LIPA A
IN 1PCS 01.12.26 DR79961 SPC HACKET
IN 4PCS 8.19.25 DR#00467671 SOUTHWAY
IN 2PCS 5.27.25 DR#78756 SPC ROI
IN 2PC 5.9.25 DR#77717 SPC ROI
IN 2PCS 4.24.25 DR#78004 LIPA A
IN 2PCS 3.5.25 SI#65429
SOUTHWAY
----------------------------------------------
IN 4PCS 11/04/24 DR#19261 SPC
IN 15PCS 09/28/24 SI#64628 SOUTHWAY
2pcs 12-13-23 SI#62901 SOUTHWAY
4PCS 11-28-23 SI#62711 SOUTHWAY</t>
        </r>
      </text>
    </comment>
    <comment ref="H704" authorId="0" shapeId="0" xr:uid="{98B24BC2-C94E-3640-BCAC-0B9DB8B53F28}">
      <text>
        <r>
          <rPr>
            <sz val="10"/>
            <rFont val="SimSun"/>
            <charset val="134"/>
          </rPr>
          <t>02.04.26
54840 4PCS JARVIS
1-20-26
2PCS OUT 54381JARVIS
1-9-26
2PCS 53653 HANA
OUT 2PCS 9.23.25 DR#79272 SPC RONNIE
OUT 1PCS 8.29.25 DR#78439 SPC HACKET
4-24-25
4 PCS 45573 MARLO 
2 PCS OUT 3-18-25 JO44137 ALY
2 PCS OUT 2-17-25 JO43004 MARIBEL
10/05/24
37349 4PCS SALES MAM JEN
OUT 7PCS 10/01/24 DR#75426 SPC KUYA HACKET
OUT 4PCS 09/30/24 DR#75422 LIPA A KUYA ROI
OUT 1PC 03/30/24 DR#74745-46 SPC KUYA HACKET 
OUT 03/07/24 32524 4PCS SALES OFFICE
OUT 01-08-2024
30929 1PCS SALES LEN</t>
        </r>
      </text>
    </comment>
    <comment ref="G705" authorId="0" shapeId="0" xr:uid="{FD479F23-BC84-5849-BE48-CE4180F893BD}">
      <text>
        <r>
          <rPr>
            <sz val="10"/>
            <rFont val="SimSun"/>
            <charset val="134"/>
          </rPr>
          <t>IN 2PCS 6.9.25 DR#65932 SOUTHWAY 
IN 1PCS 2.22.25 SI#65337 SOUTHWAY
4PCS 01-04-25 SI#65130 SOUTHWAY
1PCS 01-04-25 SI#65071 SOUTHWAY
IN 1PCS 09/28/24 SI#64679 SOUTHWAY
IN 2PCS 09/03/24 DR#76562 SPC MASTER
IN 4PCS 08/17/24 DR#77251 SPC KUYA HACKET
IN 2PCS 07/23/24 DR#76064 LIPA A
IN 2PCS 06/28/24 SI#64212 SOUTHWAY
1PC 5-2-24 SI#63816 SOUTHWAY
IN 4PCS 3/26/24  SI# 63624 SOUTHWAY
4PCS 8-10-23 DR#74071 SPC
2PCS 6-21-23 SI#61672 SOUTHWAY
4PCS 5-5-23 SI#61419 SOUTHWAY</t>
        </r>
      </text>
    </comment>
    <comment ref="H705" authorId="0" shapeId="0" xr:uid="{671634A3-8201-384E-9396-BF7DB1A9389E}">
      <text>
        <r>
          <rPr>
            <sz val="10"/>
            <rFont val="SimSun"/>
            <charset val="134"/>
          </rPr>
          <t>02.21.26
55386 1PC BEL
5-24-25
2 PCS 46820 JARVIS
2PC OUT 2/5/25 JO42614 ALY
OUT 4PCS 1-14-25 DR#76916 SPC RANGER
OUT 3PCS 01-06-25 DR#75548 SPC
---------------------------------------------
OUT 2PCS 08/31/24 DR#75392 LIPA A
OUT 2PCS 07/16/24 DR#75147 SPC KUYA HACKET
OUT 2PCS 07/15/24 DR#75144 SPC KUYA EMMAN
OUT 06/23/24 85366 2PCS SALES MARLO
OUT 1PCS 05/05/24 DR#75057 SPC KUYA HACKET
OUT 04/16/24 33489 1PCS SALE MARLO
4PCS 12-13-23 JO#30232 JARVIS
4PCS 7-8-23 JO#26607 ROSE
2PCS 5-19-23 jo#25421 BEL</t>
        </r>
      </text>
    </comment>
    <comment ref="G706" authorId="0" shapeId="0" xr:uid="{DE3EEBE8-424E-E440-8D2E-5AA9D99905B9}">
      <text>
        <r>
          <rPr>
            <sz val="10"/>
            <rFont val="SimSun"/>
            <charset val="134"/>
          </rPr>
          <t>IN 1PC 12.29.25 DR80152 LIPA A
IN 1PCS 8.7.25 DR#78842 SPC HACKET
IN 3PCS 8.5.25 DR#78835 SPC HACKET
IN 2PCS 7.18.25 DR#78560 LIPA A
IN 4PCS 6.9.25 DR#65932 SOUTHWAY 
IN 4PCS 6.7.25 DR#75788 STC HACKET
IN 3PCS 5.5.25 DR#77704 SPC EMMAN
IN 4PCS 4.29.25 DR#78014 LIPA A
IN 1PC 4.22.25 DR#77672 SPC HACKET
IN 4PCS 2.22.25 SI#65337 SOUTHWAY
----------------------------------------------
IN 4PCS 10-22-24 DR#76671 SPC KUYA HACKET
IN 4PCS 09/28/24 SI#64679 SOUTHWAY
IN 1PC 09/12/24 DR#76532 SPC KUYA HACKET
IN 4PCS 8-2-24 SI#64323 SOUTHWAY</t>
        </r>
      </text>
    </comment>
    <comment ref="H706" authorId="0" shapeId="0" xr:uid="{89C1E954-81C9-4343-9568-5CA53A76D3DC}">
      <text>
        <r>
          <rPr>
            <sz val="10"/>
            <rFont val="SimSun"/>
            <charset val="134"/>
          </rPr>
          <t xml:space="preserve">02.14.26
55137 4pcs bel
12-29-25
1 PC OUT 53725MARIBEL
OUT 4PCS 12.9.25 DR#80057 STC SERVICE
7-18-25
8 pcs 48788, 48856 aly
6-7-25
2 PCS 47250 ALY
OUT 4PCS 5.27.25 DR#77988 LIPA A
4-29-25
4 PCS 45854 DALIA
OUT 3PCS 4.24.25 DR#77611 BIÑAN
4-21-25
1 PC 45484 MARLO
OUT 1PCS 1-22-25 DR#76932 SPC HACKET
OUT 4PCS 01-06-25 DR#75548 SPC
1PC 1/4/25 JO41384 MARIBEL 
----------------------------------------------
11-04-2024
39311 2pcs sales maribel
OUT 4sPCS 10/01/24 DR#75426 SPC KUYA HACKET
09/08/24
37464 1PC SALES MARLO
</t>
        </r>
      </text>
    </comment>
    <comment ref="G707" authorId="0" shapeId="0" xr:uid="{F7A22292-9529-1441-9FDC-29626EC1BB81}">
      <text>
        <r>
          <rPr>
            <sz val="10"/>
            <rFont val="SimSun"/>
            <charset val="134"/>
          </rPr>
          <t>IN 4PCS 03.03.26 DR80785 SPC HACKET
IN 13PCS 09/28/24 SI#64628 SOUTHWAY
IN 7-26-24 DR#76065 1PC LIPA A
IN 4PCS 06/15/24 SI#64104 SOUTHWAY
IN 4PCS 06/08/24 DR#73488 LIPA A BRIAN
4PCS 5-2-24 SI#63816 SOUTHWAY
IN 4PCS 3/26/24  SI# 63624 SOUTHWAY
IN 4PCS 03/25/24 DR#74880 SPC
4PCS 9-8-23 DR#39199 SOUTHWAY
4PCS 5-5-23 SI#61412 SOUTHWAY</t>
        </r>
      </text>
    </comment>
    <comment ref="H707" authorId="0" shapeId="0" xr:uid="{942F1F31-FD4C-3C48-B7D0-B898DAE65741}">
      <text>
        <r>
          <rPr>
            <sz val="10"/>
            <rFont val="SimSun"/>
            <charset val="134"/>
          </rPr>
          <t>10/18/2024	38641 4PCS SLAES
OUT 6PCS 09/30/24 DR#75423 SPC KUYA EMMAN
OUT 3PCS 09/30/24 DR#75422 LIPA A KUYA ROI
07/26/24
36274 1pc sales jarvis
7/23/24
36211 2PCS SALES BEL
OUT 4PCS 07/16/24 DR#75146 SPC KUYA ADWIN
OUT 4PCS 06/17/24 DR#75110 SPC MASTER
OUT 06/07/24 34945 4PCS SALES BEL
OUT 04/25/24 33781 4PCS SALES
MARLO
OUT 4PCS 04/20/24 DR#74783 SPC KUYA EMAN
4PCS 10-3-23 JO#28558 BEL
4PCS 9-28-23 DR#72293 LIPA A</t>
        </r>
      </text>
    </comment>
    <comment ref="G708" authorId="0" shapeId="0" xr:uid="{4EB6A154-1DDE-8E4C-90DD-25E83FE4E953}">
      <text>
        <r>
          <rPr>
            <sz val="10"/>
            <rFont val="SimSun"/>
            <charset val="134"/>
          </rPr>
          <t>IN 4PCS 01.29.26 DR80713 SPC SERVICE
IN 2PCS 11.24.25 DR#0049185 SOUTHWAY
IN 4PCS 8.1.25 DR#78819 SPC EMMAN
4PCS 6-29-23 SI#61773 SOUTHWAY</t>
        </r>
      </text>
    </comment>
    <comment ref="H708" authorId="0" shapeId="0" xr:uid="{9F01A4AF-D723-2B47-B57D-F47EDD3579B6}">
      <text>
        <r>
          <rPr>
            <sz val="10"/>
            <rFont val="SimSun"/>
            <charset val="134"/>
          </rPr>
          <t>OUT 2PCS 02.18.26 DR80865-68 SPC HACKET
02.02.26
54764 4PCS ALY
OUT 2PCS 12.13.25 DR#80065 SPC DUDUI
OUT 1PC 8.30.25 DR#78438 BIÑAN HACKET
OUT 1PCS 8.29.25 DR#78437 SPC SERVICE
4PCS 10-11-23 JO#28767 MARLO</t>
        </r>
      </text>
    </comment>
    <comment ref="G709" authorId="0" shapeId="0" xr:uid="{FF55BE74-0514-BF42-8ED4-DA007A95B718}">
      <text>
        <r>
          <rPr>
            <sz val="10"/>
            <rFont val="SimSun"/>
            <charset val="134"/>
          </rPr>
          <t>IN 2PCS 03.03.26 DR80785 SPC HACKET
IN 1PCS 02.26.26 DR80775 SPC RONNIE
IN 11PCS 01.30.26 DR#0049899 SOUTHWAY
IN 4PCS 4.21.25 DR#77669 SPC ADWIN
IN 2PCS 09/28/24 SI#64628 SOUTHWAY
IN 4PCS 07/06/24 SI#64232 SOUTHWAY
4pcs 5-17-24 SI#63892 SOUTHWAY
4pcs 1-22-24 DR#74620 SPC
2PCS 10-21-23 SI#624530 SOUTHWAY
4PCS 6-29-23 SI#61773 SOUTHWAY</t>
        </r>
      </text>
    </comment>
    <comment ref="H709" authorId="0" shapeId="0" xr:uid="{4B001361-6840-A440-B1C0-57E3092745A5}">
      <text>
        <r>
          <rPr>
            <sz val="10"/>
            <rFont val="SimSun"/>
            <charset val="134"/>
          </rPr>
          <t>02.20.26
55331 4PCS ALY 
OUT 6PCS 01.30.26 DR80230 SPC HACKET
10-21-25
3 PCS 51593 ALY
10-6-25
1 PC 51169 JARVIS
OUT 2PCS 10/03/24 DR#75430 LIPA A
OUT 4PCS 07/16/24 DR#75146 SPC KUYA ADWIN
OUT 06/11/24 35019 4PCS SALES BEL
4PCS 2-3-24 DR#74661 SPC
4PCS 11-3-23 JO#29136 ROSE
1PC 9-27-23 JO#28438 JARVIS
1pc 8-15-23DR#72218 LIPA A</t>
        </r>
      </text>
    </comment>
    <comment ref="G711" authorId="0" shapeId="0" xr:uid="{60926B36-6A3F-BD48-96CB-CD663B312DBD}">
      <text>
        <r>
          <rPr>
            <sz val="10"/>
            <rFont val="SimSun"/>
            <charset val="134"/>
          </rPr>
          <t>IN 4PCS 11.24.25 DR#0049185 SOUTHWAY
IN 2PCS 11.3.25 DR#79855 SPC BRY
IN 4PCS 8.12.25 DR#79011 SPC SERVICE
IN 4PCS 7.19.25 DR#0047233 SOUTHWAY
IN 2PCS 6.21.25 DR#0046829 SOUTHWAY
IN 2PCS 5.27.25 DR#78756 SPC ROI
IN 2PCS 3.5.25 SI#65457 SOUTHWAY
IN 4PCS 2.18.25 DR#77025 SPC
IN 4PCS 2.14.25 DR#77026 SPC
1-29-30 2PCS DR#76190 LIPA A
2PCS 01-04-25 SI#65131 SOUTHWAY
2PCS 01-04-25 SI#65070 SOUTHWAY
----------------------------------------------
IN 3PCS 09/28/24 SI#64628 SOUTHWAY
IN 4PCS 09/25/24 DR#76005 SPC KUYA HACKET
IN 3PCS 08/11/24 DR#76519 SPC MASTER
IN 4PCS 03/15/24 SI#63563 SOUTHWAY
2PCS 9-8-23 DR#39199 SOUTHWAY
4PCS 6-21-23 SI#61672 SOUTHWAY</t>
        </r>
      </text>
    </comment>
    <comment ref="H711" authorId="0" shapeId="0" xr:uid="{AA3F79FC-4CF1-A144-87E6-C6D83D283F30}">
      <text>
        <r>
          <rPr>
            <sz val="10"/>
            <rFont val="SimSun"/>
            <charset val="134"/>
          </rPr>
          <t>11-3-25
2 PCS 51975 MARLO
8-30-25
4 PCS 50101 ALY
8-11-25
4 PCS 49577 MARIBEL
OUT 4PCS 7.19.25 DR#78371 SPC EMMAN
OUT 2PCS 6.10.25 DR#78316 SPC MARK
OUT 2PCS 5.16.25 DR#77960 SPC ADWIN
4PCS OUT 2-20-25 JO43217 MARIBEL
2 PCS OUT 2-20-25 JO43216 MARIBEL
2 PC OUT 1/29/25 JO42292 MARIBEL
OUT 4PCS 1.29.25 DR#76955 SPC KUYA DANCRIS
OUT 1PCS 1-27-25 DR#76951 SPC KUYA MIKE
1pc out 1/6/25 jo41481 maribel
OUT 2PC 12/16/24 JO 40736 DALIA
OUT 3PCS 10/01/24 DR#75426 SPC KUYA HACKET
09/16/24
37679 4PCS SALES BEL
07/27/24
36264 1pc sales marlo
4pcs 12-23-23 dr#73985 SPC
2PCS 9-8-23 DR#72262 LIAP A</t>
        </r>
      </text>
    </comment>
    <comment ref="G712" authorId="0" shapeId="0" xr:uid="{03E1E003-189B-7643-B76D-E6A8A8B14CD0}">
      <text>
        <r>
          <rPr>
            <sz val="10"/>
            <rFont val="SimSun"/>
            <charset val="134"/>
          </rPr>
          <t>IN 3PCS 01.30.26 DR#0049899 SOUTHWAY
IN 4PCS 6.21.25 DR#0046829 SOUTHWAY
IN 4PCS 3.18.25 DR#77434 SPC HACKET
IN 4PCS 1-31-25 SI#65224 SOUTHWAY
IN 2PCS 1-31-25 SI#65226 SOUTHWAY 
---------------------------------------------
IN 2PCS 12-03-24 DR#75733 SPC KUYA mike
IN 2PCS 10-22-24 DR#76671 SPC KUYA HACKET
IN 2PCS 10/13/24 DR#76646-48 SPC KUYA HACKET
IN 4PCS 09/16/24 SI#64545 SOUTHWAY
IN 3PCS 2/28/24  SI#63390 SOUTHWAY
3pcs 12-13-23 SI#62901 SOUTHWAY
2PCS 9-8-23 DR#39199 SOUTHWAY
8PCS 6-29-23 SI#61773 SOUTHWAY
4PCS 5-5-23 SI#61419 SOUTHWAY</t>
        </r>
      </text>
    </comment>
    <comment ref="H712" authorId="0" shapeId="0" xr:uid="{B0EDB6C3-BD51-0247-9F3E-091BB177D014}">
      <text>
        <r>
          <rPr>
            <sz val="10"/>
            <rFont val="SimSun"/>
            <charset val="134"/>
          </rPr>
          <t>OUT 4PCS 02.18.26 DR80865-68 SPC HACKET
OUT 1PCS 01.30.26 DR80230 SPC HACKET
OUT 2PCS 10.2.25 DR#79284 SPC HACKET
4.26.25
45626 4PCS ALY
4PC OUT 2-8-25 JO42712 JARVIS
OUT 2PCS 2.3.25 DR#76961 LIPA A
---------------------------------------------
4PC 12/16/24 JO40669 MARLO
11-30-24
40262 2PCS SALES MARLO
OUT 2PCS 10/12/24 DR#75437 SPC
OUT 2PCS 10/04/24 dr#75432 spc service
OUT 4PCS 08/20/24 DR#75378 SPC KUYA EMMAN
OUT 03/19/24 32831 2PCS SALES BEL
4PCS 1-24-24 JO#31317 MARLO
2PCS 12-30-23 DR#73995 SPC
4PCS 9-28-23 DR#72293 LIPA A
2PCS 9-1-23 DR#72249 LIPA A
4PCS 5-11-23 STF#2450 LIPA A</t>
        </r>
      </text>
    </comment>
    <comment ref="G713" authorId="0" shapeId="0" xr:uid="{53D9CF23-E1AA-1546-86E6-7D2DD0A3DCF4}">
      <text>
        <r>
          <rPr>
            <sz val="10"/>
            <rFont val="SimSun"/>
            <charset val="134"/>
          </rPr>
          <t>IN 4PCS 01.30.26 DR#0049899 SOUTHWAY</t>
        </r>
      </text>
    </comment>
    <comment ref="H713" authorId="0" shapeId="0" xr:uid="{020F2A5F-0779-CC4C-AFF1-2362743DDD92}">
      <text>
        <r>
          <rPr>
            <sz val="10"/>
            <rFont val="SimSun"/>
            <charset val="134"/>
          </rPr>
          <t>80229</t>
        </r>
      </text>
    </comment>
    <comment ref="G714" authorId="0" shapeId="0" xr:uid="{5A09D8C5-5212-BE40-B0C4-7FDA975E5BFE}">
      <text>
        <r>
          <rPr>
            <sz val="10"/>
            <rFont val="SimSun"/>
            <charset val="134"/>
          </rPr>
          <t>IN 4PCS 03.03.26 DR80785 SPC HACKET
IN 1PCS 1-31-25 SI#65225 SOUTHWAY
4PCS 01-04-25 SI#65071 SOUTHWAY
4PCS 01-04-25 SI#65131 SOUTHWAY
IN 4PCS 09/28/24 SI#64680 SOUTHWAY
IN 28PCS 09/28/24 SI#64628 SOUTHWAY
IN 5PCS 9-27-24 SI#64619 SOUTHWAY 
IN 4PCS 05/31/24 DR#75171 SPC KUYA HAKCET
IN 4PCS 05/29/24 DR# SPC KUYA HACKET
32PCS 5/11/2024 SI#63873 SOUTHWAY
4PCS 2-17-24 SI#63298 SOUTHWAY
8PCS 12-26-23 DR#74539 SPC
12pcs 12-13-23 SI#62901 SOUTHWAY
4PCS 11-28-23 SI#62711 SOUTHWAY
2PCS 11-28-23 SI#92780 SOUTHWAY
4PCS 11-11-23 SI#62609 SOUTHWAY
2PC 10-12-23 SI#62404 SOUTHWAY
4PCS 9-8-23 DR#39199 SOUTHWAY
4PCS 6-21-23 SPC
6PCS 6-21-23 SI#61672 SOUTHWAY
8PCS 5-8-23 SI#61376 SOUTHWAY</t>
        </r>
      </text>
    </comment>
    <comment ref="H714" authorId="0" shapeId="0" xr:uid="{06B680ED-9493-5242-882C-CE6498C4CED8}">
      <text>
        <r>
          <rPr>
            <sz val="10"/>
            <rFont val="SimSun"/>
            <charset val="134"/>
          </rPr>
          <t>4 PCS OUT 2-12-25 JO42819 MARLO
OUT 1PC 2-1-25 DR#76959 SPC
OUT 4PCS 01-7-24 DR#75549 SPC KUYA HACKET
OUT 4PCS 12-19-24 DR#75521 SPC
11-04-2024
39175 4pcs sales dahlia
10/05/24
37349 4PCS SALES MAM JEN
10/01/24
38053 1PC SALES MARLO
OUT 16PCS 09/30/24 DR#75423 SPC KUYA EMMAN
OUT 8PCS 09/30/24 DR#75422 LIPA A KUYA ROI
4PCS 8-1-24 DR#75361 SPC KUYA ADWIN
OUT 4PCS 07/02/24 DR#75127 LIPA A
OUT 05/22/24 34326 4PCS SALES OFFICE
OUT 4PC 05/21/24 DR#75076 SPC KUYA HACKET
OUT 8PCS 05/20/24 DR#75074 SPC KUYA ALDWIN
OUT 16PCS 05/13/24 DR# SPC
OUT 3PCS 03/21/24 DR#74732 SPC
OUT 4PCS 03/16/24 DR#74721 SPC
OUT 02-18-2024
4PCS SPC MASTER PICK UP
4PCS 1-15-24 JO#31072 ROSE
OUT 12-23-2023
30377 4PCS SALES MARLO
4PCS 12-18-23 JO#30357 BEL
12PCS 12-14-23 DR#73971 SPC
2PCS 11-22-23 JO#29658 MARLO
4PCS 10-21-23 DR#73934 SPC
4PCS 9-27-23 JO#28350 MARLO
2pcs 9-16 23 dr#72274 SPC
4PCS 8-11-23 JO#27436 BEL
4PCS 7-15-23 DR#73868 LIPA A
4PCS 5-19-23 JO#25417 BEL
4PCS 5-11-23 STF#2450 LIPA A</t>
        </r>
      </text>
    </comment>
    <comment ref="G715" authorId="0" shapeId="0" xr:uid="{96D187AA-1633-7548-883F-CB9DCF166375}">
      <text>
        <r>
          <rPr>
            <sz val="10"/>
            <rFont val="SimSun"/>
            <charset val="134"/>
          </rPr>
          <t>IN 6PCS 1-31-25 SI#65225 SOUTHWAY
----------------------------------------------
IN 4PCS 8-30-24 SI#64490 SOUTHWAY
IN 1PCS 04/22/24 DR#SP0050 SPC
4PCS 11-28-23 SI#62711 SOUTHWAY
4PCS 9-8-23 DR#39199 SOUTHWAY
2PCS 8-2-23 DR#38916 SOUTHWAY
8PCS 5-5-23 SI#61419 SOUTHWAY</t>
        </r>
      </text>
    </comment>
    <comment ref="H715" authorId="0" shapeId="0" xr:uid="{4250625F-C70E-CE41-A25B-059E363C9FE2}">
      <text>
        <r>
          <rPr>
            <sz val="10"/>
            <rFont val="SimSun"/>
            <charset val="134"/>
          </rPr>
          <t>OUT 6PCS 2-1-25 DR#76959 SPC
OUT 1PCS 1-27-25 DR#76951 SPC KUYA MIKE
10/05/24
37349 4PCS SALES MAM JEN
4PCS 8-1-24 DR#75361 SPC KUYA ADWIN
OUT 03/24/24 32965 1PCS SALES BEL
OUT 2-8-24 DR#74664-65 4PCS  SPC
3PCS 10-4-23 DR#73993 SPC
1PC 8-4-23 JO#27228 JARVIS
4PCS 5-18-23 stf#2461 LIPA A</t>
        </r>
      </text>
    </comment>
    <comment ref="G716" authorId="0" shapeId="0" xr:uid="{1E5F3BB0-2766-D24A-AB2B-877F97FDA1F8}">
      <text>
        <r>
          <rPr>
            <sz val="10"/>
            <rFont val="SimSun"/>
            <charset val="134"/>
          </rPr>
          <t>IN 4PCS 02.18.26 DR80252 LIPA A
IN 2PCS 1-21-25 DR#76896 SPC HACKET
----------------------------------------------
IN 2PCS 11/21/24 DR#75716 SPC
IN 6PCS 10/26/24 SI#64736 SOUTHWAY
IN 4PCS 8-30-24 SI#64490 SOUTHWAY
IN 4PCS 06/01/24 SI#64015 SOUTHWAY (for spc)
4pcs 12-13-23 SI#62901 SOUTHWAY
4PCS  12-5-23 SI#62823 SOUTHWAY
2PCS 9-8-23 DR#39199 SOUTHWAY
4PCS 8-30-23 DR#74175 SPC
4PCS 5-5-23 SI#61412 SOUTHWAY</t>
        </r>
      </text>
    </comment>
    <comment ref="H716" authorId="0" shapeId="0" xr:uid="{695C6609-37FE-284D-86D9-1AFDCC47166C}">
      <text>
        <r>
          <rPr>
            <sz val="10"/>
            <rFont val="SimSun"/>
            <charset val="134"/>
          </rPr>
          <t>03.02.26
55604 2PCS JARVIS
4-23-25
4 PCS 45516 ALY
OUT 1-18-25 2PCS JO#41886 DAHLIA SALES
OUT 2PCS 11/11/2024
JO39630 MARIBEL
OUT 4PCS 10/28/24 DR#75442 SPC BRIAN
OUT 06/27/27 35482 4PCS SALES  JARVIS
OUT 4PCS 06/04/24 DR#75097 SPC KUYA HACKET
OUT 4PCS 2/26/24 DR# 74689-90 SPC PICK UP MASTER
2PCS 1-10-24 30964 SALES
4PCS 12-1-23 JO#29921 JARVIS
2PCS 8-30-23 JO#27841 MARLO
4PCS 6-28-23 JO#26309 ROSE</t>
        </r>
      </text>
    </comment>
    <comment ref="G717" authorId="0" shapeId="0" xr:uid="{887FD64C-A956-3B40-B156-848AB01B3B75}">
      <text>
        <r>
          <rPr>
            <sz val="10"/>
            <rFont val="SimSun"/>
            <charset val="134"/>
          </rPr>
          <t>IN 8PCS 10.28.25 DR#79695 SPC BRY
IN 10PCS 4.4.25 SI#65652 SOUTHWAY
8pcs 11-12-24 SI#64926 SOUTHWAY
4PCS 2-14-24 DR# SPC
4PCS SOUTHWAY</t>
        </r>
      </text>
    </comment>
    <comment ref="H717" authorId="0" shapeId="0" xr:uid="{DEEDFC36-5EE8-5344-B3AF-865734FDBBF7}">
      <text>
        <r>
          <rPr>
            <sz val="10"/>
            <rFont val="SimSun"/>
            <charset val="134"/>
          </rPr>
          <t>OUT 4PCS 03.03.26 DR80887 SPC SERVICE
OUT 4PCS 02.05.26 DR80237 LIPA A
9-27-25
4 PCS 50916 ALY
OUT 3PCS 6.3.25 DR#78302 SPC EMMAN
OUT 1PC 5.27.25 DR#77985 SPC ROI
OUT 1PCS 4.16.25 DR#77601 SPC HACKET
OUT 4PCS 4.8.25 DR#77567 SPC ADWIN
OUT 1-18-25 2PCS JO#41887 DAHLIA SALES
OUT 4PCS 11/30/24 DR#75481 LIPA A KUYA JOEL
4PCS 2-14-24 31917 SALES
4pcs 1-17-24 DR#73387 SPC</t>
        </r>
      </text>
    </comment>
    <comment ref="G718" authorId="0" shapeId="0" xr:uid="{9C06B7E0-2F36-4649-A379-ABCDBE88BC0C}">
      <text>
        <r>
          <rPr>
            <sz val="10"/>
            <rFont val="SimSun"/>
            <charset val="134"/>
          </rPr>
          <t>4pcs 5-17-24 SI#63892 SOUTHWAY</t>
        </r>
      </text>
    </comment>
    <comment ref="H718" authorId="0" shapeId="0" xr:uid="{F104A295-7852-7048-8ED8-52F92B38B4EA}">
      <text>
        <r>
          <rPr>
            <sz val="10"/>
            <rFont val="SimSun"/>
            <charset val="134"/>
          </rPr>
          <t xml:space="preserve">OUT 06/15/24 35117 4PCS SALES MARLO </t>
        </r>
      </text>
    </comment>
    <comment ref="G720" authorId="0" shapeId="0" xr:uid="{827C1F9D-6595-6A41-9A3C-D229011BDD76}">
      <text>
        <r>
          <rPr>
            <sz val="10"/>
            <rFont val="SimSun"/>
            <charset val="134"/>
          </rPr>
          <t>5-24-25
4 PCS 46774 ALY 
IN 2PCS 06/01/24 SI#63981 SOUTHWAY</t>
        </r>
      </text>
    </comment>
    <comment ref="H720" authorId="0" shapeId="0" xr:uid="{D732DE76-EAF1-E14E-8ECB-10ACCBD742DD}">
      <text>
        <r>
          <rPr>
            <sz val="10"/>
            <rFont val="SimSun"/>
            <charset val="134"/>
          </rPr>
          <t>OUT 2PCS 06/02/24 REF# STC KUYA HACKET</t>
        </r>
      </text>
    </comment>
    <comment ref="G721" authorId="0" shapeId="0" xr:uid="{58D1283F-1971-2A44-9EFA-59B03EB0BDFB}">
      <text>
        <r>
          <rPr>
            <sz val="10"/>
            <rFont val="SimSun"/>
            <charset val="134"/>
          </rPr>
          <t>IN 4PCS 9.30.25 DR#79624 SPC HACKET
IN 1PC 8.31.25 DR#79067 SPC 
IN 4PCS 5.30.25 DR#78060 LIPA A
IN 4PCS 5.10.25 DR#77721 SPC HACKET
3PCS 01-04-25 SI#65130 SOUTHWAY
2PCS 01-04-25 SI#65071 SOUTHWAY
IN 1PCS 11/25/24 DR#75722 SPC KUYA EMMAN
IN 3PCS 09/28/24 SI#64628 SOUTHWAY
IN 6PCS 05/25/24 SI#63968 SOUTHWAY
IN 2PCS 5-24-24 DR#75158 SPC
IN 1PCS 05/06/24 DR# SPC MASTER
4PCS 5-2-24 SI#63816 SOUTHWAY
2PCS 2-17-24 SI#63298 SOUTHWAY
4PCS 9-8-23 DR#39199 SOUTHWAY
4PCS 5-5-23 SI#61412 SOUTHWAY</t>
        </r>
      </text>
    </comment>
    <comment ref="H721" authorId="0" shapeId="0" xr:uid="{230CD293-48A0-5F48-B02F-5C99CFCD6367}">
      <text>
        <r>
          <rPr>
            <sz val="10"/>
            <rFont val="SimSun"/>
            <charset val="134"/>
          </rPr>
          <t>OUT 4PCS 9.15.25 DR#79263 SPC 
OUT 1PCS 8.31.25 DR#78441 LIPA A
4.26.25
45598 4PCS MADAM
OUT 4PCS 1-14-25 DR#76916 SPC RANGER
----------------------------------------------
OUT 3PCS 10/01/24 DR#75426 SPC KUYA HACKET
08/08/24
36635 4PCS SALES JARVIS
OUT 2PCS 05/30/24 DR#75089 SPC KUYA HACKET
OUT 05/22/24 34496 2PCS SALES MARLO
OUT 05/04/24 34000 1PCS SALES BEL
OUT 1PC 03/30/24 DR#74745-46 SPC KUYA HACKET 
OUT 03/20/24 32810 2PCS SALES MARLO
OUT 03/16/24 32755 1PCS SALES BEL
4PCS 1-12-24 DR#73382 SPC
1PC 11-7-23 STA CRUZ
1PC 9-24-23 JO#28346 MARLO</t>
        </r>
      </text>
    </comment>
    <comment ref="G722" authorId="0" shapeId="0" xr:uid="{CF5598B6-AFE9-5C47-A70C-FDA2270004E0}">
      <text>
        <r>
          <rPr>
            <sz val="10"/>
            <rFont val="SimSun"/>
            <charset val="134"/>
          </rPr>
          <t>IN 1PCS 06/15/24 SI#64104 SOUTHWAY
1PC 1-12-24 DR# SPC
1PC 12-13-23 SI#62855 SOUTHWAY
4PCS 11-28-23 SI#62711 SOUTHWAY</t>
        </r>
      </text>
    </comment>
    <comment ref="H722" authorId="0" shapeId="0" xr:uid="{62CE1AF9-04D0-2546-817B-CDF4A4CD6FDE}">
      <text>
        <r>
          <rPr>
            <sz val="10"/>
            <rFont val="SimSun"/>
            <charset val="134"/>
          </rPr>
          <t>09/09/24
37344 2PCS SALES OFFICE
OUT 1PC 08/21/24 DR#75379 LIPA A
08/11/24
36706 1PC SALES MARLO
OUT 05/28/24 34618 1PCS SALES JARVIS
2PCS 12-30-23 DR#73994 SPC</t>
        </r>
      </text>
    </comment>
    <comment ref="G723" authorId="0" shapeId="0" xr:uid="{A8042B6C-50EE-5D4A-995D-17FE98D217E0}">
      <text>
        <r>
          <rPr>
            <sz val="10"/>
            <rFont val="SimSun"/>
            <charset val="134"/>
          </rPr>
          <t>IN 4PCS 07/10/24 DR#75231 SPC KUYA HACKET
IN 2PCS 3/02/2024 DR#73417 LIPA A
4PCS 11-28-23 SI#62711 SOUTHWAY</t>
        </r>
      </text>
    </comment>
    <comment ref="H723" authorId="0" shapeId="0" xr:uid="{980FB45F-2D2A-3447-A70D-715C70C21E0F}">
      <text>
        <r>
          <rPr>
            <sz val="10"/>
            <rFont val="SimSun"/>
            <charset val="134"/>
          </rPr>
          <t>OUT 4PCS 12-16-24 DR#75516 LIPA A
FOR WARRANTY
OUT 03/02/2024 32337 2PCS SALES ROSE
2PCS 12-29-23 DR#73990 LIPA A</t>
        </r>
      </text>
    </comment>
    <comment ref="G724" authorId="0" shapeId="0" xr:uid="{1B5E2A06-D81A-FF4B-A618-29CBD7BF9ED3}">
      <text>
        <r>
          <rPr>
            <sz val="10"/>
            <rFont val="SimSun"/>
            <charset val="134"/>
          </rPr>
          <t>IN 4PCS 03/10/24 DR# STC MASTER
2PCS 11-11-23 SI#62657 SOUTHWAY
2PCS 7-12-23 DR#73244 SPC
2PCS 6-29-23 SI#61773 SOUTHWAY
4PCS 5-5-23 SI#61412 SOUTHWAY</t>
        </r>
      </text>
    </comment>
    <comment ref="H724" authorId="0" shapeId="0" xr:uid="{1497D6E3-23CE-694D-ABA3-6FC9D1179364}">
      <text>
        <r>
          <rPr>
            <sz val="10"/>
            <rFont val="SimSun"/>
            <charset val="134"/>
          </rPr>
          <t>OUT 1PC 05/30/24 DR#75088-89 KUYA HACKET SPC
OUT 1PCS 04/15/24 DR#74775 LIPA A
2PCS FOR WARRANTY
OUT 3/10/24 32589 4PCS SALES MARLO
4PCS 12-15-23 JO#30272 JARVIS
2pcs 11-10-23 SPC DR#74262
4PCS 5-19-23 LIPA A</t>
        </r>
      </text>
    </comment>
    <comment ref="G725" authorId="0" shapeId="0" xr:uid="{91B43862-20A9-7C4B-9D56-2DE781BB920D}">
      <text>
        <r>
          <rPr>
            <sz val="10"/>
            <rFont val="SimSun"/>
            <charset val="134"/>
          </rPr>
          <t>IN 1PCS 03.03.26 DR80785 SPC HACKET
IN 10PCS 01.30.26 DR#0049899 SOUTHWAY
IN 8PCS 10.6.25 DR#0048427 SOUTHWAY
IN 4PCS 9.23.25 DR#78707 LIPA A
IN 1PCS 3.5.25 SI#65457 SOUTHWAY
1PCS 12-17-24 SI#64996 SOUTHWAY
4PCS 11/11/24 DR#75703-04 SPC KUYA HACKET &amp; ROI
IN 8PCS 10/13/24 DR#76646-48 SPC KUYA HACKET
IN 4PCS 09/30/24 DR#76098 LIPA A
IN 4PCS 09/06/24 DR#76083 LIPA A
IN 4PCS 8-2-24 SI#64323 SOUTHWAY
IN 4PCS 05/25/24 SI#63968 SOUTHWAY
IN 4PCS 5-24-24 DR#75158 SPC
6PCS 2-3-24 SI#63199 SOUTHWAY
4PCS 11-28-23 SI#62711 SOUTHWAY
4PC 10-12-23 SI#62404 SOUTHWAY
4PCS 9-8-23 DR#39199 SOUTHWAY
4PCS 5-5-23 SI#61412 SOUTHWAY</t>
        </r>
      </text>
    </comment>
    <comment ref="H725" authorId="0" shapeId="0" xr:uid="{F4B12DF0-46CA-DB47-9664-533494B131A3}">
      <text>
        <r>
          <rPr>
            <sz val="10"/>
            <rFont val="SimSun"/>
            <charset val="134"/>
          </rPr>
          <t>OUT 1PC 02.23.26 DR80873 LIPA A
OUT 9PCS 01.30.26 DR80230 SPC HACKET
OUT 1PCS 01.10.25 DR#80096 LIPA A
OUT 4PCS 10.8.25 DR#79297 SPC ROBIN
OUT 4PCS 9.26.25 DR#79279 SPC HACKET
8.21.25
49872 4PCS ALY
OUT 2PCS 7.21.25 DR#78372 LIPA A BRY
OUT 1PC 4.8.25 DR#77567 SPC ADWIN
OUT 2PCS 2.14.25 DR#77000 SPC KUYA BASTE
OUT 1PC 12/5/24 JO40396 MARIBEL
OUT 4PCS 10/30/24
JO38898 MARIBEL
10/05/24
37349 8PCS SALES MAM JEN
10/01/24
38060 4PCS SALES MARLO
38060
OUT 06/01/24 34746 4PCS SALES LEN
OUT 4PCS 04/26/24 DR#74794 SPC
4PCS 1-11-24 DR#73378 LI[PA A
4PCS 9-15-23 JO#28182 JARVIS
4PCSS 6-22-23 STF#2519 LIPA A</t>
        </r>
      </text>
    </comment>
    <comment ref="G726" authorId="0" shapeId="0" xr:uid="{EDA49906-36EA-2544-85BE-76DC40B44042}">
      <text>
        <r>
          <rPr>
            <sz val="10"/>
            <rFont val="SimSun"/>
            <charset val="134"/>
          </rPr>
          <t>IN 2PCS 8.19.25 DR#00467671 SOUTHWAY
IN 2PCS 5.8.25 DR#78031 LIPA A
IN 2PCS 12-30-24 DR#76863 SPC KUYA RONNIE
IN 8PCS 09/28/24 SI#64628 SOUTHWAY
IN 2PCS 09/10/24 REF#75699 STC 
IN 4PCS 09/06/24 DR#76083 LIPA A
IN 2PCS 09/09/24 DR#76529 SPC MASTER
IN 2PCS 06/28/24 SI#64210 SOUTHWAY
1PC 12-13-23 SI#62901 SOUTHWAY
3PCS 11-28-23 SI#62711 SOUTHWAY
8PCS 9-8-23 DR#39199 SOUTHWAY
4PCS 6-29-23 SI#61780 SOUTHWAY</t>
        </r>
      </text>
    </comment>
    <comment ref="H726" authorId="0" shapeId="0" xr:uid="{D27C38D7-A229-4F42-9AF6-EACE4F805D60}">
      <text>
        <r>
          <rPr>
            <sz val="10"/>
            <rFont val="SimSun"/>
            <charset val="134"/>
          </rPr>
          <t>OUT 2PCS 8.20.25 DR#78419 SPC HACKET
OUT 2PCS 6.18.25 DR#78324 SPC HACKET
4PCS 4.28.25 DR#77622 SPC SERVICE
12-21-24
40944 2PCS SALES MARLO
10/05/24
37349 4PCS SALES MAM JEN
OUT 8PCS 10/01/24 DR#75426 SPC KUYA HACKET
OUT 4PCS 09/21/24 DR#75412 LIPA A BRIAN
OUT 04/30/24 33888 4PCS SALES
LEN
OUT 4PCS 04/22/24 DR#74785 SPC SIR ADWIN
1PC 1-26-24 DR#000001 SPC
2PCS 10-15-2023 DR#73923 LIPA A
5pcs 9-28-23 dr#72292 SPC</t>
        </r>
      </text>
    </comment>
    <comment ref="G728" authorId="0" shapeId="0" xr:uid="{63A0FA27-7E17-304E-9A07-C178E63E23F4}">
      <text>
        <r>
          <rPr>
            <sz val="10"/>
            <rFont val="SimSun"/>
            <charset val="134"/>
          </rPr>
          <t>1pc 9-26-23 SI#62231 SOUTHWAY</t>
        </r>
      </text>
    </comment>
    <comment ref="H728" authorId="0" shapeId="0" xr:uid="{9E11D042-04DB-F943-888D-D5235586B359}">
      <text>
        <r>
          <rPr>
            <sz val="10"/>
            <rFont val="SimSun"/>
            <charset val="134"/>
          </rPr>
          <t>1PC 10-18-23 JO#28870 ROSE</t>
        </r>
      </text>
    </comment>
    <comment ref="G736" authorId="0" shapeId="0" xr:uid="{234B137E-7178-6341-A869-13914C54FBF9}">
      <text>
        <r>
          <rPr>
            <sz val="10"/>
            <rFont val="SimSun"/>
            <charset val="134"/>
          </rPr>
          <t>IN 2PCS 09/03/24 DR#76562 SPC MASTER
IN 2PCS 08/11/24 DR#76519 SPC MASTER
2pcs 12-13-23 SI#62901 SOUTHWAY
4PCS 11-11-23 SI#62657 SOUTHWAY
4PCS 9-8-23 DR#39199 SOUTHWAY
4PCS 7-8-23 DR#38700 SOUTHWAY</t>
        </r>
      </text>
    </comment>
    <comment ref="H736" authorId="0" shapeId="0" xr:uid="{D5D8F8C0-6A3B-934D-B9E1-1F9A72D66E12}">
      <text>
        <r>
          <rPr>
            <sz val="10"/>
            <rFont val="SimSun"/>
            <charset val="134"/>
          </rPr>
          <t>OUT 4PCS 4.1.25 DR#77553 SPC 
OUT 2PCS 08/23/24 DR#75384 LIPA A
OUT 2PCS 07/03/24 DR#75129 SPC SERVICE
2PCS 12-4-23 JO#29967 BEL
4PCS 10-29-23 JO#29110 MARLO
4PCS 9-28-23 DR#72293 LIPA A</t>
        </r>
      </text>
    </comment>
    <comment ref="G737" authorId="0" shapeId="0" xr:uid="{6EB21476-1A29-CE46-85EC-E2CB63CB2105}">
      <text>
        <r>
          <rPr>
            <sz val="10"/>
            <rFont val="SimSun"/>
            <charset val="134"/>
          </rPr>
          <t>IN 2PCS 11.15.25 DR#0049047 SOUTHWAY
IN 4PCS 7.5.25 DR#0047051 SOUTHWAY
IN 4PCS 5.27.25 DR#78756 SPC ROI
IN 4PC 5.9.25 DR#77717 SPC ROI
----------------------------------------------
4PCS 12-17-24 SI#64996 SOUTHWAY
IN 4PCS 8-30-24 SI#64490 SOUTHWAY
N 4PCS 06/01/24 SI#64015 SOUTHWAY (for spc)
IN 8PCS 04/24/24 SI#63853 SOUTHWAY
4PCS 10-12-23 SI#62373 SOUTHWAY
4PCS 9-8-23 DR#39199 SOUTHWAY
4PCS 6-9-23 SI#61577 SOUTHWAY
4PCS 6-7-23 SPC</t>
        </r>
      </text>
    </comment>
    <comment ref="H737" authorId="0" shapeId="0" xr:uid="{A014F04F-ACB6-ED4B-B8FD-BA30A9792AE4}">
      <text>
        <r>
          <rPr>
            <sz val="10"/>
            <rFont val="SimSun"/>
            <charset val="134"/>
          </rPr>
          <t>OUT 2PCS 11.17.25 DR#80018 SPC ROI
OUT 2PCS 10.4.25 DR#79290 SPC SERVICE
8.31.25
50108 2PCS ALY
OUT 4PCS 7.7.25 DR#78346 SPC BRY
5-28-25
4 PCS 46944 JARVIS
OUT 4PCS 3.27.25 DR#77192 SPC LALAMOVE
OUT 4PCS 1-14-25 DR#76916 SPC RANGER
----------------------------------------------
07/20/24
36110 4PCS SALES BEL
OUT 4PCS 06/04/24 DR#75097 SPC KUYA HACKET
OUT 4PCS 04/25/24 DR#74789 SPC KUYA HACKET
4PCS 2-14-24 31825 SALES
2PCS 1-12-24 DR#73382 SPC
4pcs 11-8-23 DR#74259 SPC
2PCS 6-14-23 STF#2504 STC
2pcs 6-13-23 STF#2503 STC
4PCS 6-12-23 STF#2501 LIPA A</t>
        </r>
      </text>
    </comment>
    <comment ref="G739" authorId="0" shapeId="0" xr:uid="{2E0436EB-4CC2-1B49-B799-82E76EEB9EB9}">
      <text>
        <r>
          <rPr>
            <sz val="10"/>
            <rFont val="SimSun"/>
            <charset val="134"/>
          </rPr>
          <t>IN 3PCS 11.15.25 DR#0049047 SOUTHWAY
IN 2PCS 09/16/24 SI#64545 SOUTHWAY
IN 2PCS 07/18/24 DR# SPC KUYA HACKET
4PCS 10-12-23 SI#62373 SOUTHWAY
4PCS 6-9-23 SI#61575 SOUTHWAY</t>
        </r>
      </text>
    </comment>
    <comment ref="H739" authorId="0" shapeId="0" xr:uid="{8E04DF3F-2A9E-1E46-AC2D-E780AD81E463}">
      <text>
        <r>
          <rPr>
            <sz val="10"/>
            <rFont val="SimSun"/>
            <charset val="134"/>
          </rPr>
          <t>OUT 3PCS 11.19.25 DR#80022 SPC ROBIN
OUT 3PCS 4.2.25 DR#77556 SPC
OUT 1PC 1-14-25 DR#76913 LIPA A
OUT 07/09/24 35844 4PCS SALES
2PCS 10-2-23 DR#72299 SPC
2PCS 9-23-23 DR#72288 LIPA A</t>
        </r>
      </text>
    </comment>
    <comment ref="G740" authorId="0" shapeId="0" xr:uid="{F379535C-825B-7C4C-816E-81DF1694EEB7}">
      <text>
        <r>
          <rPr>
            <sz val="10"/>
            <rFont val="SimSun"/>
            <charset val="134"/>
          </rPr>
          <t>IN 1PCS 10/13/24 DR#76646-48 SPC KUYA HACKET
4PCS 6-29-23 SI#61780 SOUTHWAY</t>
        </r>
      </text>
    </comment>
    <comment ref="H740" authorId="0" shapeId="0" xr:uid="{4612AE07-C7D3-8E45-81D5-BA0F4DE94EB0}">
      <text>
        <r>
          <rPr>
            <sz val="10"/>
            <rFont val="SimSun"/>
            <charset val="134"/>
          </rPr>
          <t>OUT 4PCS 1.28.25 DR#76953 STC 
OUT 1PC 09/22/24 DR#75415 LIPA A</t>
        </r>
      </text>
    </comment>
    <comment ref="G741" authorId="0" shapeId="0" xr:uid="{0F11292E-D538-734B-9E73-9497D6C2709F}">
      <text>
        <r>
          <rPr>
            <sz val="10"/>
            <rFont val="SimSun"/>
            <charset val="134"/>
          </rPr>
          <t>IN 4PCS 7.19.25 DR#0047233 SOUTHWAY
2pcs 11-12-24 SI#64926 SOUTHWAY
IN 4PCS 09/07/24 SI#64524 SOUTHWAY</t>
        </r>
      </text>
    </comment>
    <comment ref="H741" authorId="0" shapeId="0" xr:uid="{68463730-A416-BE46-9F0A-01A82AB99AB2}">
      <text>
        <r>
          <rPr>
            <sz val="10"/>
            <rFont val="SimSun"/>
            <charset val="134"/>
          </rPr>
          <t>OUT 4PCS 7.19.25 DR#78371 SPC HACKET
OUT 2PCS 12-11-24 DR#75508 SPC KUYA MIKE
OUT 4PCS 09/07/24 DR#75399</t>
        </r>
      </text>
    </comment>
    <comment ref="G751" authorId="0" shapeId="0" xr:uid="{AE61D2EF-52AC-6C46-B6B6-6A08DF7A6B70}">
      <text>
        <r>
          <rPr>
            <sz val="10"/>
            <rFont val="SimSun"/>
            <charset val="134"/>
          </rPr>
          <t>2pcs 6-21-23 STF#8217 SPC
8pcs 5-2-23 STF#8060 SPC
2pcs 2-27-23 STF#7755 SPC
4PCS 2-1-23 STF#7607 SPC
4PCS 1-18-23 STF#928 STC
8PCS 10-1-22 STF#7029 SPC
4PCS 8-16-22 STF#6788 SPC
4PCS 7-9-22 STF#6605 SPC</t>
        </r>
      </text>
    </comment>
    <comment ref="H751" authorId="0" shapeId="0" xr:uid="{EB5C3907-F7BE-1C46-8257-9AC56B8DBAF3}">
      <text>
        <r>
          <rPr>
            <sz val="10"/>
            <rFont val="SimSun"/>
            <charset val="134"/>
          </rPr>
          <t>2PCS 6-21-23 JO#26206 BEL
4PCS 6-7-23 JO#25835 JARVIS
4PCS 5-22-23 STF#2469 SPC
1PC  3-27-23 STF#2368 SPC
1PC 2-27-23 STF#2314 SPC DEFECTIVE
4PCS 2-9-23 JO#21601 ALY
4PCS 1-19-23 JO#21057 JARVIS
2PCS 12-17-22 STF#2158 SITE A
8PCS 12-2-22 STF#2107 SPC
4PC 8-25-22 JO17603 MARIBEL</t>
        </r>
      </text>
    </comment>
    <comment ref="G752" authorId="0" shapeId="0" xr:uid="{CF2E5E1C-6100-F943-972D-613B7EF3B7B1}">
      <text>
        <r>
          <rPr>
            <sz val="10"/>
            <rFont val="SimSun"/>
            <charset val="134"/>
          </rPr>
          <t>2PCS 9-22-23 DR# SPC
8PCS 5-29-23 STF#8177 SPC
4PCS 4-4-23 STF#7953 SPC
2PCS 1-27-23 STF#7586 SPC
2PCS 1-11-23 STF#2281 LIPA A
4pcs 12-17-22 STF#7396 SPC
2PCS 9-15-22 STF#6935 SPC
4PCS 7-14-22 STF#6635 SPC
4PCS 7-9-22 STF#6605 SPC</t>
        </r>
      </text>
    </comment>
    <comment ref="H752" authorId="0" shapeId="0" xr:uid="{B8B3ACB8-555E-C147-BA30-55D8FE97A386}">
      <text>
        <r>
          <rPr>
            <sz val="10"/>
            <rFont val="SimSun"/>
            <charset val="134"/>
          </rPr>
          <t>2PCS 9-7-23 DR#72260 SPC
2pcs 9-2-23 dr#72250 lipa a
4PC 8-31-23 DR#72245 SPC
3PCS 5-22-23 STF#2469 SPC
2PCS 5-20-23 JO#25452 ROSE
2PCS 5-20-23 JO#25409 ROSE
4PCS 5-20-23 JO#25408 ROSE
2pcs 3-27-23 STF#2368 SPC
2PCS 1-14-23 JO#20918 JARVIS
2PCS 1-11-23 JO#20824 ALY
4PCS 1-11-23 JO#20823 ALY
2PCS 1-11-23 JO#20822 ALY
2PCS 12-9-22 JO#200559 BEL
8-6-22 STF#1907 SPC</t>
        </r>
      </text>
    </comment>
    <comment ref="G753" authorId="0" shapeId="0" xr:uid="{5212C9D1-1BDA-B14F-B71B-A98E10B7B141}">
      <text>
        <r>
          <rPr>
            <sz val="10"/>
            <rFont val="SimSun"/>
            <charset val="134"/>
          </rPr>
          <t>2PCS 6-22-23 SPC
4PCS 5-29-23 STF#8177 SPC
2pcs 5-2-23 STF#8060 SPC
2PCS 3-23-23 STF#7891 SPC
1PC 1-5-23 STF#7454 SPC
8PCS 10-8-22 STF#7076 SPC
8PCS 10-1-22 STF#7029 SPC
4PCS 7-9-22 STF#6605 SPC</t>
        </r>
      </text>
    </comment>
    <comment ref="H753" authorId="0" shapeId="0" xr:uid="{F32D9CEF-EB66-AD49-89C2-1E82CC9BEEA5}">
      <text>
        <r>
          <rPr>
            <sz val="10"/>
            <rFont val="SimSun"/>
            <charset val="134"/>
          </rPr>
          <t>2pcs 1-6-24 DR#73359 SPC OLD DOT
2pcs 11-8-23 DR#74259 SPC
2PCS 9-19-23 JO#28287 BEL
4PCS 9-12-23 JO#28115 JARVIS
2PCS 6-8-23 JO#25839 JARVIS
2PCS 3-24-23 JO#23352 JARVIS
2PCS 1-17-23 JO#2217 SPC
1pc 1-4-22 STF#2185 SPC
4PC 12-17-22 JO20209 MARLO
4pcs 12-10-22 STF#2129 SPC
4PCS 12-2-22 STF#2107 SPC
4PCS 9-20-22 STF#1981 SPC</t>
        </r>
      </text>
    </comment>
    <comment ref="I753" authorId="0" shapeId="0" xr:uid="{4CCBE6BB-61EE-9743-BA43-77F948161866}">
      <text>
        <r>
          <rPr>
            <sz val="10"/>
            <rFont val="SimSun"/>
            <charset val="134"/>
          </rPr>
          <t>2022</t>
        </r>
      </text>
    </comment>
    <comment ref="G754" authorId="0" shapeId="0" xr:uid="{3D144524-C665-E846-B6FA-F5E44BDC334F}">
      <text>
        <r>
          <rPr>
            <sz val="10"/>
            <rFont val="SimSun"/>
            <charset val="134"/>
          </rPr>
          <t>4pcs 5-2-23 STF#8060 SPC
4pcs 4-27-23 STF#8051 SPC
8PCS 10-1-22 STF#7029 SPC
4PCS 9-1-22 STF#6862 SPC
4PCS  8-20-22 STF#6808 SPC</t>
        </r>
      </text>
    </comment>
    <comment ref="H754" authorId="0" shapeId="0" xr:uid="{FE990B82-63CC-6340-9C3E-B39814A53014}">
      <text>
        <r>
          <rPr>
            <sz val="10"/>
            <rFont val="SimSun"/>
            <charset val="134"/>
          </rPr>
          <t>OUT 12-20-2023
30388 2PCS SALES JACKO
2PCS 10-16-23 JO#28883 BEL
4PCS 5-5-23 JO#25059 MARLO
2PCS 12-13-22 STF#2148 SPC
2PCS 12-9-22 STF#2130 SPC
4PCS 11-21-22 JO#19570 ALY
4PCS 10-27-22 STYF#2034 SPC
4PCS 10-24-22 STF#2031 SPC</t>
        </r>
      </text>
    </comment>
    <comment ref="G755" authorId="0" shapeId="0" xr:uid="{B109CFC1-6BF5-CF46-A119-A9D0DE0E442E}">
      <text>
        <r>
          <rPr>
            <sz val="10"/>
            <rFont val="SimSun"/>
            <charset val="134"/>
          </rPr>
          <t xml:space="preserve">
2PCS 7-12-23 DR#73244 SPC
2pcs 5-19-23 STF#8126 SPC
4pcs 5-2-23 STF#8060 SPC
8pcs 4-27-23 STF#8051 SPC
4PCS 12-19-22 STF#7403 SPC
4PCS 12-10-22 STF#7364 SPC
4PCS  11-22-22 STf#7265 SPC
2PCS 11-2-22 STF#7182 SPC
8PCS 10-8-22 STF#7070 SPC
4PCS 8-23-22 STF#6818 SPC
4PCS  8-20-22 STF#6808 SPC</t>
        </r>
      </text>
    </comment>
    <comment ref="H755" authorId="0" shapeId="0" xr:uid="{E9E82A77-909B-EE41-8A19-0AFCD1ED2291}">
      <text>
        <r>
          <rPr>
            <sz val="10"/>
            <rFont val="SimSun"/>
            <charset val="134"/>
          </rPr>
          <t>11/2/2023 29207 2PCS BEL
2PCS 10-24-23 JO#28987 MARLO
3PCS 9-29-23 STA CRUZ
1PC 8-31-23 DR#72245 SPC
2PCS 6-29-23 JO#26373 BEL
4PCS 6-4-23 JO#25778 SALES
2PCS 4-29-23 JO#2433 JARVIS
4PCS 4-28-23 JO#24909 JARVIS
1PC  1-17-23 STF#2217 SPC
1PC 1-11-23 STF#2208 LIPA A
2PCS 12-26-22 JO#20418 BEL
2PCS 12-21-22 JO#20341 JOJO
2PCS 12-19-22 JO#20285 ALY
4PCS 12-2-22 STF#2107 SPC
4PCS 11-21-22 JO#19619 BEL
4ocs 11-19-22 jo19587 maribel
4PCS 11-11-22 JO#19377 ALY
2PC 11-5-22 JO19251 MARIBEL
4PCS 11-5-22 STF#2055 SITE A</t>
        </r>
      </text>
    </comment>
    <comment ref="G757" authorId="0" shapeId="0" xr:uid="{954E5CD0-3572-0041-90C3-31CEE6CB29A6}">
      <text>
        <r>
          <rPr>
            <sz val="10"/>
            <rFont val="SimSun"/>
            <charset val="134"/>
          </rPr>
          <t>2pcs 6-12-23 STF#2453 LIPA A
2PCS 6-7-23 STF#2447 LIPA A</t>
        </r>
      </text>
    </comment>
    <comment ref="H757" authorId="0" shapeId="0" xr:uid="{AC032F67-1BAC-E946-B683-E07F038F8DAD}">
      <text>
        <r>
          <rPr>
            <sz val="10"/>
            <rFont val="SimSun"/>
            <charset val="134"/>
          </rPr>
          <t>1PC 6-12-23 JO#25890 ROSE
2PCS 6-7-23 JO#25836 JARVIS</t>
        </r>
      </text>
    </comment>
    <comment ref="G758" authorId="0" shapeId="0" xr:uid="{CE6897AE-EFAE-8140-9CD0-CC60FAF13F8C}">
      <text>
        <r>
          <rPr>
            <sz val="10"/>
            <rFont val="SimSun"/>
            <charset val="134"/>
          </rPr>
          <t>4pcs 8-31-23 DR#73295 LIPA A
4PCS 6-17-23 SPC
4PCS 5-29-23 STF#8177 SPC
2PCS 10-18-22 STF#7120 SPC
8PCS 9-22-22 STF#6962 SPC</t>
        </r>
      </text>
    </comment>
    <comment ref="H758" authorId="0" shapeId="0" xr:uid="{8F021DB2-C629-BE47-8E0A-8431C77AD083}">
      <text>
        <r>
          <rPr>
            <sz val="10"/>
            <rFont val="SimSun"/>
            <charset val="134"/>
          </rPr>
          <t>4PCS 8-31-23 JO#27840 JARVIS
4PCS 7-4-23 JO#26455 MARLO
4PCS 6-14-23 JO#26020 JARVIS
2PCS 11-17-22 JO#19539 JARVIS
2PCS 11-15-22 JO#19512 BEL
2PC 10-17-22 JO18828 MARIBEL
4PCS 10-14-22 JO#18776 SALES</t>
        </r>
      </text>
    </comment>
    <comment ref="G759" authorId="0" shapeId="0" xr:uid="{3DCE4FDB-2E00-634E-A47E-F92F1DFEBE99}">
      <text>
        <r>
          <rPr>
            <sz val="10"/>
            <rFont val="SimSun"/>
            <charset val="134"/>
          </rPr>
          <t>4PCS 1-27-23 STF#7586 SPC
8PCS 11-22-22 STf#7262 SPC
8PCS 9-22-22 STF#6962 SPC
4PCS 7-9-22 STF#6605 SPC</t>
        </r>
      </text>
    </comment>
    <comment ref="H759" authorId="0" shapeId="0" xr:uid="{44637546-6567-9144-B977-D8BE09DFC678}">
      <text>
        <r>
          <rPr>
            <sz val="10"/>
            <rFont val="SimSun"/>
            <charset val="134"/>
          </rPr>
          <t>4pcs 12-13-22 STF#2149 SITE A
8PCS 12-2-22 STF#2107 SPC
2PCS 11-28-22 JO#19809 BEL
2PCS 11-21-22 JO#19570 MARLO
4PC 7-21-22 JO16798 MARIBEL</t>
        </r>
      </text>
    </comment>
    <comment ref="G760" authorId="0" shapeId="0" xr:uid="{8F9D597F-0914-EE40-84CE-02AD159C2EF2}">
      <text>
        <r>
          <rPr>
            <sz val="10"/>
            <rFont val="SimSun"/>
            <charset val="134"/>
          </rPr>
          <t>4PCS 6-7-23 SPC
2PCS 5-26-23 STF#8167 SPC
3pcs 4-27-23 STF#8051 SPC
4PCS 4-6-23 STF#2382 LIPA A
4pcs 12-13-22 STF#7373 SPC
4PCS 10-22-22 STF#7140 SPC
5PCS 10-18-22 STF#7120 SPC
4PCS 8-16-22 STF#6788 SPC</t>
        </r>
      </text>
    </comment>
    <comment ref="H760" authorId="0" shapeId="0" xr:uid="{18F3560F-69DD-424B-9324-96DC43913705}">
      <text>
        <r>
          <rPr>
            <sz val="10"/>
            <rFont val="SimSun"/>
            <charset val="134"/>
          </rPr>
          <t>4PCS 8-2-23 JO#27181 JARVIS
4PCS 5-31-23 JO25682 BEL
2PCS 5-25-23 JO#25543 BEL
3pcs 4-6-23 JO#24176 JARVIS
4PCS 1-20-23 JO#21079 ALY
4PCS 11-26-22 JO#19752 ALY
4pcs 11-24-22 STF#2089 SPC
5PCS 10-18-22 JO#18838 ALY</t>
        </r>
      </text>
    </comment>
    <comment ref="G761" authorId="0" shapeId="0" xr:uid="{D4FBCD05-F3CC-3D48-B086-EF1469BFA16D}">
      <text>
        <r>
          <rPr>
            <sz val="10"/>
            <rFont val="SimSun"/>
            <charset val="134"/>
          </rPr>
          <t>2pcs 4-17-23 stf#2396 LIPA A
4PCS 12-10-22 STF#2131 SPC
2PCS 11-22-22 STf#7262 SPC
6PCS 11-16-22 STF#7247 SPC
4PCS 11-10-22 STF#7221 SPC
4PCS  8-20-22 STF#6808 SPC</t>
        </r>
      </text>
    </comment>
    <comment ref="H761" authorId="0" shapeId="0" xr:uid="{F82EE456-168C-DA4F-8884-D35C4418DD25}">
      <text>
        <r>
          <rPr>
            <sz val="10"/>
            <rFont val="SimSun"/>
            <charset val="134"/>
          </rPr>
          <t>1PC  10-4-23 DR#73992 SPC
1PC 9-21-23 DR#72284 SPC
1pc 9-12-23 DR#72267 LIPA A
2PCS 1-27-23 STF#2244 LIPA A
4PCS 12-8-22 STF#2125 SITE A
2PCS 12-6-22 STF#2119 SPC
2PCS 12-4-22 JO#19997 ALY
2pcs 11-19-22 jo19564 marlo
4PCS 11-10-22 JO#19371 ALY
2pcs 11-10-22-22 STF#2065 SITE A</t>
        </r>
      </text>
    </comment>
    <comment ref="G762" authorId="0" shapeId="0" xr:uid="{F898539B-4EA4-9943-A1B8-52AA5FA1E599}">
      <text>
        <r>
          <rPr>
            <sz val="10"/>
            <rFont val="SimSun"/>
            <charset val="134"/>
          </rPr>
          <t>4pcs 4-27-23 STF#8051 SPC
4PCS 3-30-23 STF#7926 SPC
4PCS 6-2-22 STF#6428 SPC
1pc 1-22-22 STF#5799 SPC</t>
        </r>
      </text>
    </comment>
    <comment ref="H762" authorId="0" shapeId="0" xr:uid="{97DAEEBA-CE17-3E45-96EA-C555C7E8E31F}">
      <text>
        <r>
          <rPr>
            <sz val="10"/>
            <rFont val="SimSun"/>
            <charset val="134"/>
          </rPr>
          <t>4PCS 5-30-23 STF#2484 SPC
4PCS 4-26-23 JO#24830 MARLO
2PCS 7-13-22 STF#1873 SPC
OUT 6-7-22 JO15881 2PC SALES
OUT 01-22-2022 JO#13070 SPC</t>
        </r>
      </text>
    </comment>
    <comment ref="G763" authorId="0" shapeId="0" xr:uid="{813AF758-9CCA-D948-A5CC-40E5E2D1BEF8}">
      <text>
        <r>
          <rPr>
            <sz val="10"/>
            <rFont val="SimSun"/>
            <charset val="134"/>
          </rPr>
          <t>4PCS 4-25-23 STF#8039 SPC
2PCS 4-9-23 STF#2384 LIPA A
4pcs 3-18-23 STF#7863 SPC
8PCS 1-12-23 STF#7501 SPC</t>
        </r>
      </text>
    </comment>
    <comment ref="H763" authorId="0" shapeId="0" xr:uid="{501FA017-3198-3F40-8AEB-03686F037FFB}">
      <text>
        <r>
          <rPr>
            <sz val="10"/>
            <rFont val="SimSun"/>
            <charset val="134"/>
          </rPr>
          <t>2pcs 10-10-23 JO#28715 MARLO
2PCS 5-4-23 STF#25082 JARVIS
2pcs 4-9-23 jo#24235 jarvis
4PCS 4-4-23 JO#24105 MARLO
2PCS 2-1-23 STF#2256 SPC
2PCS 1-24-23 STF#2239 SPC
4PCS 1-17-23 JO#20978 ALY</t>
        </r>
      </text>
    </comment>
    <comment ref="G764" authorId="0" shapeId="0" xr:uid="{206CAA44-4698-EA41-A5B2-01AB956379E0}">
      <text>
        <r>
          <rPr>
            <sz val="10"/>
            <rFont val="SimSun"/>
            <charset val="134"/>
          </rPr>
          <t>4PCS  3-18-23 STF#7870 SPC</t>
        </r>
      </text>
    </comment>
    <comment ref="H764" authorId="0" shapeId="0" xr:uid="{73CF2866-FAE4-D746-9798-E4F8D0599531}">
      <text>
        <r>
          <rPr>
            <sz val="10"/>
            <rFont val="SimSun"/>
            <charset val="134"/>
          </rPr>
          <t>2PCS 5-23-23 JO#25507 JARVIS
2PCS 5-20-23 JO#25439 JARVIS</t>
        </r>
      </text>
    </comment>
    <comment ref="G766" authorId="0" shapeId="0" xr:uid="{E59375DE-FEEA-6942-9C62-D153B97A8FA4}">
      <text>
        <r>
          <rPr>
            <sz val="10"/>
            <rFont val="SimSun"/>
            <charset val="134"/>
          </rPr>
          <t>4pcs 4-27-23 STF#8051 SPC
1PC 4-25-23 STF#8039 SPC
4PCS 3-18-23 STF#7863 SPC
4PCS 2-22-23 FROM CEBU
2pcs 1-24-23 STF#7559 SPC
8PCS 1-12-23 STF#7501 SPC</t>
        </r>
      </text>
    </comment>
    <comment ref="H766" authorId="0" shapeId="0" xr:uid="{47B30EE7-524E-C342-A1AC-8B73EAD7EE4D}">
      <text>
        <r>
          <rPr>
            <sz val="10"/>
            <rFont val="SimSun"/>
            <charset val="134"/>
          </rPr>
          <t>4pcs 7-29-23 dr#73890 LIPA A
4PCS 5-18-23 JO#25411 BEL
2PCS 4-11-23 JO#24256 ROSE
1PC 3-8-23 JO#22199 HANNAH
3pcs 3-8-23 STF#2327 STC
2PCS 2-27-23 JO#22041 JARVIS
4PC 1-28-23 JO21277 JARVIS
2PC 1-21-23 JO21088 ALY</t>
        </r>
      </text>
    </comment>
    <comment ref="G767" authorId="0" shapeId="0" xr:uid="{BF3E9537-28A2-8A47-9DAA-33B37F078258}">
      <text>
        <r>
          <rPr>
            <sz val="10"/>
            <rFont val="SimSun"/>
            <charset val="134"/>
          </rPr>
          <t>2pcs 5-19-23 stf#2430 lipa a
4PCS 4-4-23 STF#7953 SPC
2PCS 1-30-23 STF#7594 SPC
2PCS 12-12-22 STF#883 STC
4PCS 10-10-22 STF#7080 SPC</t>
        </r>
      </text>
    </comment>
    <comment ref="H767" authorId="0" shapeId="0" xr:uid="{5641825D-FCA8-7A43-81A0-2D55A15293E6}">
      <text>
        <r>
          <rPr>
            <sz val="10"/>
            <rFont val="SimSun"/>
            <charset val="134"/>
          </rPr>
          <t>2PCS 10-3-23 JO#28565 JARVIS
2PCS 5-19-23 JO#25416 BEL
4PCS 5-17-23 JO#25373 ROSE
2PCS 3-31-23 JO#23766 MARLO
2PCS 3-11-23 JO#22269 MARLO
2PCS 1-28-23 JO21298 MARIBEL
2PC 12-9-22 JO20036 MARIBEL</t>
        </r>
      </text>
    </comment>
    <comment ref="G768" authorId="0" shapeId="0" xr:uid="{55BCDE1D-045D-9C49-BDB1-B0B0D247AD7F}">
      <text>
        <r>
          <rPr>
            <sz val="10"/>
            <rFont val="SimSun"/>
            <charset val="134"/>
          </rPr>
          <t>2PCS 4-25-23 STF#8039 SPC
4PCS 1-27-23 STF#7586 SPC</t>
        </r>
      </text>
    </comment>
    <comment ref="H768" authorId="0" shapeId="0" xr:uid="{F3EAC559-45BC-9C4D-AE25-2DA3A22F6169}">
      <text>
        <r>
          <rPr>
            <sz val="10"/>
            <rFont val="SimSun"/>
            <charset val="134"/>
          </rPr>
          <t>4PCS 8-31-23 DR#72246 SPC
2PCS 4-1-23 JO#2376 LIPA A</t>
        </r>
      </text>
    </comment>
    <comment ref="G769" authorId="0" shapeId="0" xr:uid="{122F9FA5-1759-7B4C-B72A-C7A677817809}">
      <text>
        <r>
          <rPr>
            <sz val="10"/>
            <rFont val="SimSun"/>
            <charset val="134"/>
          </rPr>
          <t>1PC  2-24-23 STF#7730 SPC
4PCS 2-22-23 FROM CEBU
2PCS 1-16-23 STF#7515 SPC
4PCS 1-12-23 STF#7501 SPC
4PCS 10-10-22 STF#7080 SPC</t>
        </r>
      </text>
    </comment>
    <comment ref="H769" authorId="0" shapeId="0" xr:uid="{0F5F203D-220B-FA40-AAAB-66ABFCA16B20}">
      <text>
        <r>
          <rPr>
            <sz val="10"/>
            <rFont val="SimSun"/>
            <charset val="134"/>
          </rPr>
          <t>2pcs 1-7-24 DR#73366 SPC OLD DOT
1PC 7-1-23 STF#2527 LIPA A
2pcs 5-1-23 stf#2437 lipa a
1pc 2-25-23 jo21940 aly
1PC 1-27-23 STF#2245 LIPA A
2PCS 1-14-23 JO#20919 JARVIS
2PC 1-2-22 STF#2183 SITE A
2PC 12-17-22 JO20227 ALY</t>
        </r>
      </text>
    </comment>
    <comment ref="I769" authorId="0" shapeId="0" xr:uid="{1175FCB1-187C-7F4D-9495-41B60807FEFC}">
      <text>
        <r>
          <rPr>
            <sz val="10"/>
            <rFont val="SimSun"/>
            <charset val="134"/>
          </rPr>
          <t>2022</t>
        </r>
      </text>
    </comment>
    <comment ref="G770" authorId="0" shapeId="0" xr:uid="{EA017BA0-69D7-8D47-8792-1453B42E9CEE}">
      <text>
        <r>
          <rPr>
            <sz val="10"/>
            <rFont val="SimSun"/>
            <charset val="134"/>
          </rPr>
          <t>2PCS 8-4-23 DR#73265 LIPA A
4PCS 2-22-23 FROM CEBU
2PCS 2-21-23 STF#7711 SPC
4PCS 2-8-23 STF#7646 SPC
8PCS 10-8-22 STF#7076 SPC</t>
        </r>
      </text>
    </comment>
    <comment ref="H770" authorId="0" shapeId="0" xr:uid="{A70D7B7F-A970-DB44-9552-6D9D1B52B1C2}">
      <text>
        <r>
          <rPr>
            <sz val="10"/>
            <rFont val="SimSun"/>
            <charset val="134"/>
          </rPr>
          <t>2PCS 8-4-23 JO#27211 MARLO 
4PCS 5-3-23 JO#24189 JOJO
4PCS 4-19-23 STF#2410 SPC
4PCS 2-18-23 JO#21820 ALY
2PCS 2-13-23 JO#21695 JARVIS
4pcs 1-27-23 JO#21291 MARIBEL</t>
        </r>
      </text>
    </comment>
    <comment ref="G771" authorId="0" shapeId="0" xr:uid="{436F555F-CAF6-F14F-AD8C-8D2975B02374}">
      <text>
        <r>
          <rPr>
            <sz val="10"/>
            <rFont val="SimSun"/>
            <charset val="134"/>
          </rPr>
          <t>4PCS 4-25-23 STF#8039 SPC
2PCS  SPC
4PCS 2-22-23 FROM CEBU</t>
        </r>
      </text>
    </comment>
    <comment ref="H771" authorId="0" shapeId="0" xr:uid="{2178B991-8BC7-5543-AEC7-82F220A7D4B2}">
      <text>
        <r>
          <rPr>
            <sz val="10"/>
            <rFont val="SimSun"/>
            <charset val="134"/>
          </rPr>
          <t>1PC 8-31-23 DR#72244 SPC
3PCS 7-5-23 JO#26513 BEL
4PCS 4-19-23 JO#24724 ROSE
2PCS 3-24-23 JO#22238 HANNAH</t>
        </r>
      </text>
    </comment>
    <comment ref="G772" authorId="0" shapeId="0" xr:uid="{FD381234-86C4-DE49-8EE9-5ACC0CEB8D0F}">
      <text>
        <r>
          <rPr>
            <sz val="10"/>
            <rFont val="SimSun"/>
            <charset val="134"/>
          </rPr>
          <t>IN 4PCS 04/16/24 DR# SPC KUYA HACKET
4PCS 1-12-23 STF#7501 SPC</t>
        </r>
      </text>
    </comment>
    <comment ref="H772" authorId="0" shapeId="0" xr:uid="{C21C6A67-21E0-0F4C-9AAA-DD6D9E43F2A7}">
      <text>
        <r>
          <rPr>
            <sz val="10"/>
            <rFont val="SimSun"/>
            <charset val="134"/>
          </rPr>
          <t>OUT 2PCS 06/06/24 DR#75100 SPC KUYA HACKET
2pcs 5-24-24 DR#75081 LIPA A
4PCS 11-22-23 JO#29695 JARVIS</t>
        </r>
      </text>
    </comment>
    <comment ref="G773" authorId="0" shapeId="0" xr:uid="{308BB78B-FCFD-B64E-BF50-04116E315AF2}">
      <text>
        <r>
          <rPr>
            <sz val="10"/>
            <rFont val="SimSun"/>
            <charset val="134"/>
          </rPr>
          <t>IN 4PCS 6.26.25 DR#77775-76 SPC EMMAN
IN 4PCS 5.9.25 DR#77716 SPC ROI
4pcs 12-8-23 DR#73305 LIPA A
4pcs 5-19-23 STF#8126 SPC
4PCS 4-4-23 STF#7953 SPC
4pcs 3-11-23 STF#7820 SPC
4PCS 2-22-23 FROM CEBU
4PCS 1-27-23 STF#7586 SPC</t>
        </r>
      </text>
    </comment>
    <comment ref="H773" authorId="0" shapeId="0" xr:uid="{1813AF20-D801-904F-A5D0-464AF1A5E4E3}">
      <text>
        <r>
          <rPr>
            <sz val="10"/>
            <rFont val="SimSun"/>
            <charset val="134"/>
          </rPr>
          <t>02.10.26
55004 2PCS JARVIS
OUT 4PCS 12.26.25 DR#80077 SPC HACKET
4pcs 1-7-24 DR#73366 SPC OLD DOT
4PCS 6-26-23 JO#26247 ROSE
4PCS 5-5-23 JO#25106 BEL
4PCS 4-14-23 JO24348 MARIBEL
2PCS 3-29-23 JO#23704 MARLO
4PCS 3-11-23 JO#22288 JARVOS
4pcs 2-24-23 STF#2307 LIPA A</t>
        </r>
      </text>
    </comment>
    <comment ref="G774" authorId="0" shapeId="0" xr:uid="{4C1F92F5-DCF2-BE42-B64E-94FA28B37787}">
      <text>
        <r>
          <rPr>
            <sz val="10"/>
            <rFont val="SimSun"/>
            <charset val="134"/>
          </rPr>
          <t>4PCS 4-25-23 STF#8039 SPC
2PCS 3-23-23 STF#7891 SPC
8PCS 1-12-23 STF#7501 SPC
4PCS 12-16-22 STF#7389 SPC</t>
        </r>
      </text>
    </comment>
    <comment ref="H774" authorId="0" shapeId="0" xr:uid="{44A2E158-77B6-2244-93ED-B1D72207A41A}">
      <text>
        <r>
          <rPr>
            <sz val="10"/>
            <rFont val="SimSun"/>
            <charset val="134"/>
          </rPr>
          <t>4PCS 8-16-23 JO#27541 ROSE
4PCS 5-13-23 JO25281 JARVIS
2PCS 3-20-23 JO#22771 BEL
4PCS 3-18-23 STF#2349 SPC
1PC 1-11-23 STF#2206 SPC
2PCS 1-5-23 STF#2191 SPC
1PC 12-28-22 STF#2177 SITE A</t>
        </r>
      </text>
    </comment>
    <comment ref="G775" authorId="0" shapeId="0" xr:uid="{67A04ECC-E3A5-FD4D-A9D1-269643532D6E}">
      <text>
        <r>
          <rPr>
            <sz val="10"/>
            <rFont val="SimSun"/>
            <charset val="134"/>
          </rPr>
          <t>4PCS 6-8-23 STF#2449LIPA A
7PCS 4-25-23 STF#8039 SPC
1PC  4-20-23 STF#8019 SPC
4PCS 4-4-23 STF#7953 SPC
4PCS 3-18-23 STF#7863 SPC
4PCS 2-22-23 FROM CEBU
4PCS 1-12-23 STF#7501 SPC
2pcs 1-12-23 stf#7497 spc
4PCS 12-16-22 STF#7389 SPC
4PCS 10-10-22 STF#7080 SPC</t>
        </r>
      </text>
    </comment>
    <comment ref="H775" authorId="0" shapeId="0" xr:uid="{58D30AAB-9E0B-824D-9EC2-F64245D08B50}">
      <text>
        <r>
          <rPr>
            <sz val="10"/>
            <rFont val="SimSun"/>
            <charset val="134"/>
          </rPr>
          <t>1PC 8-31-23 DR#72244 SPC
4PCS 6-8-23 JO#25881 ROSE
4PCS 5-14-23 JO25308 MARIBEL **
2PCS 5-7-23 jo#25137 JARVIS
4PCS 5-4-23 STF#25075 BEL
4PCS 4-13-23 STF#2400 LIPA A
4PCS 3-25-23 JO#23099 MARIBEL
4pcs 2-24-23 st002308 23 lipa a
4PCS 2-11-23 JO#21665 BEL
4PCS 1-26-23 JO#21220 BEL
4PCS 1-12-23 JO#20882 BEL
2PCS 1-11-23 JO#20829 ALY
4PCS 12-3-22 JO#19957 BEL</t>
        </r>
      </text>
    </comment>
    <comment ref="G776" authorId="0" shapeId="0" xr:uid="{36B73F7E-09A4-4149-A03D-64745E87DA60}">
      <text>
        <r>
          <rPr>
            <sz val="10"/>
            <rFont val="SimSun"/>
            <charset val="134"/>
          </rPr>
          <t>4PCS 4-25-23 STF#8039 SPC
4PCS 2-23-23 STF#7720 SPC
2PCS 2-18-23 STF#2331 LIPA A
4PCS 1-16-23 STF#7515 SPC</t>
        </r>
      </text>
    </comment>
    <comment ref="H776" authorId="0" shapeId="0" xr:uid="{BA9107A0-57D4-5540-9EE7-7B82EAE467BB}">
      <text>
        <r>
          <rPr>
            <sz val="10"/>
            <rFont val="SimSun"/>
            <charset val="134"/>
          </rPr>
          <t>1PC 1-7-24 DR#73366 SPC OLD DOT
1PC 10-8-23 JO#$28670 JARVIS
2PCS 8-24-23 JO#27680 ROSE
2PCS 5-30-23 JO#25672 ROSE
2PC S4-25-23 JO#24827 MARLO
2PCS 2-17-23 JO#21636 JOJO
4PCS 2-1-23 JO#21397 JARVIS</t>
        </r>
      </text>
    </comment>
    <comment ref="I776" authorId="0" shapeId="0" xr:uid="{016F7B4C-44FD-7B42-ADC3-527672FD0C80}">
      <text>
        <r>
          <rPr>
            <sz val="10"/>
            <rFont val="SimSun"/>
            <charset val="134"/>
          </rPr>
          <t>2022</t>
        </r>
      </text>
    </comment>
    <comment ref="G777" authorId="0" shapeId="0" xr:uid="{F428AB7C-A57F-A74E-8143-1B429BF45441}">
      <text>
        <r>
          <rPr>
            <sz val="10"/>
            <rFont val="SimSun"/>
            <charset val="134"/>
          </rPr>
          <t>4PCS 4-25-23 STF#8039 SPC
4PCS 4-19-23 STF#8012 SPC
4PCS 3-27-23 STF#7909 SPC
4PCS 3-27-23 STF#7901 SPC
4PCS 3-18-23 STF#7863 SPC
4PCS 2-22-23 FROM CEBU
4P[CS 1-24-23 STF#7562 SPC
2pcs 1-7-23 stf#7464 spc
2pcs 1-2-23 stf#7441 spc
4PCS 12-16-22 STF#7389 SPC
4PCS 10-10-22 STF#7080 SPC</t>
        </r>
      </text>
    </comment>
    <comment ref="H777" authorId="0" shapeId="0" xr:uid="{E1D10DEA-F6B3-4F47-8990-771AF50C08A5}">
      <text>
        <r>
          <rPr>
            <sz val="10"/>
            <rFont val="SimSun"/>
            <charset val="134"/>
          </rPr>
          <t>4PCS 6-24-23 JO#26273 BEL
1PC  6-8-23 STF#2496 SPC
1PC 6-7-23 STF#2494 LIPA A
2PCS 5-23-23 JO#$25533 ROSE
4PCS 4-18-23 JO#24338 ROSE
2PCS 4-3-23 JO#23393 HANNAH
2PCS 3-29-23 JO#23445 BEL
4PCS 3-25-23 ST002363 LIPA A
4PCS 3-13-23 STF#2334 LIPA A
4pcs 2-11-23 STF#2277 LIPA A
2PCS 1-7-23 JO#20726 BEL
2PCS 1-3-22 JO#20348 JOJO
4pc 12-22-22 jo20372 aly
4PC 11-06-22 JO19273 MARLO</t>
        </r>
      </text>
    </comment>
    <comment ref="G778" authorId="0" shapeId="0" xr:uid="{1D2D0E7D-4E6F-CB45-9CA3-89F620826546}">
      <text>
        <r>
          <rPr>
            <sz val="10"/>
            <rFont val="SimSun"/>
            <charset val="134"/>
          </rPr>
          <t>2PCS 4-14-23 STF#2394 LIPA A
4[PCS 4-3-23 STF#2375 SPC
1PC  2-1-23 STF#7607 SPC4PCS 1-12-23 STF#7501 SPC</t>
        </r>
      </text>
    </comment>
    <comment ref="H778" authorId="0" shapeId="0" xr:uid="{6D473E96-6124-444F-9032-799ECA7EEFAB}">
      <text>
        <r>
          <rPr>
            <sz val="10"/>
            <rFont val="SimSun"/>
            <charset val="134"/>
          </rPr>
          <t>4PCS 6-11-23 JO#25954 BEL
2PCS 4-14-23 JO#24614 BEL
1PC 1-30-23 JO#21332 JARVIS</t>
        </r>
      </text>
    </comment>
    <comment ref="G779" authorId="0" shapeId="0" xr:uid="{D0A60BE4-BCAA-1047-A0DC-AABACE08D615}">
      <text>
        <r>
          <rPr>
            <sz val="10"/>
            <rFont val="SimSun"/>
            <charset val="134"/>
          </rPr>
          <t>4PCS 5-26-23 STF#8167 SPC
2PCS 4-25-23 STF#8039 SPC
2PCS 3-27-23 STF#7909 SPC
2PCS 3-23-23 STF#7891 SPC
2PCS 3-10-23 STF#2353 LIPA A
2pcs 3-9-23 stf#2350 LIPA A
4PCS 2-10-23 STF#7667 SPC
4PCS 1-12-23 STF#7501 SPC
4PCS 12-6-22 STF#2231 SPC
4PCS 10-10-22 STF#7080 SPC</t>
        </r>
      </text>
    </comment>
    <comment ref="H779" authorId="0" shapeId="0" xr:uid="{F0021F5A-7621-7F4E-AD3C-A2F3B1B7E90F}">
      <text>
        <r>
          <rPr>
            <sz val="10"/>
            <rFont val="SimSun"/>
            <charset val="134"/>
          </rPr>
          <t>2PCS 7-4-23 JO#26489 BEL
2PCS 7-2-23 STF#2530 SPC
PCS 5-13-23 JO25284 JARVIS
2PCS 4-14-23 JO24349 MARIBEL
2PCS 3-10-23 JO#22260 JARVIS
4PCS 3-9-23 JO#22252 JARVIS
2PCS  3-3-23 JO#22106 OFFICE
2pcs 2-4-23 stf#2266 lipa a
4PCS 12-6-22 JO#200570 BEL
4PCS 11-26-22 JO#19758 ALY</t>
        </r>
      </text>
    </comment>
    <comment ref="G780" authorId="0" shapeId="0" xr:uid="{0344B98D-190C-BA4E-8739-5ADE52EA66FC}">
      <text>
        <r>
          <rPr>
            <sz val="10"/>
            <rFont val="SimSun"/>
            <charset val="134"/>
          </rPr>
          <t>2PCS 6-27-23 SPC
4PCS 2-22-23 FROM CEBU
4PCS 2-3-23 STF#7621 SPC
4PCS 12-16-22 STF#7389 SPC</t>
        </r>
      </text>
    </comment>
    <comment ref="H780" authorId="0" shapeId="0" xr:uid="{B11BE222-E82D-D14D-BF1E-073637768355}">
      <text>
        <r>
          <rPr>
            <sz val="10"/>
            <rFont val="SimSun"/>
            <charset val="134"/>
          </rPr>
          <t>4PCS 9-12-23 JO#28095 JARVIS
4PCS 5-3-23 JO#25035 MARLO
2PCS 5-1-23 JO#24987 BEL
8PC 4-19-23 STF#2410 SPC</t>
        </r>
      </text>
    </comment>
    <comment ref="G781" authorId="0" shapeId="0" xr:uid="{BDD6AF30-F64A-B84B-A106-288D4796F18D}">
      <text>
        <r>
          <rPr>
            <sz val="10"/>
            <rFont val="SimSun"/>
            <charset val="134"/>
          </rPr>
          <t>4PCS 4-25-23 STF#8039 SPC
4PCS 2-22-23 FROM CEBU
4PCS 1-11-23 STf#7492 SPC
4PCS 10-10-22 STF#7080 SPC</t>
        </r>
      </text>
    </comment>
    <comment ref="H781" authorId="0" shapeId="0" xr:uid="{8C9F2A0B-F1EE-F348-BD15-A0CEBFC37EB8}">
      <text>
        <r>
          <rPr>
            <sz val="10"/>
            <rFont val="SimSun"/>
            <charset val="134"/>
          </rPr>
          <t>2pcs 1-19-24 JO#31207 JARVSI
2PCS 10-16-23 JO#28845 JARVIS
4PCS 4-29-23 JO#24936 JARVIS
4PCS 4-12-23 JO#24260 ROSE
4pcs 3-27-23 STF#2368 SPC
4PCS 12-26-22 JO#20417 BEL</t>
        </r>
      </text>
    </comment>
    <comment ref="G782" authorId="0" shapeId="0" xr:uid="{804D81C4-09F3-4649-963B-64F7196EB7CC}">
      <text>
        <r>
          <rPr>
            <sz val="10"/>
            <rFont val="SimSun"/>
            <charset val="134"/>
          </rPr>
          <t>4PCS 1-11-23 STf#7492 SPC
4PCS 12-16-22 STF#7389 SPC</t>
        </r>
      </text>
    </comment>
    <comment ref="H782" authorId="0" shapeId="0" xr:uid="{382444E5-8877-DF41-9582-931DE50B39AF}">
      <text>
        <r>
          <rPr>
            <sz val="10"/>
            <rFont val="SimSun"/>
            <charset val="134"/>
          </rPr>
          <t>4pcs 1-8-23 JO#20736 ALY</t>
        </r>
      </text>
    </comment>
    <comment ref="G783" authorId="0" shapeId="0" xr:uid="{F227CF2F-E955-0949-A423-EEF776EE8912}">
      <text>
        <r>
          <rPr>
            <sz val="10"/>
            <rFont val="SimSun"/>
            <charset val="134"/>
          </rPr>
          <t>4PCS 4-25-23 STF#8039 SPC
4PCS 1-11-23 STf#7492 SPC</t>
        </r>
      </text>
    </comment>
    <comment ref="H783" authorId="0" shapeId="0" xr:uid="{8A08001E-3DB8-654B-8C38-120604DC147F}">
      <text>
        <r>
          <rPr>
            <sz val="10"/>
            <rFont val="SimSun"/>
            <charset val="134"/>
          </rPr>
          <t>4PCS 7-21-23 DR#73877 SPC
2pcs 3-19-23 JO#22716 ROSE
2PCS 3-17-23 JO#22691 BEL</t>
        </r>
      </text>
    </comment>
    <comment ref="G784" authorId="0" shapeId="0" xr:uid="{6131C3D0-7B25-7346-86D8-64025557275C}">
      <text>
        <r>
          <rPr>
            <sz val="10"/>
            <rFont val="SimSun"/>
            <charset val="134"/>
          </rPr>
          <t>4PCS 11-24-23 DR#74443 SPC
2PCS 9-12-23 DR#72659 LIPA A
8PCS 4-25-23 STF#8039 SPC
4PCS 4-12-23 STF#2390 SPC
1PC 4-12-232 STF#7985 SPC
4PCS 2-22-23 FROM CEBU
4PCS 2-3-23 STF#7621 SPC
4PCS 1-26-23 STF#7575 SPC
4pcs 12-17-22 STF#7396 SPC
2pcs 12-6-22 stf#7339 SPC
2PCS 12-5-22 STF#7329 SPC
4PCS 10-10-22 STF#7080 SPC</t>
        </r>
      </text>
    </comment>
    <comment ref="H784" authorId="0" shapeId="0" xr:uid="{22DD7A80-BCA2-B14C-B69D-708AAEA9F177}">
      <text>
        <r>
          <rPr>
            <sz val="10"/>
            <rFont val="SimSun"/>
            <charset val="134"/>
          </rPr>
          <t>2pcs 1-7-24 DR#73366 SPC OLD DOT
2PCS 12-3-23 JO#29953 LEN
2PCS 9-12-23 JO#28095 ROSE
4pcs 9-2-23 dr#72251 spc
2pcs 5-29-23 STF#2480 SPC
2PCS 5-20-23 JO#25410 ROSE
8PCS 4-12-23 JO#24297 JARVIS
1PC 4-2-23 JO#23833 BEL
6pcs 3-27-23 STF#2368 SPC
2PCS 3-24-23 JO#23069 JARVIS
4PCS 1-25-23 JO#21215 BEL
2pcs 1-10-23 jo#20788 BEL
2PCS 12-29-22 JO#20542 JARVIS
4PCS 12-3-22 JO#19930 JARVIS</t>
        </r>
      </text>
    </comment>
    <comment ref="I784" authorId="0" shapeId="0" xr:uid="{7E1DD1B0-7326-EE48-BC19-F3F7942EEBE4}">
      <text>
        <r>
          <rPr>
            <sz val="10"/>
            <rFont val="SimSun"/>
            <charset val="134"/>
          </rPr>
          <t>2022</t>
        </r>
      </text>
    </comment>
    <comment ref="G785" authorId="0" shapeId="0" xr:uid="{0820FCC3-E97F-564E-8974-8E3A6990A227}">
      <text>
        <r>
          <rPr>
            <sz val="10"/>
            <rFont val="SimSun"/>
            <charset val="134"/>
          </rPr>
          <t>2PCS 6-27-23 STF# LIPA A
1PC 4-25-23 STF#8039 SPC
2PCS 1-16-23 STF#7515 SPC
4PCS 1-11-23 STf#7492 SPC
4PCS 10-10-22 STF#7080 SPC</t>
        </r>
      </text>
    </comment>
    <comment ref="H785" authorId="0" shapeId="0" xr:uid="{E4874809-E080-F842-9A56-C05C031789A8}">
      <text>
        <r>
          <rPr>
            <sz val="10"/>
            <rFont val="SimSun"/>
            <charset val="134"/>
          </rPr>
          <t>2pcs 1-7-24 DR#73366 SPC OLD DOT
2PCS 1-4-24 DR#73353 LIPA A
2PCS 6-27-23 JO#26346 BEL
4PCS 6-1-23 JO#25712 BEL
1PC 4-17-23 JO#24629 BEL
2PCS 1-12-23 JO#20857 BEL
4PCS 12-8-22 JO#200620 MARLO</t>
        </r>
      </text>
    </comment>
    <comment ref="I785" authorId="0" shapeId="0" xr:uid="{6449C56A-6275-344C-B869-938D2117B06B}">
      <text>
        <r>
          <rPr>
            <sz val="10"/>
            <rFont val="SimSun"/>
            <charset val="134"/>
          </rPr>
          <t>2022/2023</t>
        </r>
      </text>
    </comment>
    <comment ref="G786" authorId="0" shapeId="0" xr:uid="{6E6AA68C-0D42-E24F-96B6-6CC9332BBEB7}">
      <text>
        <r>
          <rPr>
            <sz val="10"/>
            <rFont val="SimSun"/>
            <charset val="134"/>
          </rPr>
          <t>IN 1PCS 07/06/24 DR#75226 SPC MASTER
2PCS 4-25-23 STF#8039 SPC
2PCS 2-13-23 STF#7673 SPC
4PCS 1-27-23 STF#7586 SPC
4PCS 1-11-23 STf#7492 SPC</t>
        </r>
      </text>
    </comment>
    <comment ref="H786" authorId="0" shapeId="0" xr:uid="{8F3F5040-1E61-A14C-B643-48C85388A54C}">
      <text>
        <r>
          <rPr>
            <sz val="10"/>
            <rFont val="SimSun"/>
            <charset val="134"/>
          </rPr>
          <t>2pcs 1-7-24 DR#73365 SPC OLD DOT
1PC  9-5-23 JO#27962 BEL
4PCS 5-20-23 JO#25439 MARLO
2PCS 4-17-23 JO24657 BEL
2pcs 3-27-23 STF#2368 SPC
2PCS 2-10-23 JO#21599 JARVIS</t>
        </r>
      </text>
    </comment>
    <comment ref="I786" authorId="0" shapeId="0" xr:uid="{7904ADBE-80DA-E04E-8C9E-1329F2C9E965}">
      <text>
        <r>
          <rPr>
            <sz val="10"/>
            <rFont val="SimSun"/>
            <charset val="134"/>
          </rPr>
          <t>2022</t>
        </r>
      </text>
    </comment>
    <comment ref="G787" authorId="0" shapeId="0" xr:uid="{5DAF90DF-03CA-0642-8DD4-388BD630D84D}">
      <text>
        <r>
          <rPr>
            <sz val="10"/>
            <rFont val="SimSun"/>
            <charset val="134"/>
          </rPr>
          <t>2PCS 11-4-23 DR# SPC 
2PCS 11-4-23 DR#72688 LIPA A
4PCS 3-18-23 STF#7863 SPC</t>
        </r>
      </text>
    </comment>
    <comment ref="H787" authorId="0" shapeId="0" xr:uid="{6CB1A72B-2E29-914E-BC68-EDB958E9B068}">
      <text>
        <r>
          <rPr>
            <sz val="10"/>
            <rFont val="SimSun"/>
            <charset val="134"/>
          </rPr>
          <t>4PCS 11-21-23 JO#29610 JHARVIS</t>
        </r>
      </text>
    </comment>
    <comment ref="G788" authorId="0" shapeId="0" xr:uid="{5D6089B6-72FA-294C-9A12-1C8CEFCA7D90}">
      <text>
        <r>
          <rPr>
            <sz val="10"/>
            <rFont val="SimSun"/>
            <charset val="134"/>
          </rPr>
          <t>4PCS 4-25-23 STF#8039 SPC
4pcs 4-18-23 STF#8006 SPC
4PCS 3-18-23 STF#7863 SPC
4PCS 2-27-23 STF# SPC
4PCS 1-28-23 STF#7588 SPC
4PCS 1-11-23 STf#7492 SPC
1PC 1-3-22 STF#7444 SPC
4PCS 12-16-22 STF#7389 SPC</t>
        </r>
      </text>
    </comment>
    <comment ref="H788" authorId="0" shapeId="0" xr:uid="{336B1CDF-3220-4148-8978-E655D8CD68E2}">
      <text>
        <r>
          <rPr>
            <sz val="10"/>
            <rFont val="SimSun"/>
            <charset val="134"/>
          </rPr>
          <t>OUT 3PCS 04/29/24 DR#75051 SPC KUYA EMMAN
1pc 6-25-23 JO#26142 BEL
4pcs 4-23-23 st002420 spc
2PCS 4-4-23 JO#24118 JARVIS
2PCS 4-3-23 JO#24121 BEL
4pcs 2-26-23 JO#22010 ALY
4PCS 2-1-23 JO#21412 ALY
2PCS 1-26-23 STF#2241 SPC
2pcs 1-23-23 STF#2233 LIPA A
2PCS 1-6-23 JO#20694 BEL
1PC 1-6-23 JO#20697 BEL
1pc 1-5-23 stf#2194 spc
1PC 12-26-22 STF#2171 SITE A</t>
        </r>
      </text>
    </comment>
    <comment ref="G789" authorId="0" shapeId="0" xr:uid="{58C70EA8-5CE1-CA41-822B-D4C544921C80}">
      <text>
        <r>
          <rPr>
            <sz val="10"/>
            <rFont val="SimSun"/>
            <charset val="134"/>
          </rPr>
          <t>4PCS 4-25-23 STF#8039 SPC
4pcs 4-3-23 stf#2375 lipa a
1PC 1-24-23 STF#7559 SPC
1PC 1-11-23 STF#7492 SPC
2PCS 1-5-23 STF#2271 LIPA A
4PCS 1-5-23 STF#915 STC
4PC 1-3-22 STF#7447 SPC
4PCS 12-21-22 STF#2253 SITE A
4PCS 12-16-22 STF#7389 SPC</t>
        </r>
      </text>
    </comment>
    <comment ref="H789" authorId="0" shapeId="0" xr:uid="{F298EE0F-A675-8B40-9E09-0512AEB22127}">
      <text>
        <r>
          <rPr>
            <sz val="10"/>
            <rFont val="SimSun"/>
            <charset val="134"/>
          </rPr>
          <t>4PCS 5-9-23 JO#25169 ROSE
4PCS 4-2-23 JO#238030 BEL
4PCS 3-31-23 STF#2375 SPC
3PCS 1-22-23 JO#21107 JARVIS
2PCS 1-16-23 JO#20910 MARLO
4pcs 1-3-22 jo#20557 ALY
2pc 12-22-22 jo20358 maribel
1PC 12-21-22 JO#20314 ALY
4PC 12-17-22 JO20221 ALY</t>
        </r>
      </text>
    </comment>
    <comment ref="G790" authorId="0" shapeId="0" xr:uid="{90D5F3FB-AA2D-C24F-8734-BF2B1FCE3F5E}">
      <text>
        <r>
          <rPr>
            <sz val="10"/>
            <rFont val="SimSun"/>
            <charset val="134"/>
          </rPr>
          <t>4pcs 4-18-23 STF#8006 SPC
4pcs 3-25-23 STF#2367 LIPA A
4PCS 3-16-23 STF# LIPA A
2PCS 2-8-23 STF#7646 SPC
4PCS 1-27-23 STF#7586 SPC
4PCS 1-11-23 STf#7492 SPC
4PCS 1-5-23 STF#2273 LIPA A
4pcs 12-17-22 STF#7396 SPC
4PCS 12-16-22 STF#7389 SPC</t>
        </r>
      </text>
    </comment>
    <comment ref="H790" authorId="0" shapeId="0" xr:uid="{AEE8519A-94A1-CE4F-ADED-4B0A6593DAF2}">
      <text>
        <r>
          <rPr>
            <sz val="10"/>
            <rFont val="SimSun"/>
            <charset val="134"/>
          </rPr>
          <t>4PCS 5-6-23 JO#25134 JARVIS
4PCS 3-25-23 JO#23381 MARIBEL
4PCS 3-16-23 JO#22653 JARVIS
4PCS 3-11-23 JO#22299 BEL
4PCS 3-1-23 JO#20084 JARVIS
4PCS 2-1-23 JO#21403 ALY
4PCS 1-5-23 S=JO#20637 JARVIS
2PCS 12-29-22 JO#20506 JARVIS
4PCS 12-28-22 STF#2178 SPC</t>
        </r>
      </text>
    </comment>
    <comment ref="G791" authorId="0" shapeId="0" xr:uid="{51C21915-8960-8D4C-8A28-004F8FD7CBF0}">
      <text>
        <r>
          <rPr>
            <sz val="10"/>
            <rFont val="SimSun"/>
            <charset val="134"/>
          </rPr>
          <t>4PCS 4-25-23 STF#8039 SPC
4pcs 1-24-23 STF#7559 SPC</t>
        </r>
      </text>
    </comment>
    <comment ref="H791" authorId="0" shapeId="0" xr:uid="{1AD103B0-7A9E-7B48-8C25-E2238707F757}">
      <text>
        <r>
          <rPr>
            <sz val="10"/>
            <rFont val="SimSun"/>
            <charset val="134"/>
          </rPr>
          <t>4PCS 9-5-23 JO#27947 BEL
4PCS 4-18-23 JO#24670 BEL</t>
        </r>
      </text>
    </comment>
    <comment ref="G792" authorId="0" shapeId="0" xr:uid="{C9752888-6660-9746-BA52-C7BDEED0A44F}">
      <text>
        <r>
          <rPr>
            <sz val="10"/>
            <rFont val="SimSun"/>
            <charset val="134"/>
          </rPr>
          <t xml:space="preserve">4PCS 2-23-23 STF#7720 SPC
1PC 2-10-23 STF#7663 SPC
2PCS 2-4-23 STf#2315 LIPA A
4PCS 1-30-23 STF#7594 SPC
</t>
        </r>
      </text>
    </comment>
    <comment ref="H792" authorId="0" shapeId="0" xr:uid="{A752E526-A0B8-EB42-8A5B-27FBEDF2B7DA}">
      <text>
        <r>
          <rPr>
            <sz val="10"/>
            <rFont val="SimSun"/>
            <charset val="134"/>
          </rPr>
          <t>1PC 6-19-23 STF#2513 LIPA A
3PCS 4-6-23 JO#24176 JARVIS
2pcs 2-10-23 JO#21613 BEL
5PCS 2-4-23 JO#21460 BEL
2PCS 1-30-23 JO#21350 BEL</t>
        </r>
      </text>
    </comment>
    <comment ref="G793" authorId="0" shapeId="0" xr:uid="{C7B31721-A1D2-1A4D-9179-9ADA1B5E197D}">
      <text>
        <r>
          <rPr>
            <sz val="10"/>
            <rFont val="SimSun"/>
            <charset val="134"/>
          </rPr>
          <t>4PCS 11-4-23 DR# LIPA A
1PC 4-25-23 STF#8039 SPC
2PCS 1-25-23 STF#7566 SPC
4PCS 1-11-23 STf#7492 SPC
4PCS 10-10-22 STF#7080 SPC</t>
        </r>
      </text>
    </comment>
    <comment ref="H793" authorId="0" shapeId="0" xr:uid="{5AED479A-A331-E648-82D9-9397BB83ADCC}">
      <text>
        <r>
          <rPr>
            <sz val="10"/>
            <rFont val="SimSun"/>
            <charset val="134"/>
          </rPr>
          <t>4PCS 11-4-23 JO#29291 JARVIS
4PCS 9-12-23 JO#28111 JARVIS
1PC 3-17-23 JIO#22676 ROSE
2PCS 1-23-23 JO#21172 ALY
2PCS 11-17-22 JO#19551 ALY
2PC 11-07-22 JO19266 ALY</t>
        </r>
      </text>
    </comment>
    <comment ref="G795" authorId="0" shapeId="0" xr:uid="{2DEF70BB-29E1-FA42-B8B0-21C1475F2478}">
      <text>
        <r>
          <rPr>
            <sz val="10"/>
            <rFont val="SimSun"/>
            <charset val="134"/>
          </rPr>
          <t>4PCS 2-23-23 STF#7720 SPC</t>
        </r>
      </text>
    </comment>
    <comment ref="H795" authorId="0" shapeId="0" xr:uid="{E30ADAA4-0DCC-A84A-B874-CF174512D445}">
      <text>
        <r>
          <rPr>
            <sz val="10"/>
            <rFont val="SimSun"/>
            <charset val="134"/>
          </rPr>
          <t>4pcs 4-23-23 jo24776 jarvis</t>
        </r>
      </text>
    </comment>
    <comment ref="G796" authorId="0" shapeId="0" xr:uid="{802FE605-0056-C544-BE2F-359B01E5AD51}">
      <text>
        <r>
          <rPr>
            <sz val="10"/>
            <rFont val="SimSun"/>
            <charset val="134"/>
          </rPr>
          <t>4PCS 5-26-23 STF#2438 LIPA A
2pcs 5-19-23 STF#8126 SPC
8PCS 4-25-23 STF#8039 SPC
2PCS 4-4-23 STF#7953 SPC
4PCS 2-10-23 STF#7667 SPC
1PC 2-1-23 STF#7607 SPC
4PCS 12-13-22 STF#7373 SPC
4PCS 12-3-22 STF#7321 SPC</t>
        </r>
      </text>
    </comment>
    <comment ref="H796" authorId="0" shapeId="0" xr:uid="{B2CCB5DB-8B75-7D41-9CED-EDF0F2C8B20C}">
      <text>
        <r>
          <rPr>
            <sz val="10"/>
            <rFont val="SimSun"/>
            <charset val="134"/>
          </rPr>
          <t>4PCS 6-29-23 JO#26310 ROSE
2PCS 5-26-23 JO#25603 BEL
2PCS 5-14-23 JO25305 MARIBEL
4PCS 4-29-23 JO#24963 BBEL
4PCS 4-10-23 JO#24263 BEL
4PCS 2-3-23 STF#2261 LIPA A
4pcs 1-31-23 STF#2254 LIPA A
1PC 1-26-23 STF#2242 LIPA A</t>
        </r>
      </text>
    </comment>
    <comment ref="I796" authorId="0" shapeId="0" xr:uid="{8CF74A33-9CCF-6549-83F7-F0D9B5E1393D}">
      <text>
        <r>
          <rPr>
            <sz val="10"/>
            <rFont val="SimSun"/>
            <charset val="134"/>
          </rPr>
          <t>2022</t>
        </r>
      </text>
    </comment>
    <comment ref="G797" authorId="0" shapeId="0" xr:uid="{CDD683D8-5D47-254E-AD46-2F7EA9FCC69D}">
      <text>
        <r>
          <rPr>
            <sz val="10"/>
            <rFont val="SimSun"/>
            <charset val="134"/>
          </rPr>
          <t>4PCS 9-9-23 DR#74193 SPC
2PCS 6-20-23 spc
4PCS 4-25-23 STF#8039 SPC
4PCS 4-4-23 STF#7953 SPC
2PC 1-5-23 STF#7454 SPC
4PCS 12-13-22 STF#7373 SPC
4PCS 12-3-22 STF#7321 SPC</t>
        </r>
      </text>
    </comment>
    <comment ref="H797" authorId="0" shapeId="0" xr:uid="{E2C89EC9-F448-6C4F-8366-BD4F02AEDEB2}">
      <text>
        <r>
          <rPr>
            <sz val="10"/>
            <rFont val="SimSun"/>
            <charset val="134"/>
          </rPr>
          <t>4PCS 10-20-23 JO#28954 BEL
4PCS 6-20-23 JO#26169 JARVIS
2pcs 6-19-23 STF#2514 LIPA A
4PCS 5-9-23 JO#25201 BEL
4PCS 3-16-23 JO#22663 BEL
4P[CS 2-11-23 JO#21661 BEL
2pcs 12-22-22 jo20337 aly</t>
        </r>
      </text>
    </comment>
    <comment ref="G798" authorId="0" shapeId="0" xr:uid="{1BD1ABFE-D20A-7244-85A4-D7F6B7BE73E9}">
      <text>
        <r>
          <rPr>
            <sz val="10"/>
            <rFont val="SimSun"/>
            <charset val="134"/>
          </rPr>
          <t>4PCS 4-30-23 STF#2408 LIPA A
2pcs 4-18-23 STF#8006 SPC
4PCS 2-23-23 STF#7720 SPC
1PC  2-13-23 STF#7673 SPC
1PC  2-3-23 STF#7621 SPC
4PCS 1-27-23 STF#7586 SPC
4PCS 12-3-22 STF#7323 SPC</t>
        </r>
      </text>
    </comment>
    <comment ref="H798" authorId="0" shapeId="0" xr:uid="{A1EFD0A8-A8B0-B940-A3FE-2F906641B783}">
      <text>
        <r>
          <rPr>
            <sz val="10"/>
            <rFont val="SimSun"/>
            <charset val="134"/>
          </rPr>
          <t>4PCS 4-30-23 JO#24969 BEL
4PCS 4-27-23 JO#24885 MARLO
2PCS 3-9-23 JO#22248 BEL
4PCS 2-21-23 JO#21871 BEL
2PCS 2-2-23 JO#21421 JARVIS
4PCS 1-26-23 STF#2241 SPC</t>
        </r>
      </text>
    </comment>
    <comment ref="G799" authorId="0" shapeId="0" xr:uid="{B93A1CE3-B9F2-CF40-8FEA-652A2CC885A4}">
      <text>
        <r>
          <rPr>
            <sz val="10"/>
            <rFont val="SimSun"/>
            <charset val="134"/>
          </rPr>
          <t>2pcs 5-19-23 STF#8126 SPC
8PCS 4-25-23 STF#8039 SPC
4PCS 4-4-23 STF#7953 SPC
1PC 3-27-23 STF#2368 LIPA A
2PCS 2-10-23 STF#7667 SPC
2PCS 1-12-23 STF#7501 SPC
4PCS 12-3-22 STF#7323 SPC</t>
        </r>
      </text>
    </comment>
    <comment ref="H799" authorId="0" shapeId="0" xr:uid="{669A9761-099F-2147-9870-1023ED4C7DA9}">
      <text>
        <r>
          <rPr>
            <sz val="10"/>
            <rFont val="SimSun"/>
            <charset val="134"/>
          </rPr>
          <t>1PC 9-21-23 DR#72284 SPC
2PCS 9-14-23 JO#28137 BEL
1PC 6-5-23 JO#25785 MARLO
4PCS 5-14-23 JO25299 MARLO
2pcs 5-6-23 STF#2443 SPC
4PCS 4-8-23 JO#24233 JARVIS
1PC 3-27-23 JO#23413 BEL
4PCS 2-23-23 JO#21923 BEL
2PCS 2-1-23 STF#2256 SPC
2pcs 12-22-22 ST002167 LIPA A</t>
        </r>
      </text>
    </comment>
    <comment ref="G800" authorId="0" shapeId="0" xr:uid="{B0F3CB4F-D9F6-144E-86BB-2CD2EC634433}">
      <text>
        <r>
          <rPr>
            <sz val="10"/>
            <rFont val="SimSun"/>
            <charset val="134"/>
          </rPr>
          <t>2pc 8-5-23 DR#74063 SPC
3PCS 4-25-23 STF#8039 SPC
4PCS 3-18-23 STF#7863 SPC</t>
        </r>
      </text>
    </comment>
    <comment ref="H800" authorId="0" shapeId="0" xr:uid="{C5B2C530-E92B-8248-8E14-94C7CB3CBBA1}">
      <text>
        <r>
          <rPr>
            <sz val="10"/>
            <rFont val="SimSun"/>
            <charset val="134"/>
          </rPr>
          <t>1PC 8-31-23 DR#72244 SPC
4PCS 8-5-23 JO#27245 BEL
1pc 5-19-23 STF#2464 SPC
4PCS 4-22-23 JO#24794 BEL
1PC 3-29-23 JO#23447 BEL
2PCS 3-27-23 JO#23417 BEL</t>
        </r>
      </text>
    </comment>
    <comment ref="G801" authorId="0" shapeId="0" xr:uid="{E9A5C34F-FE46-8A40-BFD5-9CA310B178C3}">
      <text>
        <r>
          <rPr>
            <sz val="10"/>
            <rFont val="SimSun"/>
            <charset val="134"/>
          </rPr>
          <t>4PCS 3-18-23 STF#7863 SPC</t>
        </r>
      </text>
    </comment>
    <comment ref="H801" authorId="0" shapeId="0" xr:uid="{0F3D6235-6409-534E-AA70-BC943D13DE8A}">
      <text>
        <r>
          <rPr>
            <sz val="10"/>
            <rFont val="SimSun"/>
            <charset val="134"/>
          </rPr>
          <t>4PCS 5-17-23 STF#2458 LIPA A</t>
        </r>
      </text>
    </comment>
    <comment ref="G802" authorId="0" shapeId="0" xr:uid="{7AF970BD-84DA-604B-AD8D-E50EE7327B1C}">
      <text>
        <r>
          <rPr>
            <sz val="10"/>
            <rFont val="SimSun"/>
            <charset val="134"/>
          </rPr>
          <t>4PCS 4-4-23 STF#7953 SPC
2PCS 3-23-23 STF#7891 SPC</t>
        </r>
      </text>
    </comment>
    <comment ref="H802" authorId="0" shapeId="0" xr:uid="{8F0B0FC2-AE60-F549-A784-9DFB247E1568}">
      <text>
        <r>
          <rPr>
            <sz val="10"/>
            <rFont val="SimSun"/>
            <charset val="134"/>
          </rPr>
          <t>OUT 2PCS 04/29/24 DR#75051 SPC KUYA EMMAN
2PCS 10-20-23 JO#28961 JARVIS
2PCS 4-3-23 JO#22279 JOJO</t>
        </r>
      </text>
    </comment>
    <comment ref="G803" authorId="0" shapeId="0" xr:uid="{12C6C4E8-9227-1743-83DC-6793EB27BB1C}">
      <text>
        <r>
          <rPr>
            <sz val="10"/>
            <rFont val="SimSun"/>
            <charset val="134"/>
          </rPr>
          <t>4PCS 3-23-23 STF#7891 SPC</t>
        </r>
      </text>
    </comment>
    <comment ref="H803" authorId="0" shapeId="0" xr:uid="{8B2BCCF3-7512-B24C-8B0F-49AE65A5FA64}">
      <text>
        <r>
          <rPr>
            <sz val="10"/>
            <rFont val="SimSun"/>
            <charset val="134"/>
          </rPr>
          <t>OUT 2PCS 04/29/24 DR#75051 SPC KUYA EMMAN</t>
        </r>
      </text>
    </comment>
    <comment ref="G804" authorId="0" shapeId="0" xr:uid="{C5D3DA88-9545-E54E-AEBD-085B8F0FAF5A}">
      <text>
        <r>
          <rPr>
            <sz val="10"/>
            <rFont val="SimSun"/>
            <charset val="134"/>
          </rPr>
          <t>2PCS 10-16-23 DR#74238 SPC
4PCS 2-22-23 FROM CEBU
4PCS 1-27-23 STF#7586 SPC
4PCS 12-7-22 STF#7348 SPC</t>
        </r>
      </text>
    </comment>
    <comment ref="H804" authorId="0" shapeId="0" xr:uid="{F5591DF9-F6D9-CB44-9F2F-0D022930EFEB}">
      <text>
        <r>
          <rPr>
            <sz val="10"/>
            <rFont val="SimSun"/>
            <charset val="134"/>
          </rPr>
          <t>4PCS 12-19-23 DR#73979 SPC
2PCS 11-11-23 DR#74265 LIPA A
2PCS 10-14-23 JO#28804 MARLO
4PCS 8-31-23 JO#27830 BEL
4PCS 8-4-23 DR#72203 SPC</t>
        </r>
      </text>
    </comment>
    <comment ref="I804" authorId="0" shapeId="0" xr:uid="{F0E23897-1E61-4148-9682-55B5DD73FC29}">
      <text>
        <r>
          <rPr>
            <sz val="10"/>
            <rFont val="SimSun"/>
            <charset val="134"/>
          </rPr>
          <t>2022</t>
        </r>
      </text>
    </comment>
    <comment ref="H805" authorId="0" shapeId="0" xr:uid="{96010B89-EF3D-3C4B-B4D7-DF1D530F5B53}">
      <text>
        <r>
          <rPr>
            <sz val="10"/>
            <rFont val="SimSun"/>
            <charset val="134"/>
          </rPr>
          <t>2PCS 3-18-23 STF#2348 LIPA A
2PCS 1-28-23 JO21314 MARLO
4pcs 12-27-22 STF#2174 SPC</t>
        </r>
      </text>
    </comment>
    <comment ref="G806" authorId="0" shapeId="0" xr:uid="{9EA6579F-AE42-AE49-AF29-C31DFDDFF639}">
      <text>
        <r>
          <rPr>
            <sz val="10"/>
            <rFont val="SimSun"/>
            <charset val="134"/>
          </rPr>
          <t>4PCS 4-25-23 STF#8039 SPC
2PCS 4-17-23 STF#2396 LIPA A
4PCS 3-18-23 STF#7863 SPC
2PCS 2-1-23 STF#7607 SPC
4PCS 1-11-23 STF#7482 SPC
4PCS 12-10-22 STF#2131 SPC</t>
        </r>
      </text>
    </comment>
    <comment ref="H806" authorId="0" shapeId="0" xr:uid="{284EC9EC-57B9-4E4B-BF51-B830323AE1D4}">
      <text>
        <r>
          <rPr>
            <sz val="10"/>
            <rFont val="SimSun"/>
            <charset val="134"/>
          </rPr>
          <t>4pcs 1-7-24 DR#73366 SPC OLD DOT
2PCS 4-17-23 JO#24648 JARVIS
4PCS 4-11-23 JO#24301 MARLO
2PCS 1-28-23 JO21314 MARLO
4pcs 12-27-22 STF#2174 SPC</t>
        </r>
      </text>
    </comment>
    <comment ref="I806" authorId="0" shapeId="0" xr:uid="{3BBFE458-7E0F-174B-A2AE-3C39BC0813AB}">
      <text>
        <r>
          <rPr>
            <sz val="10"/>
            <rFont val="SimSun"/>
            <charset val="134"/>
          </rPr>
          <t>2022</t>
        </r>
      </text>
    </comment>
    <comment ref="G807" authorId="0" shapeId="0" xr:uid="{45ED2D57-1328-7D45-8618-C78E68CA34D3}">
      <text>
        <r>
          <rPr>
            <sz val="10"/>
            <rFont val="SimSun"/>
            <charset val="134"/>
          </rPr>
          <t>4PCS 2-23-23 STF#7720 SPC</t>
        </r>
      </text>
    </comment>
    <comment ref="H807" authorId="0" shapeId="0" xr:uid="{BC2448AA-372B-CA4A-968A-BB8C915C4830}">
      <text>
        <r>
          <rPr>
            <sz val="10"/>
            <rFont val="SimSun"/>
            <charset val="134"/>
          </rPr>
          <t>2PCS 5-6-23 STF#2444 SPC
2PCS 5-4-23 JO#25057 MARLO</t>
        </r>
      </text>
    </comment>
    <comment ref="G808" authorId="0" shapeId="0" xr:uid="{50227380-955D-7049-B226-49ECE9B5C809}">
      <text>
        <r>
          <rPr>
            <sz val="10"/>
            <rFont val="SimSun"/>
            <charset val="134"/>
          </rPr>
          <t>4PCS 6-6-23 STf#2446 LIPA A
2PCS 4-25-23 STF#8039 SPC
4PCS 12-16-22 STF#7389 SPC</t>
        </r>
      </text>
    </comment>
    <comment ref="H808" authorId="0" shapeId="0" xr:uid="{0F245DD4-011A-6947-B939-C010D42E0FF3}">
      <text>
        <r>
          <rPr>
            <sz val="10"/>
            <rFont val="SimSun"/>
            <charset val="134"/>
          </rPr>
          <t>3PCS 10-3-23 DR#72300 SPC
4PCS 6-6-23 JO#25809 JARVIS
1PC 5-2-23 JO#25007 JARVIS
2PCS 3-25-23 JO#23080 ROSE</t>
        </r>
      </text>
    </comment>
    <comment ref="G809" authorId="0" shapeId="0" xr:uid="{A7D0D56A-C490-994E-ADC5-C7EEB30267AF}">
      <text>
        <r>
          <rPr>
            <sz val="10"/>
            <rFont val="SimSun"/>
            <charset val="134"/>
          </rPr>
          <t>2PC 12-27-23 DR#73319 LIPA A
4PCS 1-30-23 STF#7594 SPC</t>
        </r>
      </text>
    </comment>
    <comment ref="H809" authorId="0" shapeId="0" xr:uid="{3C20D2FB-D91C-AE43-9B61-7A52056B55DD}">
      <text>
        <r>
          <rPr>
            <sz val="10"/>
            <rFont val="SimSun"/>
            <charset val="134"/>
          </rPr>
          <t>4PCS 12-27-23 JO#30622 MARLO
2PCS 4-4-23 JO#24135 BEL</t>
        </r>
      </text>
    </comment>
    <comment ref="I809" authorId="0" shapeId="0" xr:uid="{D9BC14A7-A628-D046-8AB3-96D8EBF46209}">
      <text>
        <r>
          <rPr>
            <sz val="10"/>
            <rFont val="SimSun"/>
            <charset val="134"/>
          </rPr>
          <t>2022</t>
        </r>
      </text>
    </comment>
    <comment ref="G810" authorId="0" shapeId="0" xr:uid="{DA274875-3174-044D-AB94-C0D8E40CF5AB}">
      <text>
        <r>
          <rPr>
            <sz val="10"/>
            <rFont val="SimSun"/>
            <charset val="134"/>
          </rPr>
          <t>2PCS 3-27-23 STf#2366 SPC
4PCS 1-11-23 STF#7482 SPC
4PCS 12-19-22 STF#7403 SPC</t>
        </r>
      </text>
    </comment>
    <comment ref="H810" authorId="0" shapeId="0" xr:uid="{ADA7C1E8-49C0-A745-A3FF-E0552F2E40D3}">
      <text>
        <r>
          <rPr>
            <sz val="10"/>
            <rFont val="SimSun"/>
            <charset val="134"/>
          </rPr>
          <t>2pcs 4-24-23 jo24831 jarvis
2pcs 4-24-23 st002422 lipa a
4PCS 2-10-23 JO#21605 ALY
4PCS 1-5-23 STF#2192 SPC</t>
        </r>
      </text>
    </comment>
    <comment ref="G811" authorId="0" shapeId="0" xr:uid="{A309BC2C-0743-664E-8E36-50DE9A90C0F0}">
      <text>
        <r>
          <rPr>
            <sz val="10"/>
            <rFont val="SimSun"/>
            <charset val="134"/>
          </rPr>
          <t>2PCS 4-25-23 STF#8039 SPC
4PCS 3-23-23 STF#7891 SPC
4PCS 2-22-23 FROM CEBU
4PCS 1-27-23 STF#7586 SPC
4PCS 1-14-23 STF#7511 SPC
4PCS 12-6-22 STF#7339 SPC</t>
        </r>
      </text>
    </comment>
    <comment ref="H811" authorId="0" shapeId="0" xr:uid="{2A7BD950-CA01-6E4A-9D48-90EF7F02736D}">
      <text>
        <r>
          <rPr>
            <sz val="10"/>
            <rFont val="SimSun"/>
            <charset val="134"/>
          </rPr>
          <t>2PCS 8-24-23 JO#27707 MARLOI
1PC 8-8-23 DR#72207 LIPA A
1PC 7-11-23 stf#2553 lipa a
4PCS 4-27-23 JO#24884 MARLO
2PCS 2-24-23 JO#21928 BEL
4PCS 1-19-23 JO#21055 JARVIS
4PCS 1-11-23 JO#20834 MARLO</t>
        </r>
      </text>
    </comment>
    <comment ref="G812" authorId="0" shapeId="0" xr:uid="{75910504-BADE-3B41-B1DB-1BFE26E1D573}">
      <text>
        <r>
          <rPr>
            <sz val="10"/>
            <rFont val="SimSun"/>
            <charset val="134"/>
          </rPr>
          <t>4pcs 4-18-23 STF#8006 SPC
4PCS 3-27-23 STF#7901 SPC</t>
        </r>
      </text>
    </comment>
    <comment ref="H812" authorId="0" shapeId="0" xr:uid="{B7B30008-6028-FE42-83B4-14B9A84A4CEA}">
      <text>
        <r>
          <rPr>
            <sz val="10"/>
            <rFont val="SimSun"/>
            <charset val="134"/>
          </rPr>
          <t>OUT 4PCS 07/10/24 DR#75135-36 SPC KUYA HACKET
OUT 2PCS 06/15/24 DR#75108 SPC SERVICE
2PCS 5-6-23 JI#25109 BEL
4PCS 3-27-23 JO#22745 MARICAR</t>
        </r>
      </text>
    </comment>
    <comment ref="G813" authorId="0" shapeId="0" xr:uid="{9D9B85F4-8EFC-7D4C-8C74-F444C054DE8F}">
      <text>
        <r>
          <rPr>
            <sz val="10"/>
            <rFont val="SimSun"/>
            <charset val="134"/>
          </rPr>
          <t>8PCS 4-25-23 STF#8039 SPC
4PCS 4-13-23 STF# LIAP A
2PCS 4-4-23 STF#7953 SPC
2PCS 3-23-23 STF#7891 SPC
2pcs 2-24-23 STF#7730 SPC
4PCS 2-22-23 FROM CEBU
4PCS 2-11-23 STF#7672 SPC
4PCS 1-30-23 STF#7594 SPC
4PCS 1-11-23 STF#7482 SPC
4PCS 12-28-22 STf#7435 SPC
2pcs 12-27-22 STF#7429 SPC
4PCS 12-16-22 STF#7389 SPC
4PCS 12-7-22 STF#7348 SPC</t>
        </r>
      </text>
    </comment>
    <comment ref="H813" authorId="0" shapeId="0" xr:uid="{BE5E5AE4-F9BC-114B-B2D0-197F66CBB0AE}">
      <text>
        <r>
          <rPr>
            <sz val="10"/>
            <rFont val="SimSun"/>
            <charset val="134"/>
          </rPr>
          <t>5PCS 1-9-24 DR#73372 SPC OLD DOT
2PCS 7-1-23 STF#2529 LIPA A
1PC 6-13-23 JO#25995 JARVIS
4PCS 4-13-23 JO#24315 MARIBEL
4PCS 4-8-23 JO#24199 BEL
2PCS 3-27-23 JO#23423 BEL
2PCS 3-18-23 JO#22702 BEL
2PCS 2-23-23 JO#21920 ALY
4pcs 2-11-23 jo21666 maribel
4pcs 2-10-23 st002275 lipa a
4PCS 1-13-23 STF#2209 LIPA A
8PCS 1-7-23 STF#2198 STC
2PCS 12-26-22 JO#20424 ALY
4PCS 12-8-22 JO#200619 MARLO</t>
        </r>
      </text>
    </comment>
    <comment ref="I813" authorId="0" shapeId="0" xr:uid="{B136E2C0-AE1B-9943-B75D-8FBADED574C1}">
      <text>
        <r>
          <rPr>
            <sz val="10"/>
            <rFont val="SimSun"/>
            <charset val="134"/>
          </rPr>
          <t>2022</t>
        </r>
      </text>
    </comment>
    <comment ref="G814" authorId="0" shapeId="0" xr:uid="{9F7170F2-21EB-BC4E-9E7C-CAFEA26B40C4}">
      <text>
        <r>
          <rPr>
            <sz val="10"/>
            <rFont val="SimSun"/>
            <charset val="134"/>
          </rPr>
          <t>1PC  1-27-23 STF#7586 SPC
4PCS 12-16-22 STF#7389 SPC</t>
        </r>
      </text>
    </comment>
    <comment ref="H814" authorId="0" shapeId="0" xr:uid="{50086E6F-04A0-C14D-BFE3-600093E9D780}">
      <text>
        <r>
          <rPr>
            <sz val="10"/>
            <rFont val="SimSun"/>
            <charset val="134"/>
          </rPr>
          <t>4PCS 1-9-24 DR#73372 SPC OLD DOT
1pc 1-5-23 warranty jo#19764 approved by boss sam</t>
        </r>
      </text>
    </comment>
    <comment ref="I814" authorId="0" shapeId="0" xr:uid="{B52C4B85-BCB5-4A4D-9F3C-C104B447A97E}">
      <text>
        <r>
          <rPr>
            <sz val="10"/>
            <rFont val="SimSun"/>
            <charset val="134"/>
          </rPr>
          <t>2022</t>
        </r>
      </text>
    </comment>
    <comment ref="G817" authorId="0" shapeId="0" xr:uid="{3B5C2C32-2715-BE46-A0BF-47C44887BC3E}">
      <text>
        <r>
          <rPr>
            <sz val="10"/>
            <rFont val="SimSun"/>
            <charset val="134"/>
          </rPr>
          <t xml:space="preserve">IN 5PCS 01.20.26 DR79985 SPC SERVICE
IN 5PCS 12.29.25 DR#79928 SPC
SERVICE
IN 5PCS 10.31.25 DR#79853-54  HACKET
IN 5PCS 9.23.25 DR#79610 SPC 
IN 4PCS 9.8.25 DR#79086 SPC SERVICE
IN 6PCS 8.9.25 DR#79004 SPC BRY
IN 6PCS 5.13.25 DR#77724 SPC ROI
IN 6PCS 4.30.25 DR#77693 SPC HACKET
</t>
        </r>
      </text>
    </comment>
    <comment ref="H817" authorId="0" shapeId="0" xr:uid="{E81C8AA5-09AC-7A42-865D-715D6845E9BA}">
      <text>
        <r>
          <rPr>
            <sz val="10"/>
            <rFont val="SimSun"/>
            <charset val="134"/>
          </rPr>
          <t>02.05.26
54913 2PCS ALY
54914 2PCS ALY
54915 2PCS ALY
1-22-26
2 PCS 54407 ALY
1-13-26
2 PCS 54106 ALY
11.17.25
52384 1PC ALY
11-15-25
2 PCS 52332 ALY
11-14-25
2 PCS 52273 ALY 
10-11-25
2 PCS 51345 ALY
1 PC 51343 ALY
10.4.25
51113 2PCS ALY
9.18.25
50655 2PCS ALY
50657 2PCS ALY
8-23-25
2 SETS 49893 ALY
8-18-25
2 PCS 49737 ALY 
8-12-25
2 SETS 49542 ALY
6-1-25
2 PCS 46996 ALY
5-31-25
1 PC 46994 ALY
5-16-25
2 PCS 46414 ALY
5-16-25
1 PC 46413 ALY 
5.625
46058 2PCS ALY
46051 2PCS ALY
5.3.25
45956 2PCS ALY</t>
        </r>
      </text>
    </comment>
    <comment ref="G826" authorId="0" shapeId="0" xr:uid="{9A6CE10D-DBFD-3C45-B3A6-72354A943AB3}">
      <text>
        <r>
          <rPr>
            <sz val="10"/>
            <rFont val="SimSun"/>
            <charset val="134"/>
          </rPr>
          <t>1PC 4-3-23 STF#7946 SPC</t>
        </r>
      </text>
    </comment>
    <comment ref="H826" authorId="0" shapeId="0" xr:uid="{7E8F684D-2D2C-1D45-8823-4DE1AADB8813}">
      <text>
        <r>
          <rPr>
            <sz val="10"/>
            <rFont val="SimSun"/>
            <charset val="134"/>
          </rPr>
          <t>1PC 4-6-23 JO#24147 MARLO</t>
        </r>
      </text>
    </comment>
    <comment ref="M829" authorId="0" shapeId="0" xr:uid="{2F35366A-B78B-CC49-AC7B-6E26ABFFE928}">
      <text>
        <r>
          <rPr>
            <sz val="10"/>
            <rFont val="SimSun"/>
            <charset val="134"/>
          </rPr>
          <t>QB UPDATED 02/07/2026</t>
        </r>
      </text>
    </comment>
    <comment ref="G831" authorId="0" shapeId="0" xr:uid="{98C78D6D-8DC2-B04F-A0DE-CD67B65D2FC1}">
      <text>
        <r>
          <rPr>
            <sz val="10"/>
            <rFont val="SimSun"/>
            <charset val="134"/>
          </rPr>
          <t xml:space="preserve">
8PCS 1-8-23 STF#7460 SPC
2PCS 9-3-22 STF#6872 SPC
7PCS 7-19-22 STF#6654 SPC</t>
        </r>
      </text>
    </comment>
    <comment ref="H831" authorId="0" shapeId="0" xr:uid="{19AAFE4C-5216-934C-89D3-E68528701D2A}">
      <text>
        <r>
          <rPr>
            <sz val="10"/>
            <rFont val="SimSun"/>
            <charset val="134"/>
          </rPr>
          <t>4PCS 1-25-23 JO#21202 ALY
1-PC 1-16-23 JO#20974 ALY
2PCS 1-14-23 JO#20936 ALY
2PCS 1-12-23 JO#20848 ALY
2PCS 1-12-23 JO#20845 ALY
2PC 9-6-22 JO17893 ALY
10PCS 7-23-22 JO#16755 SALES</t>
        </r>
      </text>
    </comment>
    <comment ref="G832" authorId="0" shapeId="0" xr:uid="{5700812C-8C00-B444-976E-49980E375DE8}">
      <text>
        <r>
          <rPr>
            <sz val="10"/>
            <rFont val="SimSun"/>
            <charset val="134"/>
          </rPr>
          <t>IN 5PCS 04/06/24 DR#74896 SPC
2PCS 1-19-23 GY PHILS 450410832</t>
        </r>
      </text>
    </comment>
    <comment ref="H832" authorId="0" shapeId="0" xr:uid="{695E4C19-70DE-F14C-91B4-0437F6919C5C}">
      <text>
        <r>
          <rPr>
            <sz val="10"/>
            <rFont val="SimSun"/>
            <charset val="134"/>
          </rPr>
          <t>OUT 04/04/24 33242 5PCS SALES ROSE
2PCS 1-21-23 JO#21131 BATELEC</t>
        </r>
      </text>
    </comment>
    <comment ref="G833" authorId="0" shapeId="0" xr:uid="{1B2B2A8A-0761-BB49-A182-256263BD94C5}">
      <text>
        <r>
          <rPr>
            <sz val="10"/>
            <rFont val="SimSun"/>
            <charset val="134"/>
          </rPr>
          <t>IN 4PCS 1-31-25 DR#77010 SPC
----------------------------------------------
4PCS 11-29-23 DR#74502 SPC
2PCS 10-6-23 DR#73745 SPC
2PCS 9-18-23 DR#73703 SPC
2PCS 9-13-23 DR#74203 SPC
4pcs 7-14-23 DR#73250 SPC
4PCS 5-29-23 STF#8178 SPC
4PCS 2-1-23 STF#7608 SPC
2PCS 12-13-22 STF#7376 SPC
4PCS 9-27-22 STF#6994 SPC
1PC 8-9-22 STF#6751 SPC
4PCS 7-15-22 STF#6640 SPC
2pcs 6-28-22 stf#6556 spc
1PC 2-14-22 STF#5912 SPC
2PC 11-28-2021 ST005590 SPC</t>
        </r>
      </text>
    </comment>
    <comment ref="H833" authorId="0" shapeId="0" xr:uid="{5B7C6473-1E60-BE4D-8CD4-BDD476ACFFDF}">
      <text>
        <r>
          <rPr>
            <sz val="10"/>
            <rFont val="SimSun"/>
            <charset val="134"/>
          </rPr>
          <t>2-3-25
42314 4pcs sales aly
----------------------------------------------
1PC 1-10-24 DR#73376 SPC
2PCS 12-21-23 JO#30422 ROSE
1PC 11-30-23 JO#29873 JARVIUS
2pcs 10-30-23JO#29174 BEL
2PCS 9-19-23 JO#28264 ROSE
2pcs 9-13-23 JO#28142 JARVIS
4PCS 7-15-23 JO#26773 BEL
2PCS 6-5-23 STF#2489 SPC
2PCS 5-30-23 JO#25674 ROSE
2pcs 3-27-23 STF#2366 SPC
2PCS 2-9-23 JO#21602 ALY
2PCS 12-19-22 JO#20282 ALY
5pcs 11-28-22 STF#2096 SPC
1PC 11-4-22 STF#2051 SPC
1PC 10-10-22 STF#2010 SPC
1PC 10-1-22 STF#1998 SPC
1PC 7-28-22 JO17002 1PC SALES
2PC 6-28-22 JO16331 ALY
1PC 02-15-2022 JO13542 JARVIS
2PCS 11-29-21 JO#12164 MARIBEL</t>
        </r>
      </text>
    </comment>
    <comment ref="G834" authorId="0" shapeId="0" xr:uid="{412E2E2D-8E29-B04F-900D-385FB1AB8E88}">
      <text>
        <r>
          <rPr>
            <sz val="10"/>
            <rFont val="SimSun"/>
            <charset val="134"/>
          </rPr>
          <t>IN 4PCS 02.02.26 DR81283 CT GLOBAL (4,114)</t>
        </r>
      </text>
    </comment>
    <comment ref="H834" authorId="0" shapeId="0" xr:uid="{602BD5ED-8868-CC46-BE8D-9D15D901E1DC}">
      <text>
        <r>
          <rPr>
            <sz val="10"/>
            <rFont val="SimSun"/>
            <charset val="134"/>
          </rPr>
          <t>02.17.26
55166 2PCS ALY
02.05.26
54822 2PCS ALY</t>
        </r>
      </text>
    </comment>
    <comment ref="G835" authorId="0" shapeId="0" xr:uid="{DF587EC3-604E-E64B-A0B5-9E6459C4698F}">
      <text>
        <r>
          <rPr>
            <sz val="10"/>
            <rFont val="SimSun"/>
            <charset val="134"/>
          </rPr>
          <t>IN 3PCS 01.22.26 DR79992 SPC RONNIE
IN 4PCS 01.17.26 DR79978 SPC YONG 
IN 4PCS 01.03.26 DR79941 SPC HACKET
IN 3PCS 12.10.25. DR#79732 SPC
IN 4PCS 12.6.25 DR78679 LIPA A
IN 4PCS 11.01.25 DR#79851 SPC HACKET
IN 4PCS 9.30.25 DR#79627 SPC HACKET
IN 2PCS 9.22.25 DR#78705 LIPA A
IN 2PCS 9.16.25 DR#78644 LIPA A
IN 6PCS 8.2.25 DR#78827 SPC HACKET
IN 4PCS 8.2.25 DR#78583 LIPA A
IN 2PCS 8.1.25 DR#78817 SPC EMMAN
IN 1PCS 7.28.25 DR#78804 SPC SERVICE
IN 1PCS 7.26.25 DR#78573 LIPA A
IN 4PCS 7.16.25 DR#788868 SPC HACKET
IN 4PCS 6.10.25 DR#78783 SPC HACKET
IN 4PCS 1-28-25 DR#77007 SPC KUYA HACKET
IN 3PCS 4.15.24 DR#77664 SPC HACKET
IN 1PCS 4.14.25 DR#77661 SPC ROI
IN 1PC 4.11.25 DR#77658 SPC HACKET
IN 4PCS 3.28.25 DR#77368 SPC
IN 4PCS 3.20.25 DR#77437 SPC EMMAN
IN 4PCS 3.10.25 DR#77407 SPC
IN 4PCs 3.7.25 DR#77050 SPC HACKET
IN 4PCS 2.28.25 DR#77039 SPC HACKET 
IN 1PCS 2.12.25 DR#77016 SPC
IN 4PCS 1-19-25 DR#76892 SPC SERVICE
IN 4PCS 1-14-25 DR#76885 SPC KUYA MIKE
IN 4PCS 1-10-25 DR#76880 SERVICE
----------------------------------------------
IN 4PCS 12-30-24 DR#76863 SPC KUYA RONNIE
IN 4PCS 11/02/24 DR#76697 SPC KUYA HACKET
IN 6PCS 10/16/24 DR#76657 SPC
IN 3PCS 10/13/24 DR#76649 SPC BRIAN
IN 2PCS 10/12/24 DR376642 SPC BRIAN
IN 2PCS 09/30/24 DR#76098 LIPA A
IN 6PCS 10/02/24 DR#76625 SPC KUYA HACKET
IN 8PCS 10/01/24 DR#18975 SPC KUYA HACKET
1N 1PC 9-27-24 DR#76611 SPC KUYA HACKET
IN 4PCS 09/25/24 DR#76094 LIPA A
IN 4PCS 09/19/24 DR#76535 SPC MASTER
IN 2PCS 09/17/24 DR#76087 LIPA A
IN 4PCS 09/12/24 DR#76532 SPC KUYA HACKET
IN 8PCS 08/30/24 DR#76559 SPC
KUYA BOYONG
IN 8PCS 08/15/24 DR#76521 SPC SERVICE
IN 1PC 08/13/24 DR#76071 LIPA A
IN 2PCS 08/03/24 DR#76507 SPC BOSS JUN
IN 4PCS 08/02/24 DR# SPC KUYA HACKET
IN 4PCS 07/04/24 DR#75223 SPC KUYA HACKET
IN 1PCS 06/25/24 DR#75195 SPC KUYA BOYONG
IN 12PCS 05/09/24 DR#75031 SPC MASTER
IN 2PCS 05/06/24 DR#75021 SPC MASTER
IN 4PCS 05/03/24 DR#75017 SPC
IN 4PCS 04/21/24 DR#SP0049 SPC
IN 4PCS 04/15/24 DR#SP0023 SPC
IN  4PCS 04/10/24 DR#74900 SPC
IN 1PC 03/25/24 DR#73436A LIPA A
IN 4PCS 03/21/24 DR#74875 SPC
IN 2PCS 03/10/24 DR#73422 LIPA A
IN 03/02/2024 5PCS DR#73417 LIPA A
1PC 2-8-24 DR# LIPA A
8pcs 2-1-24 DR#74639 SPC
2PC 1-30-24 DR#73344 LIPA A
4PCS 1-8-24 DR#74604 SPC
12PCS 12-30-23 DR# SPC
8PCS 12-7-23 DR#74516 SPC
4PCS 11-29-23 DR#74502 SPC
4PCS 11-24-23 DR#74443 SPC
4PCS 11-22-23 DR#74438 SPC
6PCS 10-24-23 DR#74354 SPC
4pcs 10-13-23 DR#74232 SPC
4PCS 10-3-23 DR#73743 SPC
2PCS 9-29-23 STA CRUZ
4pcs 9-18-23 DR#73703 SPC
4PCS 9-9-23 DR#74193 SPC
8PCS 8-25-23 DR#74164 SPC
4PCS 8-23-23 DR#74158 SPC
5PCS 5-5-23 STF#8078 CP
2PCS 4-27-23 STF#2406 LIPA A
4PCS 4-5-23 STf#7965 SPC
2PCS 2-20-23 STF#7708 SPC
4PCS 2-2-23 STF#7612 SPC
2PCS 1-23-23 STF#7551 SPC
2PCS 1-20-23 STF# SPC
4PCS 12-27-22 STF#7429 SPC
2PCS 12-19-22 STF#7403 SPC
6PCS 12-9-22 STF#7357 SPC
8PCS 12-3-22 STF#7321 SPC
4PCS 10-26-22 STF#7159 SPC
4PCS 9-22-22 STF#6962 SPC
2pcs 9-21-22 STf#6959 SPC
2PCS 9-9-22 STF#6904 SPC
8PCS 8-18-22 STF#6800 SPC
4PCS 8-6-22 STF#6739 SPC
2PCS 8-2-22 STF#6720 SPC
4PCS 7-31-22 STF#6715  SPC
2PCS 7-7-22 STF#6598 SPC
4PCS 6-27-22 STF#6547 SPC
4PCS 6-22-22 STF#6519 SPC
2pcs 6-11-22 STF#6481 SPC
4PCS 6-4-22 STF#6447 SPC
4PCS 5-21-22 STF#6360 SPC
4PC 04-18-2022 ST006214 SPC
2PC 04-18-2022 ST006213 SPC
4PC 03-26-2022 ST006111 SPC
8PC 03-26-2022 ST006111 SPC
2PC 03-21-22 ST006089 SPC
4PC 03-03-2022 ST006000 SPC
2PC 02-25-2022 ST001794 LIPA A
2PC 02-18-22 ST005935 SPC
4PCS 2-18-22 STF#1782 A
4PCS 2-11-22 STF#5904 SPC
4PC 01-08-2022 ST005749 SPC
4PCS 1-3-21 STF#5715 SPC
2PCS 12-8-21 STF#5630 2PC SPC
2PCS 11-30-21 STF#5599 SPC</t>
        </r>
      </text>
    </comment>
    <comment ref="H835" authorId="0" shapeId="0" xr:uid="{E0940FE2-1ADD-A649-93EE-9775735D3945}">
      <text>
        <r>
          <rPr>
            <sz val="10"/>
            <rFont val="SimSun"/>
            <charset val="134"/>
          </rPr>
          <t>02.09.26
54985 4PCS BEL
01.18.26
54346 1PCS ALY
01.17.26
54295 2PCS ALY
1-9-26
4PCS 53988 ALY
12-11-25
3 PCS 53090 JARVIS 
12-6-25
4 PCS 52769 ROSE
12-5-25
4 PCS 52949 JARVIS
10-8-25
4 PCS 51234 ALY
9-22-25
2 PCS 50812 MARIBEL
9-16-25
4 PCS 50567 ALY
9-11-25
2 PCS 50433 MARIBEL
9-8-25
2 PCS 50363 MARLO
8-19-25
2 PCS 49780 MARIBEL
8.2.25
49292 4PCS ALY
49280 2PCS ALY
7-25-25
4 PCS 48987 JARVIS
6-12-25
4 PCS 47328 ALY
5-23-25
4 PCS 46769 JARVIS
OUT 3PCS 4.28.25 DR#77619 LIPA A
4.26.25
45628 1PC ALY
4-11-25
3 PCS OUT JO45215 ALY
4-8-25
2 PCS OUT JO45102 ALY
4 PCS OUT 3-26-25 JO44449 MARIBEL
4 PCS OUT 3-10-25 JO43884 JARVIS
3.10.25 4PCS DR#77144 LIPA A
2 PCS OUT 3-6-25 JO43648 ALY
2 PCS OUT 3-6-25 JO43647 ALY
4 PCS OUT 2-19-25 JO43092 JARVIS
OUT 1PC 1-27-25 DR#76949 SNR
2PC OUT 1/14/25 JO41726 ROSE
4PC OUT 1/12/25 JO41686 ALY
----------------------------------------------
12-31-24
41286 4pcs sales jarvis
11/18/2024	39743 2pcs sales
OUT 2PCS 11/15/24 JO39828 MARIBEL
11/09/24
39427 4pcs sales bel
OUT 2PCS 11/01/24
JO38980 JARVIS
OUT 2PCS 10/29/24
JO#38894 MARIBEL 
10/25/24
38708 2PCS SALES ALY
10/17/2024	38587 2PCS JARVIS
10/15/24
38497 2PCS SALES JARVIS
10/12/24
38358 2PC SALES DAHLIA
38408 1PC SALES BEL
10/04/24
38173 4PCS SALES DAHLIA
10/03/24
38182 4PCS SALES JARVIS
09/30/24
38037 2PCS SALES ROSE
09/27/24
37920 4PCS SALES ROSE
09/25/24
37914 2PCS SALES ROSE
09/24/24
37899 4PCS SALES BEL
09/17/24
37731 4PCS SALES ROSE
09/16/24
37699 1PC SALES BEL
37700 4pcs sales bel
OUT 4PCS 09/10/24 DR#75404 LIPA A KUYA ROI
08/16/24
36810 4PCS SALES JARVIS
08/15/24
36760 4PCS SALES ROSE
08/13/24
36775 1PC SALES
08/10/24
36657 2PCS SALES ROSE
08/09/24
36653 2PCS SALES ROSE
08/02/24
36485 2PCS SALES JARVIS
out 4pcs 7-12-24 jo#35924 dahlia
OUT 07/03/24 35648 4PCS SALES  ROSE
OUT 6PCS 06/13/24 DR#75107 SPC 
OUT 06/12/24 35063 2PCS SALES LEN
OUT 06/04/24 34820 1PCS SALES BEL
OUT 06/01/24 34764 4PCS SALES ROSE
OUT 05/30/24 34713 2PCS SALES BEL 
5/17/2024 2PCS 34364 OFFICE
OUT 05/02/24 33899 2PCS SALES JHONLY
OUT 4PCS 04/26/24 DR#74795 SPC
OUT 04/17/24 33564 4PCS SALES BEL
1PC 4-8-24 33250 ROSE
OUT 2PCS 03/23/24 DR#74735 SPC PICK UP KUYA HACKET
OUT 03/22/24 32893 2PCS SALES JHONLY
OUT 3/10/24 32559 4PCS SALES JARVIS
OUT 03/05/2024 32396 2PCS SALES JARVIS
OUT 03/04/2024 32455 2PCS SALES BEL
OUT 03/02/2024 3374 5PCS SALES MARLO
OUT 2/27/24 32271 1PCS SALES
OUT 02-18-2024
8PCS SPC MASTER PICK UP
1PC 2-8-24 JO#31737 SAELS
4PCS 2-8-24 JO#31736 SAELS
4PCS 2-7-24 31724 SALES
out 01-30-2024
31450 2pcs sales jarvis (from site a no in)
OUT 01-21-2024
31255 4PCS SALES
4PCS 1-6-24 JO#30856 JOHNLY
4PCS 1-6-24 JO#308947 JARVIS
4PCS 1-4-24 DR#73355 LIPA A
1PC 1-2-23 DR#73996 SPC
2pcs 12-18-23 DR#73977 SPC
2PCS 12-15-23 JO#30297 JACKO
1PC 11-30-23 JO#29873 JARVIUS
2pcs 10-30-23JO#29174 BEL
2PCS 9-19-23 JO#28264 ROSE
2pcs 9-13-23 JO#28142 JARVIS
4PCS 7-15-23 JO#26773 BEL
2PCS 6-5-23 STF#2489 SPC
2PCS 5-30-23 JO#25674 ROSE
2pcs 3-27-23 STF#2366 SPC
2PCS 2-9-23 JO#21602 ALY
2PCS 12-19-22 JO#20282 ALY
5pcs 11-28-22 STF#2096 SPC
1PC 11-4-22 STF#2051 SPC
1PC 10-10-22 STF#2010 SPC
1PC 10-1-22 STF#1998 SPC
1PC 7-28-22 JO17002 1PC SALES
2PC 6-28-22 JO16331 ALY
1PC 02-15-2022 JO13542 JARVIS
2PCS 11-29-21 JO#12164 MARIBEL</t>
        </r>
      </text>
    </comment>
    <comment ref="G837" authorId="0" shapeId="0" xr:uid="{6366DBE3-A0D0-E94C-90EE-04E29659874C}">
      <text>
        <r>
          <rPr>
            <sz val="10"/>
            <rFont val="SimSun"/>
            <charset val="134"/>
          </rPr>
          <t xml:space="preserve">IN 1PCS 6.24.25 DR#77766 SPC HACKET
IN 3PCS 05.02.25 DR#78023 LIPA A
IN 2PCS 3.19.25 DR#77501 LIPA A HACKET
IN 4PCS 11/08/24 DR#76593 SPC KUYA ROI
IN 4PCS 10/25/24 DR#76678 SPC KUYA MIKE
IN 4PCS 10-18-24 DR#76661 SPC KUYA HACKET
IN 2PCS SALES 2/29/24 DR#74842 SPC
12PCS 12-30-23 DR# SPC
4pcs 12-5-23 DR#74513 SPC
2PC 8-25-23 DR#74164 SPC
4PCS 2-1-23 STF#7607 SPC
4PCS 9-5-22 STF#6875 SPC
4PCS 9-2-22 STF#6867 SPC
4PC 03-26-2022 ST006111 SPC
2PCS 2-15-22 STF#5915 SPC
2PCS 1-27-22 STF#5823 SPC
4PC 01-20-2022 ST005793 SPC
</t>
        </r>
      </text>
    </comment>
    <comment ref="H837" authorId="0" shapeId="0" xr:uid="{9596986A-8A23-7E4A-B262-63EC2C7F2CD9}">
      <text>
        <r>
          <rPr>
            <sz val="10"/>
            <rFont val="SimSun"/>
            <charset val="134"/>
          </rPr>
          <t>5-2-25
45973 4PCS BEL
3-27-25
2 PCS OUT JO44636 JARVIS
3.15.25
44125 2PCS JARVIS
2 PCS OUT 3-8-25 JO43852 JARVIS
OUT 4PCS 11/20/24 JO39785 JARVIS
OUT 2PCS 06/10/24 DR#75105 SPC SERVICE
OUT 05/16/24 34349 2PCS SALES  JARVIS
OUT 4PCS 04/17/24 DR#74776-77 SPC KUYA HACKET
OUT 2/29/24 32303 4PCS SALES ROSE ANN
out 02-18-2024
32005 2pcs sales jarvis
4PCS 1-4-24 DR#73355 LIPA A
2pcs 10-27-23 DR#73940 SPC
4PCS 2-22-23 STF#2305 SPC
4PCS 11-25-22 STF#2091 SPC
2pcs 7-29-22 stf#1898 spc
8PCS 7-9-22 STF#1870 SPC
2PCS 7-29-22 STF#1897 SPC
2PCS 2-11-22 JO#13476 ALY
2PC 01-24-2022 JO#13098 ALY</t>
        </r>
      </text>
    </comment>
    <comment ref="G838" authorId="0" shapeId="0" xr:uid="{FF783C75-723B-4E44-AEB4-AC7B43F9F766}">
      <text>
        <r>
          <rPr>
            <sz val="10"/>
            <rFont val="SimSun"/>
            <charset val="134"/>
          </rPr>
          <t>4PCS 5-21-22 STF#6360 SPC</t>
        </r>
      </text>
    </comment>
    <comment ref="H838" authorId="0" shapeId="0" xr:uid="{48DC40B4-94B8-1845-865B-DB333CB0F9C0}">
      <text>
        <r>
          <rPr>
            <sz val="10"/>
            <rFont val="SimSun"/>
            <charset val="134"/>
          </rPr>
          <t>4PCS 5-28-22 JO#15662 SALES</t>
        </r>
      </text>
    </comment>
    <comment ref="G839" authorId="0" shapeId="0" xr:uid="{8122D419-B0A9-874D-A00F-6F8F27C4DCC2}">
      <text>
        <r>
          <rPr>
            <sz val="10"/>
            <rFont val="SimSun"/>
            <charset val="134"/>
          </rPr>
          <t xml:space="preserve">IN 2PCS 1-16-25 DR#76890 SPC KUYA EMMAN
---------------------------------------------
IN 4PCS 11/08/24 DR#76593 SPC KUYA ROI
IN 4PCS 10-18-24 DR#76661 SPC KUYA HACKET
12PCS 12-30-23 DR# SPC
4pcs 12-5-23 DR#74513 SPC
4PCS 11-24-23 DR#74443 SPC
1pc 2-7-23 STF#7645 SPC
4PCS 2-2-23 STF#7612 SPC
1PC 9-30-22 STF#7021 SPC
2PCS 9-15-22 STF#6935 SPC
4PCS 9-3-22 STF#6872 SPC
4PCS 5-21-22 STF#6360 SPC
4PCS 4-28-22 STF#6253 SPC
4PCS 4-28-22 STF#6251 SPC
2PC 04-05-2022 ST001855 LIPA A
</t>
        </r>
      </text>
    </comment>
    <comment ref="H839" authorId="0" shapeId="0" xr:uid="{AD0A4F8C-DBAE-F14A-97AB-430539F2439F}">
      <text>
        <r>
          <rPr>
            <sz val="10"/>
            <rFont val="SimSun"/>
            <charset val="134"/>
          </rPr>
          <t xml:space="preserve">9-9-25
2 PCS 50404 JARVIS
2PC OUT 1/11/25 JO41676 MARIBEL 
10/20/2024	38618 4PCS SLAES
OUT 2PCS 04/17/24 DR#74776-77 SPC KUYA HACKET
OUT 6PCS 03/27/24 DR#74741 SPC PICK UP KUYA HACKET
1PC 2-21-24 32055 MARLO
4PCS 2-10-24 31769 SALES
1PC  12-22-23 DR#73984 SPC
4PCS 11-30-23 DR#74297 SPC
4PCS 2-7-23 JO21542 BEL
1PC 2-7-23 JO21533 ALY
4PCS  10-12-22 STF#2013 SPC
1PC 9-29-22 JO18424 ALY
2PCS 9-13-22 JO#18078 JARVIS
4PCS 8-18-22 STF#1935 SPC
2PC 08-17-22 JO#17399 JARVIS 
4PCS 8-8-22 STF#1910 SPC
2PCS 6-27-22 STf#1844 SPC
2PC 04-05-2022 JO14554 SALES
</t>
        </r>
      </text>
    </comment>
    <comment ref="G840" authorId="0" shapeId="0" xr:uid="{FC74C9AF-AFD0-9C42-B2D0-7BAEBBA7CFF9}">
      <text>
        <r>
          <rPr>
            <sz val="10"/>
            <rFont val="SimSun"/>
            <charset val="134"/>
          </rPr>
          <t xml:space="preserve">IN 5PCS 04/06/24 DR#74896 SPC
</t>
        </r>
      </text>
    </comment>
    <comment ref="G841" authorId="0" shapeId="0" xr:uid="{1C29DF3E-9F09-2848-8489-D18DD872A864}">
      <text>
        <r>
          <rPr>
            <sz val="10"/>
            <rFont val="SimSun"/>
            <charset val="134"/>
          </rPr>
          <t>IN 1PCS 12-14-24 DR#76852 SPC KUYA ALWIN
IN 4PCS 10-18-24 DR#76661 SPC KUYA HACKET
IN 4PCS 05/03/24 DR#75017 SPC
IN 2PCS 04/26/24 DR#75007 SPC
1PC 3-1-24 dr#73415 lipa a
4PCS 11-24-23 DR#74443 SPC
4PCS 10-24-23 DR#74354 SPC
1pc 10-10-23 DR#73750 SPC
4PCS 10-3-23 DR#73743 SPC
2PCS 9-28-23 COMETS
1PC 9-28-23 DR#73730 SPC
3PCS 9-20-23 DR#73710 SPC
4PCS 9-18-23 DR# SPC
5pcs 9-18-23 DR#73703 SPC
6PCS 9-16-23 DR# SPC
2PCS 9-8-23 DR#74195 SPC
4PCS 9-8-23 DR#72656 LIPA A
4PCS 8-29-23 DR#74167 SPC
6PCS 8-24-23 DR#74160 SPC
2PCS 7-3-23 SPC
2PCS 6-7-23 SPC
14PCS 6-5-23 STF#8200 SPC
2PCS 5-29-23 STF#8177 SPC
10PCS 5-29-23 STF#8173 SPC
1PC  5-22-23 STF#8141 SPC
5pcs 5-19-23 STF#8126 SPC
IN 2PCS 4-24-23 STF#8026 SPC
10PCS 4-22-23 STF#8025 SPC
6PCS 4-5-23 STf#7965 SPC
4PCS 3-27-23 STF#7901 SPC
4pcs 3-7-23 STF#7802 SPC
2PCS 2-28-23 STF#7759 SPC
4PCS 2-25-23 STF#2338 LIPA A
4PCS 2-25-23 stf#7741 spc
2PCS 2-17-23 STF#7693 SPC
4PCS 2-2-23 STF#7612 SPC
2PCS 1-26-23 STF#7570 SPC
8pcs 1-20-23 STF#7538 SPC
8PCS 12-3-22 STF#7321 SPC
4pcs 11-26-22 NSTF#7287 SPC
2pcs 11-15-22 stf#7240 SPC
4pcs 11-12-22 stf#7230 spc
2pcs 11-11-22 stf#7225 spc
16PCS 10-26-22 STF#7159 SPC
8PCS 9-15-22 STF#6935 SPC
4PCS 9-14-22 STF#6921 SPC
4pcs 8-29-22 stf#6852 spc
8PCS 8-24-22 STF#6824 SPC
4PCS  8-13-22 STF#6775 SPC
6PCS 8-8-22 STf#6747 SPC
4PCS 7-22-22 STF#6674 SPC
2pcs 7-22-22 STF#2047 SITE A
5PCS 7-20-22 STf#6668 SPC
7PCS 7-7-22 STf#6594 SPC
12PCS 6-17-22 STF#6497 SPC
4PCS 6-14-22 STF#6489 SPC
4pcs 6-11-22 STF#6481 SPC
2PCS 6-7-22 STF#1962 SITE A
4PCS 6-3-22 STF#6443 SPC
4PCS 6-4-22 stf#1959 site a
4PCS 5-21-22 STF#6360 SPC
4PC 05-13-2022 ST006330 SPC
2PCS 5-12-22 STF#685 STC
3PCS 5-11-22 STF#1916 LIPA A
1PC 5-11-22 STF#6321 SPC
1PC 05-10-2022 ST001911 LIPA A
4PC 05-06-2022 ST001906 LIPA A
4PCS 4-28-22 STF#6253 SPC
8PCS 4-28-22 STF#6251 SPC
12PC 03-26-2022 ST006111 SPC
4PC 03-25-22 ST006110 SPC
6PC 03-10-22 ST006042 SPC
10PC 02-25-2022 ST005977 SPC
4PC 02-23-22 ST001789 LIPA A
4PCS 1-29-22 STF#5833 SPC
4PCS 12-24-21 STF#5700 SPC
2PCS 12-10-21 STF#5640 SPC
2PCS 11-18-21 STF#5542  SPC
4PCS 11-11-21 STF#5511  SPC</t>
        </r>
      </text>
    </comment>
    <comment ref="H841" authorId="0" shapeId="0" xr:uid="{E5848089-BDC2-3B48-B7F1-A6D1BD4A57D7}">
      <text>
        <r>
          <rPr>
            <sz val="10"/>
            <rFont val="SimSun"/>
            <charset val="134"/>
          </rPr>
          <t>9-7-25
2 PCS 50322 ALY
12-12-24
40622 1PC SALES BEL
OUT 1PC 06/03/24 DR#75095 SPC KUYA EMAN
OUT 3PCS 05/23/24 STC KUYA ALDWIN
OUT 04/26/24 33803 2PCS SALES LEN
OUT 1PCS 03/23/24 DR#74735 SPC PICK UP KUYA HACKET
3pcs 12-22-23 DR#73984 SPC
1PC 12-14-23 Jo#30225 JACKO
4pcs 10-27-23 DR#73940 SPC
4PCS 2-16-23 STF#2288 S&amp;R
6PCS 11-17-22 STF#2073 SPC
2PCS 11-10-22 JO#19370 ALY
4PC 6-12-22 JO15987 SALES
4PCS 5-26-22 JO#15597 SALES
4pcs 4-11-22 stf#1725 spc</t>
        </r>
      </text>
    </comment>
    <comment ref="G842" authorId="0" shapeId="0" xr:uid="{F1E65657-5AFF-F740-BA60-57BE37B59DE7}">
      <text>
        <r>
          <rPr>
            <sz val="10"/>
            <rFont val="SimSun"/>
            <charset val="134"/>
          </rPr>
          <t>IN 2PCS 01.20.26 DR79985 SPC SERVICE
IN 8PCS 10/26/24 DR#76680 SPC KUYA HACKET
8pcs 1-16-24 dr#74515 spc
2PCS 1-15-24 DR#73333 LIPA A
8pcs 1-6-24 DR#74603 SPC
12PCS 12-30-23 DR# SPC
4PCS 11-27-23 DR#74447 SPC
4PCS 11-24-23 DR#74443 SPC
8PCS 11-8-23 DR#74383 SPC
10PCS 11-6-23 DR#74374 SPC
4PCS 10-24-23 DR#74354 SPC
1pc 10-10-23 DR#73750 SPC
4PCS 10-3-23 DR#73743 SPC
2PCS 9-28-23 COMETS
1PC 9-28-23 DR#73730 SPC
3PCS 9-20-23 DR#73710 SPC
4PCS 9-18-23 DR# SPC
5pcs 9-18-23 DR#73703 SPC
6PCS 9-16-23 DR# SPC
2PCS 9-8-23 DR#74195 SPC
4PCS 9-8-23 DR#72656 LIPA A
4PCS 8-29-23 DR#74167 SPC
6PCS 8-24-23 DR#74160 SPC
2PCS 7-3-23 SPC
2PCS 6-7-23 SPC
14PCS 6-5-23 STF#8200 SPC
2PCS 5-29-23 STF#8177 SPC
10PCS 5-29-23 STF#8173 SPC
1PC  5-22-23 STF#8141 SPC
5pcs 5-19-23 STF#8126 SPC
IN 2PCS 4-24-23 STF#8026 SPC
10PCS 4-22-23 STF#8025 SPC
6PCS 4-5-23 STf#7965 SPC
4PCS 3-27-23 STF#7901 SPC
4pcs 3-7-23 STF#7802 SPC
2PCS 2-28-23 STF#7759 SPC
4PCS 2-25-23 STF#2338 LIPA A
4PCS 2-25-23 stf#7741 spc
2PCS 2-17-23 STF#7693 SPC
4PCS 2-2-23 STF#7612 SPC
2PCS 1-26-23 STF#7570 SPC
8pcs 1-20-23 STF#7538 SPC
8PCS 12-3-22 STF#7321 SPC
4pcs 11-26-22 NSTF#7287 SPC
2pcs 11-15-22 stf#7240 SPC
4pcs 11-12-22 stf#7230 spc
2pcs 11-11-22 stf#7225 spc
16PCS 10-26-22 STF#7159 SPC
8PCS 9-15-22 STF#6935 SPC
4PCS 9-14-22 STF#6921 SPC
4pcs 8-29-22 stf#6852 spc
8PCS 8-24-22 STF#6824 SPC
4PCS  8-13-22 STF#6775 SPC
6PCS 8-8-22 STf#6747 SPC
4PCS 7-22-22 STF#6674 SPC
2pcs 7-22-22 STF#2047 SITE A
5PCS 7-20-22 STf#6668 SPC
7PCS 7-7-22 STf#6594 SPC
12PCS 6-17-22 STF#6497 SPC
4PCS 6-14-22 STF#6489 SPC
4pcs 6-11-22 STF#6481 SPC
2PCS 6-7-22 STF#1962 SITE A
4PCS 6-3-22 STF#6443 SPC
4PCS 6-4-22 stf#1959 site a
4PCS 5-21-22 STF#6360 SPC
4PC 05-13-2022 ST006330 SPC
2PCS 5-12-22 STF#685 STC
3PCS 5-11-22 STF#1916 LIPA A
1PC 5-11-22 STF#6321 SPC
1PC 05-10-2022 ST001911 LIPA A
4PC 05-06-2022 ST001906 LIPA A
4PCS 4-28-22 STF#6253 SPC
8PCS 4-28-22 STF#6251 SPC
12PC 03-26-2022 ST006111 SPC
4PC 03-25-22 ST006110 SPC
6PC 03-10-22 ST006042 SPC
10PC 02-25-2022 ST005977 SPC
4PC 02-23-22 ST001789 LIPA A
4PCS 1-29-22 STF#5833 SPC
4PCS 12-24-21 STF#5700 SPC
2PCS 12-10-21 STF#5640 SPC
2PCS 11-18-21 STF#5542  SPC
4PCS 11-11-21 STF#5511  SPC</t>
        </r>
      </text>
    </comment>
    <comment ref="H842" authorId="0" shapeId="0" xr:uid="{71F9B78B-CD59-1741-ABE9-EB5C571D8095}">
      <text>
        <r>
          <rPr>
            <sz val="10"/>
            <rFont val="SimSun"/>
            <charset val="134"/>
          </rPr>
          <t>OUT 1PCS 2.20.25 DR#77120 SPC ALWIN
02-08-2025 OUT
2PCS JO42677 DAHLIA
11/27/24
40110 2pcs sales jarvis
11/24/24
40015 2PCS SALES DAHLIA
11/16/2024	39838 2PCS SALES
09/25/24
37916 2PCS SALES ROSE
OUT 03/12/24 1PCS SALES 32637 BEL
2PCS 2-10-24 DR#74669 SPC
OUT 2-1-24 JO#31575 2PCS SALES
OUT 01-27-2024
31386 2PCS SALES ROSE
1/23/2024 31323 2pcs sa;es
2PCS 1-15-24 JO#31105 BEL
OUT 01-13-2023
31037 2PCS SALES
OUT 1-14-24 JO#31047 4PCS SALES
2PCS 1-12-2024 31005 ROSE
2PCS 1-5-24 JO#30768 JARVIS
2PCS 1-4-24 JO#30685 ROSE
4PCS 1-3-24 DR#73999 LIPA A
9pcs 12-22-23 DR#73984 SPC
4pcs 12-16-23 DR#73974 SPC
2PCS 12-13-23 JO#30212 ROSE
2PCS 12-6-23 JO#30022 OFFICE
1PC 11-27-23 JO#29808 JARVIS
2PCS 11-25-23 JO#29781 ROSE
6PCS 11-21-23 JO#29616;29617;29615;29614 ROSE
4pcs 10-27-23 DR#73940 SPC
4pcs 10-20-23 DR#73931 SPC
2PCS 10-5-23 JO#28599 JARVIS
2PCS 9-28-23 JO#28429 BEL
2PC 9-20-23 JO#28268 ROSE
1PC 9-20-23 JO#28269 ROSE
4PC 9-20-23 JO#28267 ROSE
1PC 9-20-23 JO#28270 ROSE
2PCS 9-19-23 JO#28291 MARLO
2PCS 9-18-23 JO#28261 ROSE
4PCS 9-15-23 JO#28174 ROSE
2PCS 9-16-23 JO#28177 OFFICE
1PC 9-14-23 JO#28155 BEL
2PCS 9-12-23 JO#28093 ROSE
1PC 9-12-23 JO#28094 ROSE
2PCS 9-11-232 JO#28086 JARVIS
2PCS 9-11-23 JO#28009 ROSE
2PCS 9-8-23 JO#28007 SALES
2PCS 9-7-23 JO#27977 JARVIS
2PCS 8-25-23 JO#27727 ROSES
2PCS 8-25-23 JO#27728 ROSE
2pcs 7-3-23 JO#26472 ROSE
4PCS 6-27-23 STF#2522 SPC
2pcs 6-5-23 stf#2491  lipa a
10PCS 5-30-23 JO#25674 ROSE
2PCS 5-30-23 JO#25673 ROSE
10PCS 5-29-23 JO#25619 ROSE
4PCS 5-26-23 JO#25568 ROSE
5PCS 5-25-23 JO#25566 ROSE
1pc 5-21-23 jo#25465 bel
2pcs 4-24-23 jo24812 maribel
10PCS 4-22-23 JO#24785 ROSE
4PCS 4-19-23 JO#24724 ROSE
2PCS 3-29-23 STF#2371 SPC
2PCS 3-10-23 STf#2330 SPC
4PCS 3-7-23 JO#22212 MARLO
2PCS 3-6-23 JO#22079 ALY
2PCS 3-2-23 JO#22077 ALY
2PCS 2-28-23 JO#22015 ALY
2PCS 2-28-23 JO#22016 ALY
3PCS 2-27-23 JO#22012 ALY
2pcs 2-25-23 JO#22004 ALY
2PCS 2-16-23 JO#21765 JARVIS
10PCS 1-27-23 JO#21267 ALY
2PCS 1-25-23 JO#21225 JARVIS
2PCS 1-24-23 JO#21174 ALY
4PCS 1-21-23 JO21132 OFFICE
4PCS 1-21-23 JO21133 OFFICE
2PCS 1-19-23 JO#21045 ALY
4PCS 12-13-22 STF#2146 SPC
4PCS 12-10-22 STF#2131 SPC
4PCS 11-28-22 JO#19785 OFFICE
2pcs 11-16-22 jo#19524 ALY
4PCS 11-12-22 JO#19399 JARVIS
2PCS 11-11-22 JO#19421 OFFICE
4PCS 11-10-22 STF#2064 SPC
5PC 11-5-22 JO19232 ALY
2PC 11-5-22 JO19255 MARIBEL
1PC 11-4-22 STF#2049 SITE A
4PCS 11-4-22 STF#2051 SPC
2PCS 10-7-22 JO#18616 OFFICE
2PC 10-01-22 JO18501 JARVIS
6PC 9-28-22 JO#18406 ALY 
2PC 9-17-22 JO18181 OFFICE
2PCS 9-12-22 JO#18061 BEL
4PCS 9-10-22 JO#17989 ALY
2PCS 9-09-22 JO#17972 JARVIS
2PC 9-6-22 JO17893 ALY
4PC 9-6-22 JO17892 ALY
4PCS 9-5-22 JO#17840 ALY
4PCS 8-29-22 JO#17697 JARVIS
2PCS 8-17-22 JO#17406 ALY
2PC 8-13-22 JO17331 JARVIS
2PCS 8-6-22 STF#1907 SPC
4PCS 8-4-22 JO#17147 ALY
4PCS 7-23-22 JO#16755 SALES
2PCS 7-22-22 JO#16846 SALES
2PC 7-19-22 JO16779 JARVIS
2PC 7-16-22 JO16745 JARVIS
3PC 7-15-22 JO16723 ALY
4PC 7-9-22 JO16579 JARVIS
3PCS 7-5-22 JO#16478 SALES
4PC 7-2-22 JO16384 ALY
2PC 6-25-22 JO16256 SALES
4PC 6-12-22 JO15995 SALES
4PCS 6-8-22 jo#15819 sales
4PC 6-7-22 JO#15817 SALES
2pcs 6-4-22 JO#15782 SALES
2pcs 6-4-22 JO#15226 SALES
2pcs 6-4-22 JO#15787 SALES
4PCS 6-3-22 JO#15718 SALES
4PC 05-17-2022 JO15356 SALES
2PC 05-13-2022 JO15344 SALES
4pcs 5-11-22 JO#15309 SALES
2PC 05-10-2022 JO15294 SALES
4PC 05-07-2022 JO15217 SALES
4PC 05-07-2022 JO15218 SALES
5PC 05-06-2022 JO15210 SALES
2PC 04-30-2022 JO15070 SALES
1PC 04-26-2022 ST001748 SPC
2PC 04-26-2022 JO15006 SALES
2PC 04-18-2022 JO14806 SALES
3PC 04-07-2022 JO14602 SALES
4PCS 3-29-22 JO#14364 OFFICE
4PC 03-25-2022 JO14308 SALES
6PC 03-11-2022 JO13996 SALES 
11PC 03-08-2022 JO13835 BATELEC
5PC 02-23-2022 JO13694 SALES
2PC 02-19-2022 JO13589 SALES
4PC 01-29-2022 JO13265 ALY 
2PC 12-11-2021 JO#12371 LIZA
2PCS 11-29-21 JO#12160 ELRICK
4PCS - 11/02/2021 JO11554 LIZA</t>
        </r>
      </text>
    </comment>
    <comment ref="G843" authorId="0" shapeId="0" xr:uid="{365C3CE7-D509-2C43-A8DF-C4B82B3C8A53}">
      <text>
        <r>
          <rPr>
            <sz val="10"/>
            <rFont val="SimSun"/>
            <charset val="134"/>
          </rPr>
          <t>IN 4PCS 02.18.26 DR80762 SPC HACKET
IN 8PCS 02.10.26 DR80737 SPC ALWIN
IN 4PCS 02.05.26 DR80481 BIÑAN RONNIE
IN 2PCS 02.06.26 DR80191 LIPA A
IN 4PCS 12.29.25 DR#79921-22 SPC HACKET
IN 8PCS 12.3.25 DR#79716 SPPC HACKET
IN 2PCS 10.28.25 DR#75846 STC
IN 2PCS 10.28.25 DR#79695 SPC BRY
IN 4PCS 10.28.25 DR#78745 LIPA A
IN 2PCS 10.27.25 DR#77834 BIÑAN
IN 4PCS 10.5.25 DR#79642 SPC RONNIE
IN 8PCS 9.23.25 DR#79607 SPC
IN 4PCS 9.13.25 DR#79093 SPC HACKET
IN 6PCS 9.3.25 DR#79070 SPC KUYA RONNIE
IN 4PCS 8.30.25 DR#79058 SPC SERVICE
IN 4PCS 8.28.25 DR#78617 LIPA A
IN 4PCS 8.16.25 DR#78607 LIPA A
IN 4PCS 8.13.25 DR#79013 SPC HACKET
IN 2PCS 8.1.25 DR#78582 LIPA A
IN 4PCS 8.1.25 DR#78817 SPC EMMAN
IN 6PCS 7.28.25 DR#78802 SPC BRY
IN 6PCS 7.9.25 DR#78855 SPC BRY
IN 7PCS 6.21.25 DR#77762 SPC HACKET
IN 4PCS 6.18.25 DR#77754 SPC HACKET
IN 2PCS 6.13.25 DR#78788 SPC MIKE
IN 10PCS 6.10.25 DR#78783 SPC HACKET
IN 4PCS 5.9.25 DR#77716 SPC RO
IN 1PC 4.29.25 DR#77691 SPC SERVCE
IN 4PCS 4.25.25 DR#78008 LIPA A
IN 4PCS 4.15.24 DR#77664 SPC HACKET
IN 4PCS 3.20.25 DR#77437 SPC EMMAN
IN 4PCS 3.14.25 DR#77416 SPC HACKET
IN 10PCS 2.28.25 DR#77039 SPC HACKET
IN 6PCS 2.26.25 DR#77037 SPC MIKE
IN 12PCS 12-19-24 DR#76856 SPC KUYA MIKE
IN 8PCS 12-18-24 DR#76855 SPC KUYA MIKE
IN 20PCS 12-07-24 DR#75743 SPC
IN 2PCS 11/02/24 DR#76699 SPC
IN 7PCS 10-18-24 DR#76661 SPC KUYA HACKET
IN 2PCS 09/19/24 DR#76090 LIPA A
IN 2PCS 09/12/24 DR#76532 SPC KUYA HACKET
IN 4PCS 08/15/24 DR#76521 SPC KUYA HACKET
IN 2PCS 08/11/24 DR#76519 SPC MASTER
IN 4PCS 08/02/24 DR# SPC KUYA HACKET
IN 6PCS 07/04/24 DR#75223 SPC KUYA HACKET
IN 8PCS 06/11/24 DR#75326 SPC KUYA MIKE 
IN 4PCS 06/15/24 REF#75623 STC
IN 3PCS 06/06/24 DR#75177 SPC KUYA HACKET
IN 4PCS 05/28/24 DR#73484 LIPA A
IN 16PCS 04/13/24 DR#SPS0021 SPC KUYA EMAN
IN 8PCS 03/23/24 DR#74625 SPC
IN 4PCS 3-21-24 DR#74878 SPC
IN 4PCS 03/11/24 DR#73424 LIPA A
IN 4PCS 03/02/2024 DR#73417 LIPA A 
8PCS  2-1-24 DR#74639 SPC</t>
        </r>
      </text>
    </comment>
    <comment ref="H843" authorId="0" shapeId="0" xr:uid="{3E850AAC-AF1B-2D48-8EF3-95E387D3F221}">
      <text>
        <r>
          <rPr>
            <sz val="10"/>
            <rFont val="SimSun"/>
            <charset val="134"/>
          </rPr>
          <t>02.26.26
55523 2PCS ALY
55520 2PCS ALY
55524 1PC ALY
02.25.26
55365 1PC ALY
55363 2PCS ALY
55364 2PCS ALY
02.14.26
553192PCS ALY
02.12.26
54969 2PCS ALY
55022 2PCS ALY
02.05.26
54845 2PCS ALY
54848 2PCS ALY
54847 4PCS ALY
1-27-26
4 PCS 54572 ALY
12.24.25
53490 2PCS ROSE
12-20-25
2 PCS 53468 JARVIS
OUT 2PCS 11.15.25 DR#80016 LIPA A ROI
10-28-25
2 PCS OUT 51836 ALY
2 PCS OUT 51834 ALY
2 PCS  51840 ALY
2 PCS 51839 ALY
1 PC 51845 ALY
10-27-25
5 PCS 51752 ROSE
10-11-25
1 PC 51344 ALY
10-10-25
2 PCS 51278 ALY
10-9-25
2 PCS 51271 ALY
10-6-25
2 PCS 51153 ALY 
10-1-25
2 PCS 51010 ALY
9-29-25
2 PCS 50985 MARIBEL
9.18.25
50654 1PC ALY
9-10-25
2 PCS 50396 ALY
9-9-25
2 PCS 50190 ROSE
9.5.25
50252 2PCS ALY (AMBTEL)
9.1.25
50161 2PCS JARVIS
8-28-25
2 PCS 49997 ALY
8 PCS JO#50043-50045-50042-50044 ALY
OUT 4PCS 8.25.25 DR#78430 LIPA A
8-16-25
2 PCS 49718 JARVIS
8-14-25
2 PCS 49597 ALY
8.9.25
49536 2PCS JARVIS
8.7.25
49400 2PCS ALY
8.2.25
49278 2PCS ALY
49293 2PCS ALY
7.27.25
49077 4PCS ALY
7-11-25
2 PCS 48547 ALY
6-30-25
5 PCS OUT JO#48123-48122-48110-48121 ALY
6.19.25
47804 2PCS ALY
47805 2PCS ALY
6-18-25
2 PCS 47639 ALY
6-16-25
2 PCS 47534 ALY
6-16-25
2 PCS 47533 ALY
6.13.25
47391 2PCS ALY
6-12-25
2 PCS 47329 ALY
6-11-25
2 PCS 47297 ALY
5-26-25
2 PCS 46868 JARVIS 
5.6.25
46059 2PCS ALY
46060 2PCS ALY
46061 2PCS ALY
4.30.25
45862 2PCS ALY
45863 2PCS ALY
OUT 2PCS 4.24.25 DR#77616 SPC HACKET
3-27-25
2 PCS OUT JO44568 ALY
3.18.25 2PCS DR#77163 LIPA A
4 PCS OUT 3-12-25 JO43893
 ROSE
2-28-25
6 PCS OUT JO43310 ROSE
4PCS OUT 2-26-25 JO43408 ALY
1 PC OUT 2-26-25 JO43407 ALY
1 PC OUT 2-26-25 JO43406 ALY
2PCS OUT 2-26-25 JO43405 ALY
2 PCS OUT 2-26-25 JO43404 ALY
2 PCS OUT 2-14-25 JO42895 MARIBEL
02-08-2025 OUT
2PCS JO42677 DAHLIA
1-31-25
42363 4PCS ROSE
14PC  OUT 1/21/25 JO41976 ALY
4PC OUT 1/19/25/ JO41944 DALIA
1-17-25
41873 2PCS SALES JARVIS
12-21-24
40951 4PCS SALES JARVIS
12-09-24
40430 4pcs sales dalia
OUT 2PCS 11/02/2024
JO39122 MARIBEL SALES(SPC)
8PCS 10-18-24 DR#75453 SPC KUYA HACKET
09/25/24
37916 2PCS SALES ROSE
09/19/24
37771 2PCS SALES JARVIS
09/17/24
37744 1PC SALES BEL
09/14/24
37642 2PCS SALES DAHLIA
09/11/24
37557 4PCS SALES ROSE
09/05/24
37377 2PCS SALES MARLO
08/07/24
36622 2PCS SALES JARVIS
07/27/24
36312 2pcs sales dahlia
36322 4pcs sales jarvis
07/19/24
36098 2PCS SALES BEL
07/13/24
35887 2PCS SALES ROSE
OUT 07/02/24 35611 2PCS SALES JARVIS
OUT 07/01/24 35537 2PCS SALES  ROSE
OUT 06/15/24 35116 4PCS SALES  MARLO
OUT 06/15/24 35142 4PCS SALES  MARIA
OUT 05/28/24 34653 4PCS SALES BEL 
OUT 1PCS 05/21/24 DR#75077 SPC KUYA HACKET
5/17/20254 1PC 34365 OFFICE
OUT 05/14/24 34249 2PCS SALES JARVIS
OUT 05/24/24 34016 2PCS SALES ROSE
OUT 05/03/24 33948 2PCS SALES JARVIS
OUT 04/26/24 33822 2PCS SALES  ROSE
OUT 04/17/24 33340 2PCS SALES ROSE
OUT 04/04/24 32241 4PC SALES ROSE
OUT 03/30/24 33037 4PCS SALES BEL
4PCS JO#32882 C/O BATELEC RESERVED
OUT 03/02/2024 32336 2PCS SALES ROSE
2PCS 2-26-24 DR# SPC
2PCS 2-24-24 32221 LEN
4PCS 2-24-24 32192 ROSE
4pcs 2-21-24 DR#74683 SPC</t>
        </r>
      </text>
    </comment>
    <comment ref="G844" authorId="0" shapeId="0" xr:uid="{A313AE13-E4E9-2A48-98DF-CC02C3D887FC}">
      <text>
        <r>
          <rPr>
            <sz val="10"/>
            <rFont val="SimSun"/>
            <charset val="134"/>
          </rPr>
          <t xml:space="preserve">
IN 6PCS 10-18-24 DR#76661 SPC KUYA HACKET
IN 4PCS 06/11/24 DR#75326 SPC KUYA MIKE 
4PCS 3-21-24 DR#
4PCS 12-11-23 DR#74520 SPC
4PCS 12-4-23 DR#74509 SPC
4PCS 10-3-23 DR#73743 SPC
2PCS  5-25-23 STF#1021 STC
2PCS 5-25-23 STF#8161 SPC
4PCS 4-22-23 STF#8025 SPC
4pcs 3-25-23 stf#7899 spc
4PCS 2-1-23 STF#7607 SPC
2pcs 11-22-22 STF#7262 SPC
2PCS 9-9-22 STF#6904 SPC
4PCS 8-18-22 STF#6800 SPC
3PCS 8-8-22 STf#6747 SPC
1PC 8-6-22 STF#6739 SPC
2PCS 7-26-22 STF#6695 SPC
8PCS 5-21-22 STF#6360 SPC
5PCS 4-28-22 STF#6251 SPC
4PC 04-25-2022 ST006237 SPC
4PCS 1-26-22 ST001741 LIPA A
2PCS 12-8-21 STF#5630 2PC SPC
8PCS - 11/2/2021 ST001599 LIPA A</t>
        </r>
      </text>
    </comment>
    <comment ref="H844" authorId="0" shapeId="0" xr:uid="{5480DB4F-8A5D-F847-AE7B-62680AC331D6}">
      <text>
        <r>
          <rPr>
            <sz val="10"/>
            <rFont val="SimSun"/>
            <charset val="134"/>
          </rPr>
          <t xml:space="preserve">
2PCS 2-7-24 31647 SALES
1pc 12-26-23 DR#73987 SPC
1PC 12-15-23 JO#30230 JACKO
4PCS 12-7-23 JO#30043 LEN
4pcs 10-27-23 DR#73940 SPC
2PCS 6-8-23 STF#2498 STC
2PCS 5-28-23 JO#25617 ROSE
4PCS 4-25-23 JO#24788 OFFICE
1PC 4-8-23 STF#2388 SPC
1pc 4-4-23 stf#2379 SPC
4PCS 3-25-23 JO#23374 MRLO
3PCS 3-17-23 JO#22698 BEL
4PCS 11-25-22 JO#19738 BATELEC
2PC 11-19-22 STF#2083 SPC
4PCS 11-17-22 STF#2073 SPC
2PC 9-7-22 JO178927 ALY
4PCS 8-9-22 JO#17110 OFFICE
4PCS 8-7-22 JO17170 ALY
4PCS 7-13-22 JO#16652 OFFICE 
4PCS 5-19-22 STF#1786 SPC
1PC 04-26-2022 ST001751 SPC
4PC 03-31-22 ST001703 SPC
4PC 01-26-2022 JO#13181 ONESIMUS
4PCS 11-24-21 STF#1498 A
2PCS - 11-08-21 JO#11796 SALES</t>
        </r>
      </text>
    </comment>
    <comment ref="G845" authorId="0" shapeId="0" xr:uid="{56BAA967-15F0-AD43-B0D1-396FCD261420}">
      <text>
        <r>
          <rPr>
            <sz val="10"/>
            <rFont val="SimSun"/>
            <charset val="134"/>
          </rPr>
          <t>IN 2PCS 7.28.25 DR#78802 SPC BRY
1-27-30 2PCS DR#76184 LIPA A
---------------------------------------------
IN 8PCS 11/08/24 DR#76593 SPC KUYA ROI
IN 4PCS 11/02/24 DR#76697 SPC KUYA HACKET
IN 2PCS 08/17/24 DR#77251 SPC KUYA HACKET
IN 8PCS 06/20/24 DR#75189 SPC KUYA MIKE
IN 4PCS 06/11/24 DR#75326 SPC KUYA MIKE 
8PCS 1-8-24 DR#74604 SPC
4pcs 1-6-24 DR#74603 SPC
6PCS 1-2-23 DR#74546 SPC</t>
        </r>
      </text>
    </comment>
    <comment ref="H845" authorId="0" shapeId="0" xr:uid="{EBE5D2DC-42C0-F24A-9130-39BC3AE02220}">
      <text>
        <r>
          <rPr>
            <sz val="10"/>
            <rFont val="SimSun"/>
            <charset val="134"/>
          </rPr>
          <t>OUT 2PCS 8.30.25 DR#78439 SPC LALAMOVE
OUT 2PCS 3.13.25 DR#77152 STC LALAMOVE
3.5.25
DR#77136 2PCS STC HOWARD
2PC OUT 1/21/25 JO41970 MARIBEL
2PC OUT 1/21/25 JO41967 MARIBEL
12-26-24
41057 2PCS SALES ALY
11-04-2024
39168 2PCS SALES MARIBEL
out 10-19-24 2pcs sta cruz boss jun
09/19/24
37773 2PCS SALES JARVIS
09/06/24
37416 4PCS SALES BEL
08/02/24
36481 2PCS SALES JARVIS
OUT 07/09/24 35818 2PCS SALES JARVIS
07/08/24
35758 2PCS SALES JARVIS
OUT 4PCS 05/21/24 DR#75077 SPC KUYA HACKET
OUT 8PCS 05/07/24 DR# SPC KUYA HACKET
OUT 05/06/24 34048 4PCS SALES MARLO 
OUT 2-1-24 JO#31581 2PCS SALES</t>
        </r>
      </text>
    </comment>
    <comment ref="G848" authorId="0" shapeId="0" xr:uid="{EDC9AC96-35D6-E949-9B1E-5260A5387A4E}">
      <text>
        <r>
          <rPr>
            <sz val="10"/>
            <rFont val="SimSun"/>
            <charset val="134"/>
          </rPr>
          <t>2PCS 2-15-24 DR#73404 LIPA A
3PCS 12-8-23 DR#74518 SPC
4PCS 11-24-23 DR#74443 SPC
4PCS 11-18-23 DR#74421 SPC
8PCS 10-16-23 DR#74238 SPC</t>
        </r>
      </text>
    </comment>
    <comment ref="H848" authorId="0" shapeId="0" xr:uid="{AFB20F1A-D876-F44D-929D-DFC9FA0E2525}">
      <text>
        <r>
          <rPr>
            <sz val="10"/>
            <rFont val="SimSun"/>
            <charset val="134"/>
          </rPr>
          <t>4PCS 2-15-24 31920 SALES
2PCS 1-5-24 JO#30804 JOHNLY
4PCS 12-7-23 JO#30016 JOHNLY
4PCS 11-18-23 JO#29569 LEN
8pcs 11-8-23 DR#74259 SPC</t>
        </r>
      </text>
    </comment>
    <comment ref="H849" authorId="0" shapeId="0" xr:uid="{234771B9-B79A-F740-BD5E-13ACE6414C81}">
      <text>
        <r>
          <rPr>
            <sz val="10"/>
            <rFont val="SimSun"/>
            <charset val="134"/>
          </rPr>
          <t>2PCS 2-10-23 STF#2274 LIPA A
2PCS 1-28-23 JO21313 MARLO
4PCS 10-27-22 STF#2035 SPC
2PCS 10-12-22 STF#2011 SPC
2PCS 10-3-22 JO#18465 MARLO
2PC 9-27-22 JO18388 MARIBEL
4PCS 9-19-22 JO#1198 BEL
2PCS 9-1-22 JO#17749 BEL
4PCS 8-26-22 STF#1944 SPC
4PC 8-16-22 JO17359 ALY
2PC 8-6-22 JO17167 ALY
2pcs 7-13-22 JO#16675 SALES
4PC 05-06-2022 JO15210 SALES
4PC 05-01-2022 JO15123 SALES
4pcs 4-11-22 stF#1725 spc
4PC 04-04-2022 JO14532 SALES
2PCS 10-25-21 STF#1506 A
2PCS - 10/23/2021 JO11442 JARVIS</t>
        </r>
      </text>
    </comment>
    <comment ref="G850" authorId="0" shapeId="0" xr:uid="{EB1045A7-4CE0-CC45-8153-9669F39BDDB2}">
      <text>
        <r>
          <rPr>
            <sz val="10"/>
            <rFont val="SimSun"/>
            <charset val="134"/>
          </rPr>
          <t xml:space="preserve">IN 4PCS 11.7.25 DR#79863 SPC HACKET
IN 4PCS 8.1.25 DR#78817 SPC EMMAN
IN 1PCS 7.28.25 DR#78804 SPC SERVICE
IN 2PCS 7.11.25 DR#78863 SPC MIKE
IN 8PCS 10/01/24 DR#18975 SPC KUYA HACKET
IN 1PCS 09/12/24 DR#76532 SPC KUYA HACKET
IN 4PCS 08/15/24 DR#76521 SPC KUYA HACKET
IN 4PCS 06/25/24 DR#75195 SPC KUYA BOYONG
IN 4PCS 05/03/24 DR#75017 SPC
IN 4PCS 03/23/24 DR#74625 SPC
4PCS 2-7-24 DR#74650-74801 SPC
12PCS 12-30-23 DR# SPC
4PCS 11-27-23 DR#74447 SPC
4PCS 11-24-23 DR#74443 SPC
4PCS 10-24-23 DR#74354 SPC
3PCS 9-7-23 DR#74187 SPC
3PCS 8-26-23 DR#73289 LIPA A
2PC 8-25-23 DR#74164 SPC
4pcs 5-2-23 STF#8060 SPC
4PCS 4-29-23 STF# SPC
4pcs 4-27-23 STF#8048 SPC
4PCS 3-24-23 STF#7895 SPC
4PCS 2-1-23 STF#7607 SPC
2PCS 1-26-23 STF#7575 SPC
2PCS 12-10-22 STF#2131 SPC
4PCS 12-3-22 STF#7321 SPC
4PCS 10-26-22 STF#7159 SPC
2PCS  9-28-22 STF#7009 SPC
2PCS 9-21-22 STF#6959 SPC
2PCS 9-20-22 STF#2131 SITE A
4PCS 9-3-22 STF#6872 SPC
2pcs 9-1-22 STF#6861 SPC
2PCS 8-8-22 STf#6747 SPC
2pcs 8-3-22 STF#6726 SPC
4PCS 6-3-22 STF#6443 SPC
4PCS 5-21-22 STF#6360 SPC
2PC 05-06-2022 ST006294 SPC
2PC 05-06-2022 ST001906 LIPA A
4PCS 4-27-22 STF#6247 SPC
4pcs 3/25/2022 ST006111 SPC
4PCS 03-24-22 STF# 1838 B </t>
        </r>
      </text>
    </comment>
    <comment ref="H850" authorId="0" shapeId="0" xr:uid="{FA61D459-58AE-EC45-B240-ADE003CA7589}">
      <text>
        <r>
          <rPr>
            <sz val="10"/>
            <rFont val="SimSun"/>
            <charset val="134"/>
          </rPr>
          <t>OUT 2PCS 12.24.25 DR#80074 SPC LALAMOVE
11-30-25
2 PCS 52800 ALY
OUT 3PCS 10.10.25 DR#79754 SPC SERVICE
OUT 1PCS 8.31.25 DR#78442 SPC
7.29.25
49133 2PCS BEL
7-12-25
1 PC 48582 MARIBEL
OUT 4PCS 12-11-24 DR#75503 FOR SNR
OUT 4PCS 11/30/24 DR#75482 SPC KUYA HACKET
OUT 4PCS 11/29/24 DR#75480 LIPA A KUYA HACKET
10/04/24
38175 4PCS SALES DAHLIA
09/21/24
37803 4PCS SALES DAHLIA
09/03/24
37333 1PC SALES JARVIS
OUT 4PCS 08/10/24 DR#75370 SPC SERVICE
OUT 4PCS 05/21/24 DR#75077 SPC KUYA HACKET
OUT 4PCS 04/17/24 DR#74776-77 SPC KUYA HACKET
OUT 01-27-2024
31348 4PCS SALES LEN
4PCS 1-3-24 DR#73999 LIPA A
2pc 12-26-23 DR#73987 SPC
2pcs 12-22-23 DR#73984 SPC
4pcs 10-27-23 DR#73940 SPC
4PCS 9-7-23 JO#27885 ROSE
4pcs 8-26-23 JO#27749 JARVIS
4PCS 5-9-23 STF#2447 SPC
2PCS 4-30-23 JO#24952 HANNAH
4PCS 4-29-23 JO#24689 HANNAH
2PCS 4-27-23 JO#24687 HANNAH
4PCS 3-25-23 JO#22240 HANNAH
2PCS 2-13-23 JO#21709 BEL
2PCS 1-28-23 JO21313 MARLO
4PCS 10-27-22 STF#2035 SPC
2PCS 10-12-22 STF#2011 SPC
2PCS 10-3-22 JO#18465 MARLO
2PC 9-27-22 JO18388 MARIBEL
4PCS 9-19-22 JO#1198 BEL
2PCS 9-1-22 JO#17749 BEL
4PCS 8-26-22 STF#1944 SPC
4PC 8-16-22 JO17359 ALY
2PC 8-6-22 JO17167 ALY
2pcs 7-13-22 JO#16675 SALES
4PC 05-06-2022 JO15210 SALES
4PC 05-01-2022 JO15123 SALES
4pcs 4-11-22 stF#1725 spc
4PC 04-04-2022 JO14532 SALES
2PCS 10-25-21 STF#1506 A
2PCS - 10/23/2021 JO11442 JARVIS</t>
        </r>
      </text>
    </comment>
    <comment ref="G851" authorId="0" shapeId="0" xr:uid="{D2FD9EB5-E585-354C-8E50-CE4DB0E88025}">
      <text>
        <r>
          <rPr>
            <sz val="10"/>
            <rFont val="SimSun"/>
            <charset val="134"/>
          </rPr>
          <t xml:space="preserve">
IN 4PCS 05/03/24 DR#75017 SPC
IN 2PCS 04/29/24 DR#75010 SPC KUYA EMMAN
IN 12PCS 03/14/24 DR#74866 SPC
4PCS 11-29-23 DR#74502 SPC
4PCS 11-8-23 DR#74389 SPC
8PCS 10-16-23 DR#74238 SPC
2PCS 5-3-23 STF#8074 SPC
4pcs 2-8-23 STF#2322 LIPA A
4PCS 2-1-23 STF#7607 SPC
2PCS 11-23-22 STf#7274 SPC
4PCS 10-26-22 STF#7159 SPC
4PCS 9-21-22 STF#6959 SPC
4PCS 9-15-22 STF#6935 SPC
4PCS 9-3-22 STF#6872 SPC
4PCS 8-15-22 STF#6778 SPC
2PCS 8-11-22 STF#6761 SPC
4PCS 7-28-22 STF#6702 SPC
4PCS 5-26-22 STF#6400 SPC
4PCS 5-21-22 STF#6360 SPC
4pcs 5-9-22 STF#6307 SPC
4PCS 4-27-22 STF#6247 SPC
8PC 03-26-2022 ST006111 SPC
2PC 12-11-2021 ST005647 SPC
IN 11-13-21 STF#5519 1PC SPC</t>
        </r>
      </text>
    </comment>
    <comment ref="H851" authorId="0" shapeId="0" xr:uid="{44960E72-CDC1-DF41-AF6F-26529A206DE0}">
      <text>
        <r>
          <rPr>
            <sz val="10"/>
            <rFont val="SimSun"/>
            <charset val="134"/>
          </rPr>
          <t>OUT 2PCS 2.20.25 DR#77120 SPC ALWIN
08/21/24
36992 2PCS DHALIA
OUT 05/09/24 34109 4PC SALES ROSE
OUT 04/24/24 33714 2PCS SALES JHONLY
OUT 04/19/24 33614 4PCS SALES BEL
OUT 04/09/24 33345 4PCS SALES BEL
OUT 04/08/24 32544 4PCS SALES ROSE
OUT 4PCS 3/3/2024 LIPA A DR#74694
OUT 2/29/24 32306 4PCS SALES ROSE ANN
OUT 01-03-24 4PCS JO#30742 JOHNLY
2PCS 5-3-23 JO#24996 ROSE
4PCS 2-22-23 STF#2305 SPC
4PCS 2-23-23 JO#21464 JARVIS
2PCS 11-23-22 JO#19700 ALY
2PCS 10-27-22 STF#2035 SPC
2pcs 10-26-22 JO#19051 ALY
3PCS  10-12-22 STF#2013 SPC
4pc 9-19-22 st001980 spc
4PCS 9-10-22 JO#17989 ALY
4PCS 8-26-22 STF#1944 SPC
4PCS 8-14-22 JO#17334 JARVIS
2PCS  08-10-22 JO#17220 ALY 
4PCS 5-22-22 JO#15526 SALES
4PC 05-14-2022 JO15349 SALES
4PCS 4-27-22 JO#15022 SALES
3PCS 4-12-22 STF#1729 STC
5PCS 4-11-22 STF#1727 SPC
2PC 12-13-2021 JO#12357 SALES
1PC 11-27-21 STF#1508 SPC
1PC 11-15-21 JO#11875 MARLO</t>
        </r>
      </text>
    </comment>
    <comment ref="G852" authorId="0" shapeId="0" xr:uid="{7FA89142-1DFA-8A4A-AAFD-1061E14F3648}">
      <text>
        <r>
          <rPr>
            <sz val="10"/>
            <rFont val="SimSun"/>
            <charset val="134"/>
          </rPr>
          <t>IN 12PCS 02.25.26 DR81865/SI83812 (4,581.50)
IN 10PCS 01.30.26 DR81115/SI83067 CT GLOBAL
IN 4PCS 01.13.26 DR79969 SPC ROI
IN 2PCS 1.2.25 DR#79127 STC
IN 4PCS 01.03.26 DR79942 SPC HACKET
IN 4PCS 12.19.25 DR#78695 LIPA A
IN 4PCS 11.01.25 DR#79851 SPC HACKET
IN 4PCS 10.28.25 DR#79695 SPC BRY
IN 2PCS 10.23.25 DR#75843 STC
IN 2PCS 9.11.25 DR#78632 LIPA A
IN 2PCS 9.8.25 DR#78629 LIPA A
IN 4PCS 8.1.25 DR#78817 SPC EMMAN
IN 2PCS 12-23-24 DR#76155 LIPA A
IN 8PCS 10/16/24 DR#76657 SPC
IN 8PCS 10/01/24 DR#18975 SPC KUYA HACKET
IN 8PCS 08/30/24 DR#76559 SPC
KUYA BOYONG
IN 4PCS 08/22/24 DR#76553 SPC KUYA EMMAN
IN 5PCS 07/10/24 DR#75231 SPC KUYA HACKET
IN 6PCS 06/04/24 DR#75176 SPC KUYA HACKET
IN 8PCS 05/06/24 DR#75021 SPC MASTER
IN 2PCS 03/23/24 DR#74625 SPC</t>
        </r>
      </text>
    </comment>
    <comment ref="H852" authorId="0" shapeId="0" xr:uid="{AE52168C-6028-6443-87C6-55DF463E90EE}">
      <text>
        <r>
          <rPr>
            <sz val="10"/>
            <rFont val="SimSun"/>
            <charset val="134"/>
          </rPr>
          <t>02.25.26
55491 4PCS ROSE
02.21.26
55324 4PCS ROSE
02.19.26
55321 4PCS ROSE
02.12.26
55084 2PCS JARVIS
01.31.26
54598 2PCS ROSE
01.23.26
54492 4PCS ROSE
1-12-26
2PCS 54122 ROSE
1-3-26
2 PCS OUT 53758 ROSE
12-20-25
4 PCS 53471 JARVIS
12.14.25
53249 4PCS ALY
10.31.25
51933 4PCS JARVIS
10-23-25
2 PCS 51673 JARVIS
9-19-25
4 PCS 50675 JARVIS
9-8-25
4 PCS 50371 JARVIS
2PC 12/23/24 JO40976 ALY
11-30-24
40231 4PCS SALES ALY
OUT 4PCS 11/29/24 DR#75480 LIPA A KUYA HACKET
OUT 4PCS 11/30/24 DR#75482 SPC KUYA HACKET
OUT 4PCS 11/16/2024
JO39881 JARVIS
10/15/24
38453 4PCS SALES ALY
OUT 4PCS 09/10/24 DR#75404 LIPA A KUYA ROI
OUT 4PCS 08/24/24 REF#75681 FOR SNR RANGER
08/18/24
36921 4PCS SALES
OUT 4PCS 08/10/24 DR#75370 SPC SERVICE
OUT 1PC 07/03/24 DR#75129 SPC KUYA ALGIN
OUT 06/05/24 34872.1 2PCS SALES rose
OUT 8PCS 05/21/24 DR#75077 SPC 
KUYA HACKET
OUT 05/09/24 34109 4PC SALES ROSE
OUT 3PCS 04/17/24 DR#74776-77 SPC KUYA HACKET
5PCS 4-9-24 DR#74761 SPC
2PCS 2-22-24 TRANSFER TO STA CRUZ ATE JHO</t>
        </r>
      </text>
    </comment>
    <comment ref="G854" authorId="0" shapeId="0" xr:uid="{35F907E4-EF5F-7341-8B3F-D8F26479AD9F}">
      <text>
        <r>
          <rPr>
            <sz val="10"/>
            <rFont val="SimSun"/>
            <charset val="134"/>
          </rPr>
          <t>2PCS 10-31-22 STF#7175 SPC</t>
        </r>
      </text>
    </comment>
    <comment ref="H854" authorId="0" shapeId="0" xr:uid="{ED5959AE-F90B-6B49-A2A5-0DEF15629E4D}">
      <text>
        <r>
          <rPr>
            <sz val="10"/>
            <rFont val="SimSun"/>
            <charset val="134"/>
          </rPr>
          <t>2PCS 11-15-22 JO#19505 ALY</t>
        </r>
      </text>
    </comment>
    <comment ref="G856" authorId="0" shapeId="0" xr:uid="{6D095CB5-E2CE-C04E-9530-FD6BE120A35D}">
      <text>
        <r>
          <rPr>
            <sz val="10"/>
            <rFont val="SimSun"/>
            <charset val="134"/>
          </rPr>
          <t>IN 4PCS 2.12.25 DR#77016 SPC
IN 1PC 04/29/24 DR#75010 SPC KUYA EMMAN
IN 4PCS 2/26/24 DR# 74838 SPC
4PCS 7-10-23 SPC
6PCS 4-10-23 STF#7978 SPC
4PCS 2-8-23 STF#7651 SPC
4PCS 2-1-23 STF#7607 SPC
8PCS 10-26-22 STF#7159 SPC
4pcs 9-19-22 STF#6950 SPC
2PCS 9-15-22 STF#6935 SPC
2PCS 9-5-22 STF#6875 SPC
1PC 8-13-22 STF#6775 SPC
2PC 8-6-22 STF#6739 SPC
4pcs 8-3-22 STF#6726 SPC
4pcs 5-28-22 STF#6411 SPC
4PCS 5-21-22 STF#6360 SPC
4PC 05-06-2022 ST001906 LIPA A
4PC 03-26-2022 ST006111 SPC
1PC 3-15-22 STF#6066 SPC
1PC 03-14-2022 ST006060 SPC
4PCS 1-27-22 STF#5823 SPC</t>
        </r>
      </text>
    </comment>
    <comment ref="H856" authorId="0" shapeId="0" xr:uid="{850A38F4-75D2-5C41-A440-56E3812427D3}">
      <text>
        <r>
          <rPr>
            <sz val="10"/>
            <rFont val="SimSun"/>
            <charset val="134"/>
          </rPr>
          <t>OUT 12PCS 08/17/24 DR#75373 SPC (OLD DOT)
OUT 04/14/24 33458 1PCS SALES JARVIS
4PCS 8-19-23 DR#7227 SPC
4PCS 7-9-23 STF#2546 LIPA A
4PCS 6-27-23 STF#2522 SPC
2PCS 2-16-23 JO#21720 MARLO
2PCS 2-16-23 STF#2288 S&amp;R
4PCS 2-13-23 JO#21628 OFFICE
8PCS 11-9-22 STF#2064 SPC
4PCS  10-12-22 STF#2013 SPC
4PC 9-17-22 JO18168 JARVIS
4PCS 9-14-22 JO#18040 ALY
2PC 9-6-22 JO17893 ALY
4PC 8-25-22 JO17611 JARVIS
2PC 08-18-22 JO17455 ALY
4PCS 7-31-22 JO#17062 BEL
2PCS 7-1-22 JO#16413 SALES
2pcs 6-16-22 STF#1827 SPC
4PC 05-07-2022 JO15218 SALES
2PC 05-02-2022 JO15090 SALES
2PC 03-30-2022 JO14389 SALES
1pc 02-13-2022 JO13504 BEL</t>
        </r>
      </text>
    </comment>
    <comment ref="G857" authorId="0" shapeId="0" xr:uid="{C7A4E56E-B998-1647-9ED8-685FC2A8FCBF}">
      <text>
        <r>
          <rPr>
            <sz val="10"/>
            <rFont val="SimSun"/>
            <charset val="134"/>
          </rPr>
          <t>IN 2PCS 01.22.26 DR79992 SPC RONNIE
IN 2PCS 12.8.25 DR#78682 LIPA A
IN 1PCS 5.16.25 DR#78042 LIPA A
IN 4PCS 11/09/24 DR#76596 SPC 
IN 4PCS 11/08/24 DR#76593 SPC KUYA ROI
IN 4PCS 10/01/24 DR#18975 SPC KUYA HACKET
IN 3PCS 09/03/24 DR#76562 SPC MASTER
IN 1PCS 08/30/24 DR#76559 SPC
KUYA BOYONG
IN 2PCS 07/10/24 DR#75231 SPC KUYA HACKET
IN 1PCS 06/06/24 DR#75177 SPC KUYA HACKET
IN 8PCS 05/06/24 DR# SPC MASTER
IN 1PC 03/25/24 DR#74880 SPC
IN 4PCS 3/20/24 DR#74873 SPC
4PCS 10-24-23 DR#74354 SPC
4PCS 10-16-23 DR#74238 SPC</t>
        </r>
      </text>
    </comment>
    <comment ref="H857" authorId="0" shapeId="0" xr:uid="{636F2071-370A-F840-A3B6-5E213A5C4FBA}">
      <text>
        <r>
          <rPr>
            <sz val="10"/>
            <rFont val="SimSun"/>
            <charset val="134"/>
          </rPr>
          <t>OUT 4PCS 7.29.25 DR#78384 SPC HACKET
3-2-25
2 PCS OUT JO43560 JARVIS
OUT 4PCS 2-1-25 DR#76959 SPC
4PC OUT 1/30/25 JO42302 ALY 
OUT 8PCS 1-16-25 DR#76917 SPC KUYA EMMAN
OUT 1PCS 12-06-24 DR#75493 FOR SNR
OUT 2PCS 11/28/24 JO40163
ROSE 
OUT 4PCS 08/19/24 REF#75678 STC MASTER
7/08/24
35831 2PCS SALES BEL
OUT 05/19/24 34436 1PCS SALES BEL
OUT 5PCS 04/17/24 DR#74776-77 SPC KUYA HACKET
OUT 03/01/24 32361 4PCS BEL 
2PCS 11-21-23 JO#29687 BEL
2PCS 10-26-23 JO#29085 ROSE</t>
        </r>
      </text>
    </comment>
    <comment ref="G863" authorId="0" shapeId="0" xr:uid="{3E70579F-6792-5849-8488-121C8152264A}">
      <text>
        <r>
          <rPr>
            <sz val="10"/>
            <rFont val="SimSun"/>
            <charset val="134"/>
          </rPr>
          <t>4PCS 6-17-22 STF#6497 SPC
4PCS 6-9-22 STF#6465 SPC</t>
        </r>
      </text>
    </comment>
    <comment ref="H863" authorId="0" shapeId="0" xr:uid="{78F95A46-0747-AD47-B85F-2000EEC4E2DE}">
      <text>
        <r>
          <rPr>
            <sz val="10"/>
            <rFont val="SimSun"/>
            <charset val="134"/>
          </rPr>
          <t>4PCS 12-28-22 STF#2178 SPC
2PCS 11-17-22 JO#19529 ALY
2PCS 11-11-22 JO#19421 OFFICE</t>
        </r>
      </text>
    </comment>
    <comment ref="G864" authorId="0" shapeId="0" xr:uid="{D05A4324-5742-8C45-B34F-0E047B979827}">
      <text>
        <r>
          <rPr>
            <sz val="10"/>
            <rFont val="SimSun"/>
            <charset val="134"/>
          </rPr>
          <t>IN 4PCS 6.24.25 DR#77766 SPC HACKET
IN 1PC 10-18-24 DR#76661 SPC KUYA HACKET
4PCS 2-3-24 DR#74646 SPC
2PCS 2-18-23 STF#7705 SPC
4PCS 2-1-23 STF#7607 SPC</t>
        </r>
      </text>
    </comment>
    <comment ref="H864" authorId="0" shapeId="0" xr:uid="{C193935E-132B-3447-BCB8-2A9FD86BE5FB}">
      <text>
        <r>
          <rPr>
            <sz val="10"/>
            <rFont val="SimSun"/>
            <charset val="134"/>
          </rPr>
          <t>OUT 4PCS 12-06-24 DR#75493 FOR SNR
09/03/24
37371 1PC SALES MARLO
4PCS 4-10-23 STF#2391 SPC
2PCS 2-19-23 JO#21841 JARVIOS</t>
        </r>
      </text>
    </comment>
    <comment ref="G865" authorId="0" shapeId="0" xr:uid="{EEC9A0AA-EA91-794A-84C3-A24FAC543FC4}">
      <text>
        <r>
          <rPr>
            <sz val="10"/>
            <rFont val="SimSun"/>
            <charset val="134"/>
          </rPr>
          <t>IN 12PCS 01.29.26 DR80710 SPC ROBIN
IN 11PCS 01.03.26 DR79941 SPC HACKET
IN 4PCS 01.02.25 DR#79940 SPC SERVICE
IN 3PCS 12.20.25 DR#80309 SNV ROBIN
IN 4PCS 11.25.25 DR#79899 SPC HACKET
IN 6PCS 11.11.25 DR#79873 SPC HACKET
IN 12PCS 11.01.25 DR#79851 SPC HACKET
IN 2PCS 10.27.25 DR#78966 S.V
IN 4PCS 8.10.25 DR#79646 SPC ROBIN
IN 3PCS 9.13.25 DR#79093 SPC HACKET
IN 4PCS 8.5.25 DR#78835 SPC HACKET
IN 4PCS 8.1.25 DR#78817 SPC EMMAN
IN 2PCS 6.17.25 DR#78799 SPC
SERVICE
IN 2PCS 6.12.25 DR#77214 BINAN BRY
IN 2PCS 6.9.25 DR#77212 BINAN
IN 1PCS 5.28.25 DR#78758 SPC HACKET
IN 8PCS 2.11.25 DR#77352 SPC KUYA EMMAN
---------------------------------------------
IN 4PCS 12-19-24 DR#76856 SPC KUYA MIKE
IN 8PCS 12-18-24 DR#76855 SPC KUYA MIKE
IN 8PCS 10/01/24 DR#18975 SPC KUYA HACKET
IN 4PCS 09/12/24 DR#76532 SPC KUYA HACKET
IN 4PCS 09/03/24 DR#76562 SPC MASTER
IN 1PCS 08/22/24 DR#76553 SPC KUYA EMMAN
IN 2PCS 06/29/24 DR# SPC KUYA HACKET 
IN 5PCS 06/25/24 DR#75195 SPC KUYA BOYONG
IN 10PCS 05/21/24 DR#75042 SPC KUYA BOYONG
IN 2PCS 05/11/24 DR# SPC
IN 4PCS 05/06/24 DR# SPC MASTER
IN 4PCS 05/02/24 DR# SPC KUYA MIKE
2PCS 2-3-24 DR#74646 SPC
12PCS 12-30-23 DR# SPC
6PCS 12-8-23 DR#74518 SPC
2PCS 11-29-23 DR#74502 SPC
4PCS 11-24-23 DR#74443 SPC
2PCS 11-21-23 DR#74434 SPC
4PCS 10-24-23 DR#74354 SPC
4PCS 10-3-23 DR#73743 SPC
9PCS 9-4-23 DR#74182 SPC
1PC 8-25-23 DR#29073 SVB
2PCS 6-22-23 SPC
5PCS 4-10-23 STF#7978 SPC
4PCS 3-27-23 STF#7907 SPC
2PCS 3-21-23 STF#7875 SPC
3pcs 2-24-23 stf#7736 SPC
2PCS 2-17-23 STF#2330 LIPA A
4PCS 2-1-23 STF#7607 SPC
4PCS 1-25-23 STF#7566 SPC
1PC 1-9-23 STf#7476 SPC
6pcs 12-3-22 STF#7321 SPC
2PCS 12-1-22 STF#7311 SPC
8PCS 10-26-22 STF#7159 SPC
4PCS 9-24-22 STF#6977 SPC
5PCS 9-19-22 STF#6948 SPC
4pcs 9-19-22 STF#6950 SPC
4PCS 9-9-22 STF#6904 SPC
8PCS 8-13-22 STF#6775 SPC
8PCS 6-28-22 STF#6554 SPC
4PCS 6-3-22 STF#6443 SPC
4PCS 6-3-22 STF#6443 SPC
5PCS 5-31-22 STF#6427 SPC
1PC 5-28-22 STF#1948 LIPA A
4PCS 5-21-22 STF#6360 SPC
8PCS 4-28-22 STF#6251 SPC
2PCS 4-21-22 STF#6226 SPC
4PC 04-18-2022 ST006213 SPC
4PC 3-15-22 STF#6066 SPC
4PC 02-18-22 ST005935 SPC
4PC 02-17-2022 ST005930 SPC
4pcs 1-25-22 STF#5810 SPC
4PC 01-08-2022 ST005749 SPC
3PCS 12-6-21 STF#1646  A</t>
        </r>
      </text>
    </comment>
    <comment ref="H865" authorId="0" shapeId="0" xr:uid="{2096C6FE-C031-CA46-9771-2B0C7D1C1BDE}">
      <text>
        <r>
          <rPr>
            <sz val="10"/>
            <rFont val="SimSun"/>
            <charset val="134"/>
          </rPr>
          <t>02.21.26
55328 2PC ROSE
02.12.26
55106 2PCS ROSE
01.31.26
54600 2PCS ROSE
01.26.26
54592 4PCS ROSE
01.17.26
54267 4PCS ROSE
OUT 1PC 01.09.26 DR80094 SNR SPC
12-20-25
2 PCS 53420 ROSE
12-19-25
2 PCS 53414 ROSE
12-17-25
4 PCS 53318 ROSE
12-16-25
2 PCS 53312 ROSE
2 PCS 53313 ROSE
12-5-25
2 PCS 52767 ROSE ANN
11-14-25
2 PCS 52321 ROSE
11-13-25
2 PCS 52019 ROSE
11-10-25
2 PCS 52015 MJEN 
11-5-25
4 PCS 52012 ROSE PMFTC
OUT 6PCS 10.27.25 DR#79784 BIÑAN
OUT 5PCS 10.2.25 DR#79284 SPC HACKET
9-22-25
2 PCS 50804 JARVIS
9-13-25
1 PC 50496 JARVIS
8-4-5
4 PCS 49360 JARVIS
6.18.25
47671 2PCS MADAM
6-16-25
2 PCS 47546 MAM JEN 
6-9-25
2 PCS 47157 ROSE 
OUT 2PCS 5.30.25 DR#77999 STC
5-28-25
1 PC 46932 MARLO
5.21.25
46570 3PCS JARVIS
5-20-25
2 pcs 46547 MARLO
OUT 2PCS 5-3-25 DR77633 LIPA A
OUT 1PCS 4.24.25 DR#77611 BIÑAN
4.19.25
45407 2PCS ALY
OUT 2PCS 4.10.25 DR#77572 LIPA A
4-7-25
2 PCS OUT JO44788 DALIA
3.16.25
44191 3PCS ROSE
OUT 4PCS 2-1-25 DR#76959 SPC
2 PC OUT 1/29/25 JO42240 JARVIS
1PC OUT 1/22/25 JO41997 JARVIS
OUT 4PCS 12-27-24 DR#75532 LIPA A
OUT 8PCS 10/26/24 DR#75441 SPC KUYA HACKET
4PCS 10-18-24 DR#75453 SPC KUYA HACKET
10/09/24
38235 2PCS SALES DAHLIA
09/14/24
37635 4PCS SALES ROSE
09/11/24
37557 2PCS SALES ROSE
OUT 4PCS 09/10/24 DR#75404 LIPA A KUYA ROI
08/19/24
36936 4PCS SALES BEL
08/13/24
36728 1PC SALES
OUT 06/28/24 35503 2PCS SALES ROSE
OUT 6-21-2024
35255 2PCS ROSE
35260 2PCS ROSE
35259 2PCS ROSE
35258 2PCS ROSE
OUT 06/14/15 35105 1PCS SALES ROSE
OUT 05/18/24 34421 4PCS SALES  ROSE
OUT 05/11/24 34169 2PCS SALES JHONLY
OUT 05/02/24 33916 2PCS SALES ROSE
OUT 04/17/24 33572 2PCS SALES MAM JEN
OUT 5PCS 04/17/24 DR#74776-77 SPC KUYA HACKET
OUT 04/06/24 33249 2PCS SALES ROSE
OUT 2/29/24 2PCS SALES
2pcs 2-20-24 32103 sales
OUT 01-20-2024
31215 2PCS SALES ROSE
2PCS 1-18-24 JO#31201 JARVIS
4PCS 1-3-24 DR#73999 LIPA A
6PCS 12-15-23 DR#73973 SPC
2PCS 12-13-23 STA CRUZ
2PCS 12-12-23 JO$#30149 ROSE
12/9/2023 2PCS 30028 ROSE
4pcs 10-27-23 DR#73940 SPC
4PCS 10-7-23 JO#28650 JARVIS
9PCS 9-4-23 JO#27929 BEL
2PCS 8-25-23 JO#27729 ROSE
2PCS 8-25-23 JO#27730 ROSE
2PCS 6-26-23 JO#26304 ROSE
4PCS 5-5-23 STF#2442 SPC
2PCS FOR WARRANTY
2pcs 3-31-23 JO#2373 SPC
1PC 3-29-23 JO#23714 JARVIS
2PCS 3-23-23 JO#23074 ROSE
2PCS 3-3-23 JO#22093 OFFICE
3PCS 2-24-23 JO#21965 BEL
4PCS 2-16-23 STF#2288 S&amp;R
4PCS 1-25-23 JO#21136 OFFICE
4PCS 1-9-23 JO#20747 JARVIS
4PCS 12-30-22 JO#20552 ALY
1PC 12-27-22 STF#2172 SPC
2PCS 11-17-22 STF#2073 SPC
2PCS 11-11-22 JO#19421 OFFCICE
4PCS 11-2-22 STF#2044 SPC
4PC 10-23-22 JO18982 ALY
4PCS 9-23-22 STF#1988 SITE A
5PCS 9-19-22 JO#18184 OFFICE
4PCS 9-10-22 JO#17981 ALY
2PCS 8-30-22 JO#17708 JARVIS
2pcs 8-29-22 STF#1951 SPC
4PCS 8-26-22 STF#1944 SPC
4PCS 8-19-22 STF#1936 SPC
4PC 7-2-22 JO16432 JARVIS
8PCS 6-16-22 STf#1826 SPC
1PC 6-2-22 STF#1809 SPC
4PCS 5-29-22 JO#15467 SALES
4PCS 5-28-22 JO#15661 SALES
8PC 05-16-2022 ST001782 SPC
4PC 04-22-2022 JO14818 SALES
2PC 04-19-22 JO14837 SALES
2PCS 4-4-22 STF#1706 SPC
2PCS 3-29-22 JO#14364 OFFICE
4PC 02-18-2022 JO13525 SALES
2PC 02-17-2022 JO13524 SALES
4 PC 01-25-2022 JO#13107 MARLO
4PC 01-21-2022 ST001601 SPC
1PC 12-13-2021 ST001545 SPC
2PCS  12-7-21 JO#11586 JARVIS</t>
        </r>
      </text>
    </comment>
    <comment ref="G868" authorId="0" shapeId="0" xr:uid="{FCC5C9E9-9D4B-1F43-9960-C0F5E8328145}">
      <text>
        <r>
          <rPr>
            <sz val="10"/>
            <rFont val="SimSun"/>
            <charset val="134"/>
          </rPr>
          <t>IN 4PCS 1-16-25 DR#76890 SPC KUYA EMMAN
----------------------------------------------
4PCS 2-10-24 DR#7301 LIPA A
1PC  11-8-23 DR#74389 SPC
12PCS 10-16-23 DR#74238 SPC
4pcs 4-18-23 STF#8005 SPC
4PCS 2-1-23 STF#7607 SPC
4pcs 10-15-22 STF#832 STC
4PCS 9-23-22 STF#6969 SPC
4PC 9-7-22 ST006893 SPC
4PC 05-14-2022 ST006339 SPC
4PC 02-18-22 ST005935 SPC
4PCS 1-22-22 STF#5799 SPC</t>
        </r>
      </text>
    </comment>
    <comment ref="H868" authorId="0" shapeId="0" xr:uid="{EB95F4E2-BFC6-3544-85F5-8DF56492117F}">
      <text>
        <r>
          <rPr>
            <sz val="10"/>
            <rFont val="SimSun"/>
            <charset val="134"/>
          </rPr>
          <t>OUT 4PCS 6.18.25 DR#78324 SPC HACKET
OUT 2PCS 04/29/24 DR#75051 SPC KUYA EMMAN
OUT 4PCS 04/18/24 DR#74778 SPC KUYA MICK
2pcs 2-4-24 jo#31655 sales maribel
4PCS 10-31-23 DR# LIPA A
1PC 10-28-23 JO#29151 JARVIS
4PCS 10-24-23 JO#29040 JARVIS
4PCS 4-21-23 JO#24751 MARLO
4pc 2-12-23 st002278 lipa a
4PC 10-15-22 JO18813 JARVIS
2PCS 10-6-22 JO#18567 BEL
2PC 10-02-22 JO18493 MARIBEL
4PCS 9-22-22 JO#18128 SALES
4PC 05-14-2022 JO15363 SALES
3PCS 4-13-22 STF#1730 SPC
1PC 04-10-22 JO14647 ALY
OUT 01-22-2022 JO#13091 ALY</t>
        </r>
      </text>
    </comment>
    <comment ref="G869" authorId="0" shapeId="0" xr:uid="{AAB83F97-17A9-9B42-9956-56C7F5BF64A4}">
      <text>
        <r>
          <rPr>
            <sz val="10"/>
            <rFont val="SimSun"/>
            <charset val="134"/>
          </rPr>
          <t>IN 2PCS 11.14.25 DR#79878 SPC HACKET
IN 4PCS 11.01.25 DR#79851 SPC HACKET
IN 2PCS 9.8.25 DR#79086 SPC SERVICE
IN 1PC 8.26.25 DR#79046 SPC MAM COLEEN
IN 1PCS 8.23.25 DR#79044 SPC HACKET
IN 4PCS 8.1.25 DR#78817 SPC EMMAN
IN 1PC 7.31.25 DR#78813 SPC SERVICE
IN 2PCS 6.11.25 DR#78784 SPC BRY
IN 4PCS 1-9-25 DR#76879 SPC
IN 4PCS 11/21/24 DR#75716 SPC
IN 2PCS 11-16-24 DR#76122 LIPA A
IN 4PCS 10-18-24 DR#76661 SPC KUYA HACKET
IN 4PCS 10/12/24 DR#76641 SPC KUYA HACKET
IN 4PCS 10/01/24 DR#18975 SPC KUYA HACKET
IN 4PCS 09/03/24 DR#76562 SPC MASTER
IN 4PCS 08/17/24 DR# SPC KUYA HACKET
IN 4PCS 05/03/24 DR#75017 SPC
IN 4PCS 03/23/24 DR#74625 SPC
IN 4PCS 3/20/24 DR#74873 SPC
4PCS 11-8-23 DR#74389 SPC</t>
        </r>
      </text>
    </comment>
    <comment ref="H869" authorId="0" shapeId="0" xr:uid="{B6F999F2-4349-C24B-A083-6D94F4FAF613}">
      <text>
        <r>
          <rPr>
            <sz val="10"/>
            <rFont val="SimSun"/>
            <charset val="134"/>
          </rPr>
          <t xml:space="preserve">12-9-25
4 PCS 53057 JARVIS
11-11-25
2 PCS 52155 ALY
10.4.25
51129 4PCS BEL
8-20-25
4 PCS 49830 MARIBEL
6-11-25
2 PCS 47298 ALY
4-14-25
4 PCS OUT JO45301 MARIBEL
OUT 4PCS 11/25/24 JO40028 MARIBEL
11/16/2024	39883 4PCS SALES
11/05/2024 OUT 2PCS 
JO39157 ALY
10/22/2024 OUT 4PCS
JO38701 ALY 
10/10/24
38240 4PCS SALES DAHLIA
09/13/24
37604 4PCS SALES BEL
OUT 4PCS 08/24/24 REF#75681 FOR SNR KUYA HACKET &amp; SERVICE
OUT 4PCS 05/30/24 DR#75089 SPC KUYA HACKET
OUT 6PCS 04/17/24 DR#74776-77 SPC KUYA HACKET
OUT 2PCS 04/10/24 DR#74765 SPC
OUT 4PCS 03/16/24 DR#74721 SPC </t>
        </r>
      </text>
    </comment>
    <comment ref="G870" authorId="0" shapeId="0" xr:uid="{440F5A83-C990-974C-925E-B95A2E5E1E36}">
      <text>
        <r>
          <rPr>
            <sz val="10"/>
            <rFont val="SimSun"/>
            <charset val="134"/>
          </rPr>
          <t>IN 4PCS 9.30.25 DR#79627 SPC HACKET
IN 4PCS 9.3.25 DR#79070 SPC KUYA RONNIE
IN 4PCS 8.1.25 DR#78817 SPC EMMAN
IN 4PCS 10/12/24 DR#76641 SPC KUYA HACKET
IN 4PCS 10/02/24 DR#76625 SPC KUYA HACKET</t>
        </r>
      </text>
    </comment>
    <comment ref="H870" authorId="0" shapeId="0" xr:uid="{C2ED1F62-5A23-BA41-874A-47B12106699B}">
      <text>
        <r>
          <rPr>
            <sz val="10"/>
            <rFont val="SimSun"/>
            <charset val="134"/>
          </rPr>
          <t xml:space="preserve">
OUT 3PCS 9.18.25 DR#79266 SNR
OUT 1PC 9.11.25 DR#79258 SNR
8-25-25
4 PCS 49982 JARVIS
8PCS 10-18-24 DR#75453 SPC KUYA HACKET</t>
        </r>
      </text>
    </comment>
    <comment ref="G871" authorId="0" shapeId="0" xr:uid="{5690E581-F569-0745-BB0E-974B0D03048C}">
      <text>
        <r>
          <rPr>
            <sz val="10"/>
            <rFont val="SimSun"/>
            <charset val="134"/>
          </rPr>
          <t xml:space="preserve">
2PCS 10-21-23 DR#74248 SPC
4PCS 10-11-23 DR# SPC
4PCS 10-3-23 DR#73743 SPC
4PCS 5-27-23 STf#8171 SPC
4pcs 4-18-23 STF#8005 SPC
4PCS 4-5-23 STf#7965 SPC
4PCS 3-18-23 STF#7867 SPC
5pcs 2-15-23 STF#7685 SPC
3PCS 2-2-23 STF#7612 SPC
4PCS 2-1-23 STF#7607 SPC
2PCS 1-26-23 STF#7578 SPC
1PC 1-23-23 STF#7551 SPC
8PCS 12-8-22 CT GLOBAL 
8PCS 9-27-22 STF#6994 SPC
4PCS 9-24-22 STF#6981 SPC
4pcs 9-6-22 STF#6887 SPC
2pcs 9-6-22 STF#6883 SPC
4pcs 9-5-22 stf#6879 spc
4PCS 9-5-22 STF#6875 SPC
4PCS 6-3-22 STF#6443 SPC
4pcs 5-30-22 STF#6419 SPC
4PCS 4-28-22 STF#6253 SPC
8PCS 4-28-22 STF#6251 SPC
4PC 03-26-2022 ST006111 SPC
6PC 03-14-2022 ST006060 SPC
2PC 03-10-2022 ST006042 SPC</t>
        </r>
      </text>
    </comment>
    <comment ref="H871" authorId="0" shapeId="0" xr:uid="{9E415018-D86F-FF44-AB88-13FC01FEEFC5}">
      <text>
        <r>
          <rPr>
            <sz val="10"/>
            <rFont val="SimSun"/>
            <charset val="134"/>
          </rPr>
          <t xml:space="preserve">2PCS 10-22-23 JO#28996 BEL
4PCS 10-11-23 JO#28771 JARVIS
4PCS 10-9-23 DR#73910 SPC
4PCS 5-29-23 STF#2480 SPC
4PCS 4-28-23 STF#2434 SPC
4PCS 4-8-23 STF#2385 SPC
2PCS 4-1-23 JO#23824 BEL
2PCS 3-30-23 JO#23761 MARLO
4PCS 2-22-23 STF#2305 SPC
4PCS 2-15-23 JO#21763 JARVIS
4PCS 2-9-23 JO#21546 BEL
1PC 2-9-23 JO#21601 ALY
4PCS 1-26-23 JO#21253 BEL
4PCS 12-9-22 JO#200604 ALY
12PCS 9-30-22 STF#1997 SPC
8PC 9-11-22 ST001970 SPC
2PC 9-6-22 JO17895 ALY
4PCS 9-5-22 JO#17867 BEL
4pcs 6-4-22 JO#15812SALES
4pcs 5-30-22 JO#15685 SALES
10PC 04-29-2022 ST001760 SPC
2PC 04-30-2022 ST001759 SPC
2PC 04-11-22 JO14680 SALES
2PC 04-08-2022 JO14577 SALES
4PCS  3-21-22 JO#14263 BEL
2PCS 3-14-22 JO#13839 OFFICE
2PC 03-11-2022 JO13996 SALES </t>
        </r>
      </text>
    </comment>
    <comment ref="G872" authorId="0" shapeId="0" xr:uid="{8D77B642-287D-2042-ADC1-8D836A1EE8C0}">
      <text>
        <r>
          <rPr>
            <sz val="10"/>
            <rFont val="SimSun"/>
            <charset val="134"/>
          </rPr>
          <t>IN 1PCS 11.11.25 DR#79873 SPC HACKET
IN 4PCS 10.5.25 DR#79642 SPC RONNIE
IN 4PCS 9.16.25 DR#79100 SPC HACKET
IN 4PCS 9.13.25 DR#79093 SPC HACKET
IN 3PCS 8.11.25 DR#79006-07 SPC EMMAN
IN 1PC 8.9.25 DR#79003SPC BRY
IN 4PCS 8.1.25 DR#78817 SPC EMMAN
IN 2PCS 6.25.25 DR#77772 SPC HACKET
IN 2PCS 3.22.25 DR#77443 SPC BRY
IN 4PCS 12-23-24 DR#76153 LIPA A
IN 16PCS 10/03/24 DR#76629 SPC KUYA HACKET
IN 4PCS 10/01/24 DR#18975 SPC KUYA HACKET
IN 1PC 08/31/24 DR#76561 SPC SERVICE
IN 3PCS 08/30/24 DR#76559 SPC
KUYA BOYONG
IN 4PCS 06/02/24 DR#75174 SPC
in 4pcs 5/20/24 dr#75044 spc kuya boyong
IN 4PCS 05/03/24 DR#75017 SPC
IN 1PCS 03/28/24 DR#74885 SPC KUYA HACKET
IN 4PCS 03/23/24 DR#74625 SPC
IN 2PCS 3/20/24 DR#74873 SPC
4pcs 2-1-24 DR#74639 SPC
4PCS 2-3-24 DR#74646 SPC
4PCS 11-8-23 DR#74389 SPC
4PCS 10-24-23 DR#74354 SPC</t>
        </r>
      </text>
    </comment>
    <comment ref="H872" authorId="0" shapeId="0" xr:uid="{5BE89386-C3DC-8E41-B64D-BEBEDC862F75}">
      <text>
        <r>
          <rPr>
            <sz val="10"/>
            <rFont val="SimSun"/>
            <charset val="134"/>
          </rPr>
          <t xml:space="preserve">12-24-25
4 PCS OUT 53539 ALY
11-10-25
1 PC 52139 MARLO
9-30-25
4 PCS 51016 JARVIS
9-13-25
4 PCS 50554 JARVIS
9-11-25
4 PCS 50467 JARVIS
8.9.25
49479 4PCS ALY
6-25-25
2 PCS 47870 MAM JEN 
OUT 4PCS 4.19.25 DR#74320 SPC
3.22.25
44384 2PCS MARLO
12-21-24
40914 4PCS SALES ALY
4PC 12/17/24 JO 40804 MARIBEL 
OUT 3PCS 12-11-24 DR#75504 FOR SNR
12-01-2024
4pcs out sales jo#40273 dahlia
10/12/24
38395 4PCS SALES JARVIS
38396 4PCS SALES JARVIS
OUT 4PCS 09/07/24 REF#75697 FOR SNR KUYA HACKET
OUT 06/28/24 35468 4PCS SALES MARLO
OUT 05/20/24 34425 4PCS SALES MARIA
OUT 2PCS 5/14/24 DR# SPC MASER
out 5/11/24 34226 2pcs sales bel
2PCS 10-22-23 JO#28996 BEL
4PCS 10-11-23 JO#28771 JARVIS
4PCS 10-9-23 DR#73910 SPC
4PCS 5-29-23 STF#2480 SPC
4PCS 4-28-23 STF#2434 SPC
4PCS 4-8-23 STF#2385 SPC
2PCS 4-1-23 JO#23824 BEL
2PCS 3-30-23 JO#23761 MARLO
4PCS 2-22-23 STF#2305 SPC
4PCS 2-15-23 JO#21763 JARVIS
4PCS 2-9-23 JO#21546 BEL
1PC 2-9-23 JO#21601 ALY
4PCS 1-26-23 JO#21253 BEL
4PCS 12-9-22 JO#200604 ALY
12PCS 9-30-22 STF#1997 SPC
8PC 9-11-22 ST001970 SPC
2PC 9-6-22 JO17895 ALY
4PCS 9-5-22 JO#17867 BEL
4pcs 6-4-22 JO#15812SALES
4pcs 5-30-22 JO#15685 SALES
10PC 04-29-2022 ST001760 SPC
2PC 04-30-2022 ST001759 SPC
2PC 04-11-22 JO14680 SALES
2PC 04-08-2022 JO14577 SALES
4PCS  3-21-22 JO#14263 BEL
2PCS 3-14-22 JO#13839 OFFICE
2PC 03-11-2022 JO13996 SALES </t>
        </r>
      </text>
    </comment>
    <comment ref="G874" authorId="0" shapeId="0" xr:uid="{E28A0E63-B381-DC44-B527-248C060C9CA2}">
      <text>
        <r>
          <rPr>
            <sz val="10"/>
            <rFont val="SimSun"/>
            <charset val="134"/>
          </rPr>
          <t xml:space="preserve">IN 1PCS 7.17.25 DR#78871 SPC HACKET
</t>
        </r>
      </text>
    </comment>
    <comment ref="H874" authorId="0" shapeId="0" xr:uid="{4B79ACC1-F06E-1A4C-B41E-4047F3D8FF90}">
      <text>
        <r>
          <rPr>
            <sz val="10"/>
            <rFont val="SimSun"/>
            <charset val="134"/>
          </rPr>
          <t>8.14.25
49682 1PC JARVIS</t>
        </r>
      </text>
    </comment>
    <comment ref="G876" authorId="0" shapeId="0" xr:uid="{43BE10D9-D7A4-9B4F-ADC5-7D8C6BC6DA64}">
      <text>
        <r>
          <rPr>
            <sz val="10"/>
            <rFont val="SimSun"/>
            <charset val="134"/>
          </rPr>
          <t>4PCS 6-9-22 STF#6465 SPC</t>
        </r>
      </text>
    </comment>
    <comment ref="H876" authorId="0" shapeId="0" xr:uid="{60EFE17E-B3B3-B847-AFFC-69C53D99CA5B}">
      <text>
        <r>
          <rPr>
            <sz val="10"/>
            <rFont val="SimSun"/>
            <charset val="134"/>
          </rPr>
          <t>4PCS 9-1-22 STF#1958 SPC</t>
        </r>
      </text>
    </comment>
    <comment ref="G877" authorId="0" shapeId="0" xr:uid="{C6C5D389-90A5-0C42-94BE-E02E6A2950B6}">
      <text>
        <r>
          <rPr>
            <sz val="10"/>
            <rFont val="SimSun"/>
            <charset val="134"/>
          </rPr>
          <t xml:space="preserve">IN 2PCS 09/09/24 DR#76527 SPC KUYA MIKE </t>
        </r>
      </text>
    </comment>
    <comment ref="H877" authorId="0" shapeId="0" xr:uid="{676DC1C6-6C9C-F243-A912-3A08413B881C}">
      <text>
        <r>
          <rPr>
            <sz val="10"/>
            <rFont val="SimSun"/>
            <charset val="134"/>
          </rPr>
          <t xml:space="preserve">09/10/24
37473 2PCS SALES JARVIS
</t>
        </r>
      </text>
    </comment>
    <comment ref="G878" authorId="0" shapeId="0" xr:uid="{C5145395-4DB0-A741-A460-D7467AC3FBA9}">
      <text>
        <r>
          <rPr>
            <sz val="10"/>
            <rFont val="SimSun"/>
            <charset val="134"/>
          </rPr>
          <t>IN 4PCS 01.22.26 DR79992 SPC RONNIE
IN 8PCS 10/03/24 DR#76629 SPC KUYA HACKET
IN 4PCS 10/01/24 DR#18975 SPC KUYA HACKET</t>
        </r>
      </text>
    </comment>
    <comment ref="H878" authorId="0" shapeId="0" xr:uid="{41B9DD60-EB65-8344-9E1B-651EE8453CCA}">
      <text>
        <r>
          <rPr>
            <sz val="10"/>
            <rFont val="SimSun"/>
            <charset val="134"/>
          </rPr>
          <t xml:space="preserve">11/27/24 8PCS DR#75475 FOR SNR
11/11/24
39604 4pcs sales jarvis
</t>
        </r>
      </text>
    </comment>
    <comment ref="H880" authorId="0" shapeId="0" xr:uid="{3913AD1F-62E4-DE48-A3EA-B31F52BB44E4}">
      <text>
        <r>
          <rPr>
            <sz val="10"/>
            <rFont val="SimSun"/>
            <charset val="134"/>
          </rPr>
          <t>2PCS 5-11-22 STF#1776 SPC
2PC 12-01-2021 ST001517 SPC</t>
        </r>
      </text>
    </comment>
    <comment ref="G882" authorId="0" shapeId="0" xr:uid="{08A05D93-A654-F54D-9407-78186BCC638E}">
      <text>
        <r>
          <rPr>
            <sz val="10"/>
            <rFont val="SimSun"/>
            <charset val="134"/>
          </rPr>
          <t>4PCS 10-17-22 STF#7117 SPC</t>
        </r>
      </text>
    </comment>
    <comment ref="H882" authorId="0" shapeId="0" xr:uid="{9BDCBA00-0CB6-3840-87DB-C23E87B774BD}">
      <text>
        <r>
          <rPr>
            <sz val="10"/>
            <rFont val="SimSun"/>
            <charset val="134"/>
          </rPr>
          <t>4PCS 10-18-22 JO#18849 JARVIS</t>
        </r>
      </text>
    </comment>
    <comment ref="G885" authorId="0" shapeId="0" xr:uid="{EC838BB1-4BA8-CA46-8A7B-A5BBC8AA762F}">
      <text>
        <r>
          <rPr>
            <sz val="10"/>
            <rFont val="SimSun"/>
            <charset val="134"/>
          </rPr>
          <t>IN 4PCS 2.11.25 DR#77352 SPC KUYA EMMAN
2PCS 11-25-22 STF#7284 SITE A
2PCS 11-16-22 STf#7247 SPC
2PCS 9-27-22 STF#6994 SPC
4PS 6-23-22 STF#6528 SPC
4PCS 6-9-22 STF#6465 SPC
6PC 03-02-2022 ST005995 SPC
4PCS 1-18-22 STF#1721 A</t>
        </r>
      </text>
    </comment>
    <comment ref="H885" authorId="0" shapeId="0" xr:uid="{B4043A21-35B8-414B-9B6E-FE583E95B6D7}">
      <text>
        <r>
          <rPr>
            <sz val="10"/>
            <rFont val="SimSun"/>
            <charset val="134"/>
          </rPr>
          <t>OUT 4PCS 6.18.25 DR#78324 SPC HACKET
3PCS 1-9-24 DR#73372 SPC OLD DOT
1pc 9-16-23 JO#28178 OFFICE
2[PCS 11-24-22 JO#19721 JARVIS
4PCS 11-15-22 JO#19465 MARLO
2PCS 10-13-22 JO#18771 SALES
2PCS 8-26-22 JO#17635 ALY
4PC 6-2-22 STF#1809 SPC
4PCS 4-27-22 STf#1751 SPC
2PC 02-24-2022 JO13698 SALES
4PCS 1-18-22 STF001597 LIPA A
9PCS 1-4-22 STF#1572 SPC
18PC 12-13-2021 ST001545 SPC</t>
        </r>
      </text>
    </comment>
    <comment ref="G886" authorId="0" shapeId="0" xr:uid="{873BB84D-782C-BD41-9BDC-F8A3436F6F5B}">
      <text>
        <r>
          <rPr>
            <sz val="10"/>
            <rFont val="SimSun"/>
            <charset val="134"/>
          </rPr>
          <t xml:space="preserve">IN 8PCS 02.25.26 DR81865/SI83812 (9,673)
</t>
        </r>
      </text>
    </comment>
    <comment ref="G890" authorId="0" shapeId="0" xr:uid="{E819441F-8353-F642-AF12-5C46868F4F7B}">
      <text>
        <r>
          <rPr>
            <sz val="10"/>
            <rFont val="SimSun"/>
            <charset val="134"/>
          </rPr>
          <t>IN 2PCS 01.03.26 DR79942 SPC HACKET
IN 2PCS 11.01.25 DR#79851 SPC HACKET
IN 4PCS 9.30.25 DR#79627 SPC HACKET
IN 4PCS 8.1.25 DR#78817 SPC EMMAN
IN 4PCS 01-03-25 DR#76868 SPC KUYA HACKET
IN 8PCS 10/03/24 DR#76629 SPC KUYA HACKET
IN 4PCS 10/02/24 DR#76625 SPC KUYA HACKET
IN 4PCS 10/01/24 DR#18975 SPC KUYA HACKET
IN 4PCS 5-24-24 DR#75158 SPC
IN 4PCS 05/23/24 DR#75047 SPC SIR NEL</t>
        </r>
      </text>
    </comment>
    <comment ref="H890" authorId="0" shapeId="0" xr:uid="{99695B11-8B7E-1343-8A5F-939F724EE5F1}">
      <text>
        <r>
          <rPr>
            <sz val="10"/>
            <rFont val="SimSun"/>
            <charset val="134"/>
          </rPr>
          <t>03.03.26
55693 2PCS JARVIS
OUT 2PCS 11.27.25 DR#80034 SPC BRY
10-21-25
2 PCS 51595 ALY
10.12.25
513512PCS ALY
9-4-25
2 PCS 50221 ALY 
OUT 4PCS 12/14/24 DR#75512 SPC KUYA ALWIN
OUT 8PCS 11/08/24 DR#75448 SPC KUYA ROI
OUT 4PCS 11/02/2024
JO39132 MARLO
OUT 06/19/24 35252 4PCS SALES ROSE
OUT 06/14/15 35106 2PCS SALES ROSE
OUT 06/14/15 35108 2PCS SALES ROSE
OUT 05/29/24 34644 2PCS SALES ROSE</t>
        </r>
      </text>
    </comment>
    <comment ref="G891" authorId="0" shapeId="0" xr:uid="{26BEF9C8-2057-9943-80A2-98DDE0860532}">
      <text>
        <r>
          <rPr>
            <sz val="10"/>
            <rFont val="SimSun"/>
            <charset val="134"/>
          </rPr>
          <t>IN 10PCS 01.30.26 DR81115/SI83067 CT GLOBAL
IN 4PCS 01.27.26 DR80339 SNV BRY
IN 4PCS 01.26.26 DR80179 LIPA A
IN 4PCS 11.01.25 DR#79851 SPC HACKET
IN 1PC 8.26.25 DR#79046 SPC MAM COLEEN
IN 4PCS 8.1.25 DR#78817 SPC EMMAN
IN 6PCS 11/02/24 DR#76697 SPC KUYA HACKET
IN 4PCS 10/01/24 DR#18975 SPC KUYA HACKET
IN 4PCS 09/12/24 DR#76532 SPC KUYA HACKET
IN 8PCS 08/30/24 DR#76559 SPC
KUYA BOYONG
IN 3PCS 08/15/24 DR#76521 SPC KUYA HACKET
IN 4PCS 06/29/24 DR# SPC KUYA HACKET 
IN 4PCS 06/26/24 DR# SPC MASTER
IN 4PCS 06/02/24 DR#75174 SPC
IN 4PCS 05/28/24 DR#73484 LIPA A
IN 12PCS 04/23/24 DR#74897 SPC
IN 4PCS 03/08/24 DR#73420
IN 12PCS 2/26/24 DR# 74838 SPC
4pcs 2-1-24 DR#74639 SPC
4PCS 2-3-24 DR#74646 SPC</t>
        </r>
      </text>
    </comment>
    <comment ref="H891" authorId="0" shapeId="0" xr:uid="{811F6BCE-9672-3345-BDFD-BFBFB5FBB542}">
      <text>
        <r>
          <rPr>
            <sz val="10"/>
            <rFont val="SimSun"/>
            <charset val="134"/>
          </rPr>
          <t>01.26.26
54599 4PCS ROSE
1-2-26
2 PCS OUT 53781 ALY
12-17-25 
2 PCS 53315 ROSE
OUT 4PCS 10.17.25 DR#79773 SPC ROBIN
OUT 1PCS 10.13.25 DR#79759 BIÑAN
4-10-25
4 PCS OUT JO45183 ALY
2PC OUT 1/3/25 JO41315 MARIBEL 
12-26-24
41092 2PCS SALES DAHLIA 
OUT 8PCS 12/14/24 DR#75512 SPC KUYA ALWIN
OUT 2PCS 11/6/2024
JO39193 SALES DALIA
09/07/24
37455 4PCS SALES DAHLIA
OUT 4PCS 08/24/24 REF#75681 FOR SNR RANGER
08/10/24
36676 4PCS SALES JARVIS
OUT 3PCS 07/16/24 REF#75654 STC KUYA EMMAN
OUT 06/25/24 35434 4PC SALES  OFFICE
OUT 4PCS 05/30/24 DR#75089 SPC KUYA HACKET
OUT 2PCS 05/15/24 REF# STC KUYA PING
OUT 2PCS 5/14/24 DR# SPC MASER
OUT 8PCS 05/07/24 DR# SPC KUYA HACKET
OUT 6PCS 04/010/24 DR#74764 SPC KUYA BOYONG
OUT 10PCS 03/23/24 DR#74735 SPC PICK UP KUYA HACKET
OUT 03/07/24 32523 4PCS SALES ROSE
6PCS 2-17-24 DR#74676 SPC
2PCS 2-9-24 JO#31777 SSALKES</t>
        </r>
      </text>
    </comment>
    <comment ref="G892" authorId="0" shapeId="0" xr:uid="{58810487-6A19-A149-B69B-A6C732CC81E3}">
      <text>
        <r>
          <rPr>
            <sz val="10"/>
            <rFont val="SimSun"/>
            <charset val="134"/>
          </rPr>
          <t>IN  4PCS 03/07/24 DR#74853 SPC 
4PCS 11-8-23 DR#74389 SPC
4pcs 3-11-23 STF#971 STC
4PCS 2-1-23 STF#7607 SPC
4PCS 11-15-22 STF#7242 SPC
2PC 11-05-22 ST007205 SPC
2PCS 10-27-22 STF#7162 SPC
4PCS 10-26-22 STF#7159 SPC
6PCS 9-27-22 STF#6994 SPC
4pcs 9-19-22 STF#6950 SPC
4PCS 9-11-22 STF#6912 SPC
2PCS 9-3-22 STF#1959 SPC
4PCS 9-1-22 STF#6863 SPC
2PCS 7-28-22 STF#6702 SPC
1PC 6-3-22 STF#6443 SPC
4PCS 5-21-22 STF#6360 SPC
4PC 05-13-2022 ST006330 SPC
4PC 04-16-2022 ST006209 SPC
 2PC 03-26-2022 ST006111 SPC
4PC 02-24-2022 ST005966 SPC</t>
        </r>
      </text>
    </comment>
    <comment ref="H892" authorId="0" shapeId="0" xr:uid="{E2CBCEC4-655D-0449-8AEF-D293C2058BCE}">
      <text>
        <r>
          <rPr>
            <sz val="10"/>
            <rFont val="SimSun"/>
            <charset val="134"/>
          </rPr>
          <t xml:space="preserve">4PCS 2-8-24 JO#31735 SALES
4PCS 3-28-23 STF#2370 SPC
4PCS 2-16-23 STF#2288 S&amp;R
4PCS 11-16-22 JO#19521ALY
4PC 11-6-22 JO19274 MARLO
4PCS 11-4-22 STF#2051 SPC
8PCS 9-30-22 STF#1997 SPC
2PCS 9-23-22 JO#18286 ALY
4PCS 9-11-22 JO#18033 ALY
2PC 9-3-22 ST001959 SPC
2PCS 9-1-22 JO#17791 LO
2PCS 8-19-22 STF#1936 SPC
2PC 8-15-22 JO17375 MARIBEL
2PCS 6-29-22 STf#1848 STC
3pcs 5-23-22 STF#1792 SPC
2PC 05-15-2022 JO15342  SALES
4PC 04-16-2022 JO14749 SALES
4PCS 4-1-22 STF#1704 SPC
2PC 02-26-2022 JO13761 SALES
</t>
        </r>
      </text>
    </comment>
    <comment ref="G893" authorId="0" shapeId="0" xr:uid="{E00210CD-1C41-4E45-9261-04EA4A69C321}">
      <text>
        <r>
          <rPr>
            <sz val="10"/>
            <rFont val="SimSun"/>
            <charset val="134"/>
          </rPr>
          <t>IN 4PCS 02.25.26 DR80747 SPC BOYONG
IN 4PCS 01.22.26 DR79992 SPC RONNIE
IN 21PCS 11/09/24 DR#76596 SPC 
IN 8PCS 11/08/24 DR#76593 SPC KUYA ROI
IN 4PCS 10/01/24 DR#18975 SPC KUYA HACKET
IN 4PCS 07/12/24 DR#76010 SPC KUYA HACKET
IN 4PCS 06/26/24 DR# SPC MASTER
IN 4PCS 05/03/24 DR#75017 SPC
IN 8PCS 04/13/24 DR# SPC KUYA EMAN
IN 4PCS 3/20/24 DR#74873 SPC
IN 12PCS 03/06/24 DR#74850 SPC
1pc 1-16-24 DR#74615 spc
2PCS 12-27-23 DR#74540 SPC
4pcs 12-5-23 DR#74513 SPC
8PCS 11-27-23 DR#74447 SPC
4PCS 10-24-23 DR#74354 SPC
4PCS 2-1-23 STF#7607 SPC
4PCS 9-27-22 STF#6994 SPC
4PCS 7-18-22 STF#6648 SPC</t>
        </r>
      </text>
    </comment>
    <comment ref="H893" authorId="0" shapeId="0" xr:uid="{BFFEA7DF-09F9-1E4D-9AD5-196A7EFBBDD6}">
      <text>
        <r>
          <rPr>
            <sz val="10"/>
            <rFont val="SimSun"/>
            <charset val="134"/>
          </rPr>
          <t>02.25.26
55468 4PCS JARVIS
11.18.25
52414 4PCS JARVIS
OUT 3PCS 5.9.25 DR#77641 SPC ROI
4-9-25
4 PCS OUT JO45162 JARVIS
OUT 4PCS 3.28.25 DR#77194 SPC hacket
3.18.25 4PCS DR#77164 SPC HACKET
3.18.2 4pcs 5 DR#77163 STC KUYA HACKET
3.15.25
44163 4PCS ALY
3-6-25 4 PCS OUT JO43456 ALY
2-28-25
4 PCS OUT JO43448 JARVIS
4PC OUT 1/21/25 JO41949 DALIA
4PC 'OUT 1/11/25 JO41620 ALY 
4PC OUT 12/17/24 JO 40765 MARLO 
10/17/2024	38513 2PCS ALY
OUT 05/13/24 34237 4PCS SALES MARLO
OUT 8PCS 04/17/24 DR#74776-77 SPC KUYA HACKET
OUT 03/18/24 32776 4PCS SALES JARVIS
OUT 4PCS 03/14/24 DR#74717 SPC KUYA HACKET
2PCS 1-14-24 JO#31088 BEL
out 12-26-2023
30559 2pc sales
4pcs 12-16-23 DR#73974 SPC
4PCS 12-4-23 JO#29968 BEL
4PCS 11-13-23 DR#74268 SPC
4PCS 3-2-23 JO#22102 BEL
4PCS 11-12-22 STF#2067 SPC
4PCS 8-19-22 STF#1936 SPC</t>
        </r>
      </text>
    </comment>
    <comment ref="G894" authorId="0" shapeId="0" xr:uid="{CADB72DD-C02A-EA40-ADFD-FFF595DAFDF6}">
      <text>
        <r>
          <rPr>
            <sz val="10"/>
            <rFont val="SimSun"/>
            <charset val="134"/>
          </rPr>
          <t>4PCS 7-11-22 STF# SPC
4PS 6-23-22 STF#6528 SPC
4PCS 6-9-22 STF#6465 SPC</t>
        </r>
      </text>
    </comment>
    <comment ref="H894" authorId="0" shapeId="0" xr:uid="{324EC955-0C83-914B-AEC9-9533C5B08263}">
      <text>
        <r>
          <rPr>
            <sz val="10"/>
            <rFont val="SimSun"/>
            <charset val="134"/>
          </rPr>
          <t>5pcs 11-2-22 STF#2043 SPC
4PCS 10-27-22 STYF#2034 SPC
1PC 10-24-22 JO#19002 JARVIS
2PCS 9-10-22 JO#17986 ALY</t>
        </r>
      </text>
    </comment>
    <comment ref="G895" authorId="0" shapeId="0" xr:uid="{314AEF23-EA3C-B543-BEC6-8F7E143223A1}">
      <text>
        <r>
          <rPr>
            <sz val="10"/>
            <rFont val="SimSun"/>
            <charset val="134"/>
          </rPr>
          <t>4-21-25
2 PCS OUT JO45450 JARVIS
1pc 3-15-23 STF#7845 SPC</t>
        </r>
      </text>
    </comment>
    <comment ref="H895" authorId="0" shapeId="0" xr:uid="{AA0A9343-45FA-1144-84B4-0A1CCC6A5D7D}">
      <text>
        <r>
          <rPr>
            <sz val="10"/>
            <rFont val="SimSun"/>
            <charset val="134"/>
          </rPr>
          <t>1PC COMPNAY VEHICLE DAK 1067 RANGER</t>
        </r>
      </text>
    </comment>
    <comment ref="G896" authorId="0" shapeId="0" xr:uid="{B4FC8140-1F74-234C-BF48-56C4D8715675}">
      <text>
        <r>
          <rPr>
            <sz val="10"/>
            <rFont val="SimSun"/>
            <charset val="134"/>
          </rPr>
          <t>IN 2PCS 03.03.26 DR39625 SVB 9,000
IN 4PCS 01.22.26 DR79993 SPC RONNIE
IN 4PCS 01.20.26 DR79985 SPC SERVICE
IN 4PCS 01.15.26 DR79974 SPC BRY
IN 2PCS 12.11.25 DR#80303 SNV
IN 2PCS 12.12.25 DR#78687 LIPA A
IN 4PCS 11.7.25 DR#79863 SPC HACKET
IN 2PCS 10.13.25 DR#78727 LIPA A
IN 4PCS 10.5.25 DR#79642 SPC RONNIE
IN 1PCS 10.1.25 DR#78714 LIPA A
IN 4PCS 8.1.25 DR#78817 SPC EMMAN
IN 4PCS 7.27.25 DR#78900 SPC RONNIE
IN 4PCS 6.24.25 DR#77769 SPC SERVICE
IN 4PCS 6.11.25 DR#78785 SPC BRIAN 
IN 4PCS 6.10.25 DR#78783 SPC HACKET
IN 2PCS 5.5.25 DR#77704 SPC EMMAN
IN 4PCS 4.30.25 DR#77693 SPC HACKET
IN 4PCS 4.28.25 DR#77686 SPC EMMAN
IN 6PCS 4.23.25 DR#77675 SPC MIKE
IN 8PCS 4.15.24 DR#77664 SPC HACKET
IN 5PCS 4.2.25 DR#77385 SPC HACKET
IN 2PCS 3.29.25 DR#77381 SPC MIKE
IN 8PCS 3.29.25 DR#77380 SPC
IN 4PCS 3.28.25 DR#77371 SPC HACKET
IN 2PCS 3.26.25 DR#77359 SPC MIKE
IN 4PCS 3.20.25 DR#77437 SPC EMMAN
IN 4PCS 3.18.25 DR#77435 SPC MIKE
IN 1PCS 2.1525 DR#77064 LIPA A
IN 14PCS 12-30-24 DR#76862 SPC KUYA RONNIE
IN 8PCS 12-28/24 DR#76860 SPC KUYA HACKET
IN 4PCS 12-27-24 DR#76859 SPC KUYA HACKET
IN 4PCS 10-26-24 DR#76857 SPC KUYA BOYONG
1PCS 12-19-24 DR#76856 SPC 
4PCS 12-17-24 DR76150 LIPA A
IN 4PCS 11/09/24 DR#76596 SPC 
IN 2PCS 11/02/24 DR#76697 SPC KUYA HACKET
IN 8PCS 10/01/24 DR#18975 SPC KUYA HACKET
IN 2PCS 09/11/24 DR#18859 SPC KUYA MIKE
IN 4PCS 09/03/24 DR#76562 SPC MASTER
IN 8PCS 08/22/24 DR#76553 SPC KUYA EMMAN
IN 4PCS 08/22/24 DR#76552 SPC KUYA MIKE
IN 4PCS 08/13/24 DR#76071 LIPA A KUYA MIKE
IN 4PCS 08/010/24 DR#76517 SPC KUYA MIKE
IN 8PCS 08/07/24 DR#76510 SPC KUYA HACKET
IN 6PCS 07/30/24 DR# SPC KUYA EMAN
IN 8PCS 07/15/24 DR#75236 SPC KUYA EMMAN
IN 12PCS 06/30/24 DR#75219 SPC KUYA HACKET 
IN 1PCS 06/28/24 dr#75216 SPC
IN 11PCS 06/20/24 DR#75189 SPC KUYA MIKE
IN 4PCS 06/17/24 DR#73493 LIPA A
IN 4PCS 05/31/24 DR#75171 SPC KUYA HAKCET
IN 6PCS 05/21/24 DR#75042 SPC KUYA BOYONG
IN 4PCS 05/15/24 DR#75041 SPC
IN 12PCS 05/09/24 DR#75031 SPC MASTER
IN 4PCS 05/07/24 DR#75022 SPC SIR NEL
IN 2PCS 05/07/24 DR#75027 SPC SIR RJ
IN 2PCS 05/07/24 DR#73475 LIPA A
IN 4PCS 05/04/24 DR#73473 LIPA
IN 12PCS 04/03/24 DR#74890 SPC
in 2pcs 04/01/24 dr#73440 lipa a 
IN 8PCS 3/20/24 DR#74873 SPC
IN 2PCS 3/19/24 DR#73432 LIPA A
IN 1PC 03/12/24 DR#74865 SPC
IN 3PCS 03/12/24 DR#73425 LIPA A
8pcs 2-8-24 DR#74807 SPC
12PCS 2-7-24 DR#74650-74801 SPC
6PCS 2-3-24 DR#74646 SPC
9PCS 1-31-24 DR# SPC
1PC 1-27-24 DR#74630 SPC
12PCS 12-30-23 DR# SPC
2PCS 12-30-23 DR#73321 L;IPA A
2PCS 12-26-23 DR#73317 LIPA A
4PCS 12-16-23 DR#74533 SPC
8PCS 11-27-23 DR#74449 SPC</t>
        </r>
      </text>
    </comment>
    <comment ref="H896" authorId="0" shapeId="0" xr:uid="{4095D2CD-79EE-A940-AE15-2AE4E668CCAF}">
      <text>
        <r>
          <rPr>
            <sz val="10"/>
            <rFont val="SimSun"/>
            <charset val="134"/>
          </rPr>
          <t>03.03.26
55670 2PCS JARVIS
1-24-26
4 PCS 54520 ALY
1-21-26
4 PCS 54387 JARVIS
01.15.26
54218 4PCS JARVIS
1-10-26
2 PCS 54065 JARVIS
2 PCS 54064 JARVIS
12.2.25
52871 1PC MARLO
OUT 1PCS 12.2.25 DR#80043 LIPA A ROI
11-29-25
2 PCS 52775 MARIBEL
10-13-25
2 PCS 51394 JARVIS
10-8-25
4 PCS 51257 JARVIS
10-1-25
4 PCS 51041 JARVIS
10-1-25
4 PCS 51025 ALY
OUT 1PC 8.30.25 DR#78438 BIÑAN HACKET
7-4-25
4 PCS 47955 ALY
6.21.25
47901 4PCS ALY
6-10-25
4 PCS 47160 ROSE
6-1-25
 4PCS 47047 ALY 
5-2-25
45992 2PCS JARVIS
4-29-25
4 PCS 45613 ALY
OUT 4PCS 4.28.25 DR#77625 LIPA A
4-25-25
4 PCS 45597 ROSE
OUT 2PCS 4.20.25 DR#74321 SPC
4-11-25
4 PCS OUT JO45216 ALY
OUT 1PCS 4.7.25 DR#77561 SNR KUYA EMMAN
4-2-25
4 pcs OUT JOO44670 MARIBEL
3.30.25
44722 2PCS SALES DAHLIA
3-29-25
4PCS OUT JO44660
 MARIBEL
3-29-254 PCS OUT JO44655 MARIBEL
3-27-25
2PCS OUT JO44637 JARVIS
3.25.25
44408 4PCS JARVIS
4 PCS OUT 3-19-25 JO44145 JARVIS
4 PCS OUT 2-15-25 JO42933 ROSE
1-23-35
41714 4PCS SALES OFFICE
12-31-24
41271 4pcs sales bel
4PCS OUT 12/19/24 JO40891 ROSE
4PC OUT 12/17/24 JO 40765 MARLO 
OUT 4PCS 11/22/24 JO39797 ALY
OUT 4PCS SALES 11/11/24
JO 39594 ALY 
11-04-2024
39144 4PCS SALES JARVIS
10/23/24
38704 2PCS SALES ALY
10/07/24
38246 4PCS SALES JARVIS
09/10/24
37533 2PCS SALES JARVIS
09/02/24
37308 4PCS SALES JARVIS
08/22/24
37022 4PCS SALES DAHLIA
08/15/24
36808 4PCS SALES JARVIS
OUT 1PC 08/14/24 DR#75371 SPC
08/12/24
36752 4PCS SALES ROSE
08/10/24
36673 2PCS SALES JARVIS
36674 1PC SALES JARVIS
08/09/24
36639 4PCS SALES JARVIS
08/06/24
36585 4PCS SALES BEL
08/05/24
36532 4PCS SALES DAHLIA
07/30/24
36391 4PCS SALES BEL
07/25/24
36271 2PCS SALES JARVIS
07/15/24
36002 4PCS SALES BEL
out 2pcs 07/10/24 dr#75137 spc
OUT 07/06/24 35782 2PCS SALES BEL
OUT 07/05/24 35710 2PCS SALES  BEL
OUT 07/02/24 35613 2PCS SALES BEL
OUT 06/28/24 35500 4PCS SALES BEL
OUT 06/27/27 35428 4PCS SALES  BEL
OUT 1PC 06/26/24 DR#75119 SPC MASTER
OUT 06/24/24 35340 2PCS SALES  ROSE
OUT 06/23/24 35384 2PCS SALES BEL
OUT 1PC 06/17/24 DR#75111 SPC KUYA MIKE
OUT 06/17/24 35194 4PCS SALES JARVIS
OUT 06/14/15 35124 2PCS SALES BEL
OUT 06/14/15 35125 2PCS SALES BEL
OUT 06/09/24 34988 2PCS SALES BEL 
OUT 05/27/24 34626 4PCS SALES  BEL
OUT 05/19/24 34463 2PCS SALES BEL
OUT 05/19/24 34465 4PCS SALES BEL
5/17/2024 4PCS 34393 JARVIS
5/17/2024 2PCS 34391 JARVIS
OUT 05/14/24 34283 4PCS SALES JARVIS
OUT 05/11/24 34200 2PCS SALES  
JARVIS
OUT 05/07/24 34086 4PCS SALES MARLO
OUT 05/06/24 34010 4PCS SALES  JARVIS
OUT 05/02/24 33946 4PCS SALES JARVIS
OUT 05/01/24 33941 4PCS SALES
JARVIS
OUT 05/01/24 33943 4PCS SALES
JARVIS
OUT 04/15/24 33515 2PCS SALES JARVIS
OUT 04/01/24 33128 4PCS SALES BEL
OUT 03/26/24 32987 2PCS SALES JARVIS
OUT 03/20/24 32843 4PCS SALES JARVIS
OUT 03/19/24 32832 4PCS SALES BEL
OUT 03/15/24 2PCS SALES 32726
OUT 03/12/24 4PCS SALES 32673 JARVIS
OUT 4PCS 3/10/23 DR#74705 SPC 
OUT 03/08/24 32508 4PCS SALES JARVIS
OUT 03/04/2024 32390 2PCS SALES JARVIS
OUT 03/04/2024 32415 2PCS SALES LEN
OUT 2/29/24 32321 4PCS SALES JARVIS
2PCS 2-16-24 31978 JARVISO
4pcs 2-8-24 31757 jarvis
4PCS 2-8-24 JO#31697 SALES
4PCS 2-7-24 31732 SAELS
2/5/2024 31638 4PC SALES
4PCS 2-3-24 JO#31606 BEL
4PCS 1-22-24 JO#31190 MARLO
OUT 01-09-2024
30827 4PCS SALES ROSE
2PCS 1-4-24 JO#30719 BEL
2PCS 1-3-24 DR#73999 LIPA A
2PCS 12-30-23 JO#30639 JARVIS
4PCS 12-26-23 JO#30581 BEL
4PCS 12-21-23 JO#30376 MARLO
4PCS 12-15-23 JO#30269 MARIBEL
2PCS 12-12-23 JO#30009 JARVIS</t>
        </r>
      </text>
    </comment>
    <comment ref="G898" authorId="0" shapeId="0" xr:uid="{14353C04-BFBC-FA42-827C-66E3DB92413F}">
      <text>
        <r>
          <rPr>
            <sz val="10"/>
            <rFont val="SimSun"/>
            <charset val="134"/>
          </rPr>
          <t>1PC 8-27-23 DR#74165 SPC
4PCS 10-26-22 STF#7159 SPC</t>
        </r>
      </text>
    </comment>
    <comment ref="H898" authorId="0" shapeId="0" xr:uid="{74E08C8A-6444-FE4B-A7BA-1A3503C64C72}">
      <text>
        <r>
          <rPr>
            <sz val="10"/>
            <rFont val="SimSun"/>
            <charset val="134"/>
          </rPr>
          <t>1PC 8-27-23 JO#27778 ARIEL
4PCS 10-27-22 JO#19013 ALY</t>
        </r>
      </text>
    </comment>
    <comment ref="G899" authorId="0" shapeId="0" xr:uid="{97BB1E61-8880-314D-8D03-A430B90FBC0F}">
      <text>
        <r>
          <rPr>
            <sz val="10"/>
            <rFont val="SimSun"/>
            <charset val="134"/>
          </rPr>
          <t>IN 4PCS 01.22.26 DR79992 SPC RONNIE
IN 12PCS 10/03/24 DR#76629 SPC KUYA HACKET
IN 4PCS 10/01/24 DR#18975 SPC KUYA HACKET</t>
        </r>
      </text>
    </comment>
    <comment ref="H899" authorId="0" shapeId="0" xr:uid="{A41BDBAF-9859-B845-A17F-5EFBC4472728}">
      <text>
        <r>
          <rPr>
            <sz val="10"/>
            <rFont val="SimSun"/>
            <charset val="134"/>
          </rPr>
          <t>1-24-25 
41908 4PCS C/O BOSS SAM (WQK 5780
12-27-24
41132 4PCS SALES ALY
8PCS 10-18-24 DR#75453 SPC KUYA HACKET</t>
        </r>
      </text>
    </comment>
    <comment ref="G900" authorId="0" shapeId="0" xr:uid="{076A5134-B042-BF45-A02E-D06B1D08474F}">
      <text>
        <r>
          <rPr>
            <sz val="10"/>
            <rFont val="SimSun"/>
            <charset val="134"/>
          </rPr>
          <t>IN 2PCS 01.29.26 DR80710 SPC ROBIN
IN 4PCS 11.01.25 DR#79851 SPC HACKET
IN 1PCS 9.30.25 DR#79624 SPC HACKET
IN 4PCS 8.1.25 DR#78817 SPC EMMAN
IN 1PCS 6.10.25 DR#78783 SPC HACKET
IN 4PCS 4.2.25 DR#77385 SPC HACKET
IN 1PCS 3.24.25 DR#77446 SPC MIKE
IN 4PCS 10-18-24 DR#76661 SPC KUYA HACKET
IN 4PCS 10/03/24 DR#76629 SPC KUYA HACKET</t>
        </r>
      </text>
    </comment>
    <comment ref="H900" authorId="0" shapeId="0" xr:uid="{0FE248AA-8DAD-7241-867E-14ED18F9C78E}">
      <text>
        <r>
          <rPr>
            <sz val="10"/>
            <rFont val="SimSun"/>
            <charset val="134"/>
          </rPr>
          <t>OUT 2PCS 02.19.26 DR80868 STC SERVICE
OUT 2PCS 02.02.26 DR80234 STC
01.26.26
54545 2PCS MARLO
OUT 1PC 12.12.25 DR#80064 SPC ROBIN
10-25-25
2 PCS 51747 MARIBEL
OUT 1PC 10.15.25 DR#79767 SPC MIKE
9-29-25
2 PCS 50978 JARVIS
OUT 4PCS 4.7.25 DR#77561 SNR KUYA EMMAN
3.24.25
44422 1PC JARVIS
4PCS 10-18-24 DR#75453 SPC KUYA HACKET
4pcs for CRV C/O SPC</t>
        </r>
      </text>
    </comment>
    <comment ref="G904" authorId="0" shapeId="0" xr:uid="{27184F36-0D92-5E45-BB6C-F26252F702F9}">
      <text>
        <r>
          <rPr>
            <sz val="10"/>
            <rFont val="SimSun"/>
            <charset val="134"/>
          </rPr>
          <t>IN 4PCS 01.22.26 DR79993 SPC RONNIE
IN 4PCS 10-18-24 DR#76661 SPC KUYA HACKET
IN 8PCS 10/03/24 DR#76629 SPC KUYA HACKET
IN 4PCS 10/02/24 DR#76625 SPC KUYA HACKET</t>
        </r>
      </text>
    </comment>
    <comment ref="H904" authorId="0" shapeId="0" xr:uid="{F70C1BAD-4946-BD48-BC54-A87AA19FDF33}">
      <text>
        <r>
          <rPr>
            <sz val="10"/>
            <rFont val="SimSun"/>
            <charset val="134"/>
          </rPr>
          <t>4PCS 10-18-24 DR#75453 SPC KUYA HACKET
OUT 12PCS 10/13/24 DR#75728 SPC KUYA HACKET</t>
        </r>
      </text>
    </comment>
    <comment ref="G905" authorId="0" shapeId="0" xr:uid="{17D1DF3B-7587-1A49-ACAE-6D1F1CF4816A}">
      <text>
        <r>
          <rPr>
            <sz val="10"/>
            <rFont val="SimSun"/>
            <charset val="134"/>
          </rPr>
          <t>IN 4PCS 6.24.25 DR#77766 SPC HACKET
IN 4PCS 5.10.25 DR#75780 STC
IN 7PCS 3.17.25 DR#77430 SPC BRIAN
IN 32PCS 11/09/24 DR#76596 SPC 
IN 6PCS 11/08/24 DR#76593 SPC KUYA ROI
IN 3PCS 10-18-24 DR#76661 SPC KUYA HACKET
IN 9PCS 10/03/24 DR#76629 SPC KUYA HACKET
IN 5PCS 10/02/24 DR#76625 SPC KUYA HACKET
IN 4PCS 10/01/24 DR#18975 SPC KUYA HACKET
IN 4PCS 07/12/24 DR#76010 SPC KUYA HACKET
IN 4PCS 07/04/24 DR#75223 SPC KUYA HACKET
IN 4PCS 06/11/24 DR#75326 SPC KUYA MIKE 
IN 4PCS 05/06/24 DR# SPC MASTER
IN 8PCS 3/20/24 DR#74873 SPC
IN 8PCS 03/19/24 DR#74782  SPC 
12PCS 12-30-23 DR# SPC
4PCS 12-21-23 DR#74538 SPC
8PCS 11-27-23 DR#74447 SPC
2PCS 9-25-23 DR#73724 SPC
2PCS 9-25-23 DR#73723 SPC
4PCS 4-28-23 STf#8055 SPC
4PCS 9-27-22 STF#6994 SPC
4PCS 7-18-22 STF#6648 SPC</t>
        </r>
      </text>
    </comment>
    <comment ref="H905" authorId="0" shapeId="0" xr:uid="{399D5750-A43A-A34E-A45B-FA23060B380E}">
      <text>
        <r>
          <rPr>
            <sz val="10"/>
            <rFont val="SimSun"/>
            <charset val="134"/>
          </rPr>
          <t>5-10-25
4 PCS 46268 JARVIS
5-10-25
4 PCS 46262 JARVIS
4PCS OUT 3-17-25 JO44178 DALIA
4 PCS OUT 3-17-25 JO44206  MAIRBEL 
 3.8.25 4PCS DR#77142 BINAN HACKET
2.24.25
43325 4PCS ALY
OUT 12PCS 2.16.25 DR#77103 SPC
OUT 1PC 2.15.25 DR#76998 SPC
4 PC OUT 2/6/25 JO42645 MARIBEL
4 PC OUT 2/5/25 JO42617 ALY
4 PC OUT 1/29/25 JO42229 ALY
1-18-25
41697 4PCS SALES ALY
41870 4PCS SALES MARIBEL
OUT 12-18-2024
40820 4PCS SALES JARVIS
11/23/24
39907 4PCS SALES MAM JEN
10/15/24
38572 4PCS SALES MARLO
10/01/24
38108 2PCS SALES JARVIS
OUT 1PC 09/16/24 REF#
OUT 1PCS 08/19/24 REF#75678 STC MASTER
08/09/24
36647 2PCS SALES BEL
OUT 06/24/24 35374 4PCS SALES JARVIS
OUT 4PCS 05/20/24 DR#75074 SPC KUYA BOYONG
OUT 3PCS 04/17/24 DR#74776-77 SPC KUYA HACKET
OUT 8PCS 4/10/24 DR#74763 SPC KUYA HACKET
1pc 4/9/2024 dr#74760 spc
OUT 4PCS 03/27/24 DR#74741 SPC PICK UP KUYA HACKET
OUT 2/29/24 4PCS SALES
OUT 1-11-24
31017 4PCS SALES
4PCS 1-3-24 DR#73999 LIPA A
OUT 12-23-2023
30478 4PCS SALES MARIBEL (NO IN)
4PCS 12-20-23 DR#73980 SPC
4PCS 12-8-23 JO#30027 ROSE
4PCS 9-25-23 JO#28398 BEL
4PCS 5-5-23 STF#2442 SPC
4PCS 10-27-22 STF#2035 SPC
4PCS 7-27-22 STF#1896 SPC</t>
        </r>
      </text>
    </comment>
    <comment ref="G906" authorId="0" shapeId="0" xr:uid="{78F04CE0-46CF-2C4D-BF19-7FBCC2687C53}">
      <text>
        <r>
          <rPr>
            <sz val="10"/>
            <rFont val="SimSun"/>
            <charset val="134"/>
          </rPr>
          <t>4PCS 7-14-22 STF#6635 SPC
4PCS 7-11-22 STF#6617 SPC</t>
        </r>
      </text>
    </comment>
    <comment ref="H906" authorId="0" shapeId="0" xr:uid="{6BEA89DE-B541-D445-B2A6-A0D7E03AA797}">
      <text>
        <r>
          <rPr>
            <sz val="10"/>
            <rFont val="SimSun"/>
            <charset val="134"/>
          </rPr>
          <t>2PCS 4-8-24 33299 BEL
OUT 04/07/24 33298 4PCS SALES  MARLO
OUT 03/30/24 33080 4PCS SALES MARLO
OUT 4PCS 03/21/24 DR#74732 SPC 
OUT 03/11/24 4PCS 32529 ROSE
4pcs 2-19-24 32062 sales
2/5/2024 31644 4PC SALES
OUT 1-28-24 JO#31455 4PCS SALES
OUT 01-20-2024
31226 4PCS SALES MARIBEL
2PCS 1-18-24 JO#31080 ROSE
4PCS 1-4-24 JO#30766 JARVIS
4PCS 1-3-24 DR#73999 LIPA A
2pcs 12-22-23 DR#73984 SPC
4pcs 12-19-2023 jo#30010 jarvis
2PCS 12-18-23 JO#30356 BEL
4PCS 12-8-2023 30027 ROSE
4PCS 12-7-23 JO#30061 BEL
4PCS 11-29-23 JO#29871 JARVIS</t>
        </r>
      </text>
    </comment>
    <comment ref="G907" authorId="0" shapeId="0" xr:uid="{9842D889-18A7-CB4C-A633-49B58BEF0C18}">
      <text>
        <r>
          <rPr>
            <sz val="10"/>
            <rFont val="SimSun"/>
            <charset val="134"/>
          </rPr>
          <t>IN 4PCS 01.13.26 DR79969 SPC ROI
IN 2PCS 12.22.25 DR#79909 SPC RONNIE
IN 4PCS 12.18.25 DR#79747 SPC BRY
IN 1PC 11.28.25 DR#79706 SPC
IN 2PCS 11.01.25 DR#79851 SPC HACKET
IN 4PCS 8.11.25 DR#79006-07 SPC EMMAN
IN 4PCS 8.1.25 DR#78817 SPC EMMAN
IN 4PCS 7.27.25 DR#78900 SPC RONNIE
IN 1PCS 7.22.25 DR#78884 SPC MIKE
IN 2PCS 7.14.25 DR#78865 SPC BRY
IN 4PCS 7.7.25 DR#77798 SPC BRY
IN 4PCS 6.10.25 DR#78783 SPC HACKET
IN 4PCS 6.4.25 DR#77221 BIÑAN HACKET
IN 2PCS 6.1.25 DR#78062 LIPA A
IN 4PCS 5.22.25 DR#77747 SPC RONNIE
IN 4PCS 5.13.25 DR#77725 SPC ROI
IN 4PCS 4.27.25 DR#78010 LIPA A
IN 8PCS 4.2.25 DR#77385 SPC HACKET
IN 4PCS 3.18.25 DR#77435 SPC MIKE
IN 4PCs 3.7.25 DR#77050 SPC HACKET
IN 4PCS 1-8-25 DR#76876 SPC
IN 9PCS 12-30-24 DR#76862 SPC KUYA RONNIE
IN 9PCS 12-28/24 DR#76860 SPC KUYA HACKET
IN 8PCS 12-27-24 DR#76859 SPC KUYA HACKET
IN 4PCS 10-26-24 DR#76857 SPC KUYA BOYONG
4PCS 12-16-24 DR76148 LIPA A 
IN 4PCS 12-14-24 DR#76148 LIPA A
8PCS 12-09-24 DR76145 LIPA B 
IN 6PCS 10/03/24 DR#76629 SPC KUYA HACKET
IN 2PCS 10/02/24 DR#76625 SPC KUYA HACKET
IN 4PCS 10/01/24 DR#18975 SPC KUYA HACKET
IN 2PCS 09/11/24 DR#18859 SPC KUYA MIKE
IN 12PCS 08/30/24 DR#76559 SPC
KUYA BOYONG
IN 4PCS 08/15/24 DR#76521 SPC KUYA HACKET
IN 3PCS 08/13/24 DR#76071 LIPA A KUYA MIKE
IN 1PC 08/13/24 DR#76518 SPC KUYA MIKE
IN 4PCS 07/30/24 DR# SPC KUYA EMMAN
IN 8PCS 06/25/24 DR#75195 SPC KUYA BOYONG
IN 4PCS 05/31/24 DR#75171 SPC KUYA HAKCET
IN 2PCS 05/28/24 REF#75616 STC MAM JHO
IN 4PCS 5-24-24 DR#73482 LIPA A
IN 4PCS 05/22/24 DR#75049 SPC KUYA ALDWIN
IN 8PCS 04/13/24 DR#SP0021 SPC KUYA EMAN
IN  4PCS 04/10/24 DR#74900 SPC
IN 12PCS 04/03/24 DR#74890 SPC
IN 1PC 03/12/24 DR#74865 SPC
IN 10PCS 03/06/24 DR#74850 SPC
6PCS 2-3-24 DR#74646 SPC
4pcs 1-6-24 DR#74603 SPC
12PCS 12-30-23 DR# SPC
4pcs 12-20-23 DR#74596 SPC
2PCS 12-18-23 DR#74534 SPC
4pcs 12-8-23 DR#73305 LIPA A
4PCS 12-7-23 DR#74516 SPC
4PCS 11-29-23 DR#74502 SPC
4PCS 11-27-23 DR#74447 SPC</t>
        </r>
      </text>
    </comment>
    <comment ref="H907" authorId="0" shapeId="0" xr:uid="{20CC7AE2-EC34-584C-9FD9-859B35D608FE}">
      <text>
        <r>
          <rPr>
            <sz val="10"/>
            <rFont val="SimSun"/>
            <charset val="134"/>
          </rPr>
          <t>12.22.25
53515 4PCS JARVIS
12-20-25
2 PCS 53465 JARVIS
12-6-25
1 PC 52770 ROSE
11-28-25
4 PCS 52733 JARVIS
10-16-25
4 PCS 51473 JARVIS
8-29-25
4 PCS  50085 MARIBEL 
OUT 4PCS 7.30.25  DR#78387 LIPA A
7.26.25
49021 4PCS ALY
7-25-25
1 PC 48830 ROSE
7-11-25
2 PCS 48557 MARLO
6-22-25
4 PCS 47584 HANNA
6.19.25
47806 4PCS ALY
6-1-25
4 PCS 47042 ALY
5-24-25 
2 PCS JARVIS 46770
5-20-25
4 PCS 46509 ALY
5-2-25
45933 4PCS JARVIS
4-27-25
4 pcs 45778 DALIA
4-16-25
4 PCS OUT JO45381 JARVIS
4-16-25
4 PCS OUT JO45381 JARVIS
4-12-25
4 PC SOUT JO45237 MARIBEL
4-4-25
2 PCS OUT JO44886 ALY 
4 PCS OUT 3-26-25 JO44605
JARVIS
3.24.25
44436 4PCS JARVIS
3-5-25 4 PCS OUT JO43762 JARVIS
3-3-25
1 PC OUT JO43577 JARVIS
3.2.25
DR#77134 4PCS SPC SIR NHEL
1-17-25
41875 1PC SALES JARVIS
01-07-25
41483 4PCS SALES BEL
OUT 4PCS 01-04-25 DR#75546 LIPA A
12-28-24 SALES
41176 4pcs bel
12-27-24
41126 4PCS SALES BEL
41125 4PCS SALES BEL
41114 4PCS SALES DAHLIA
4PC OUT 12/17/24 JO40747 ALY
OUT 12-14-2024
40672 LAY 4PCS (FROM LIPA A)
OUT 4PCS 12-11-24 DR#75504 FOR SNR
4PCS 12/9/24 JO40498 MARIBEL 
4PCS OUT 12/8/24 JO40504 ALY
12-04-24
40351 2PCS SALES ALY
11/27/24
40132 4pcs sales aly
OUT 4PCS 11/14/24 JO39697 JARVIS
10/27/24
38828 4PCS SALES JARVIS
09/29/24
38062 2PCS SALES BEL
OUT 4PCS 09/10/24 DR#75404 LIPA A KUYA ROI
09/09/24
37525 2PCS SALES BEL
OUT 2PCS 08/23/24 DR#75384 LIPA A JEREMY
OUT 2PCS 08/21/24 DR#75380 SPC SERVICE
08/21/24
37002 4PCS SALES JARVIS
08/11/24
36712 4PCS SALES BEL
OUT 1PC 08/08/24 DR#75367 SPC SERVICE
1PC FOR WARRANTY KUYA JARVIS
08/05/24
36552 2PCS SALES JARVIS
07/30/24
36415 4PCS SALES MARLO
07/26/24
36259 2pcs sales bel
07/21/24
36128 2PCS SALES JARVIS
OUT 4PCS 06/17/24 DR#75110 SPC MASTER
OUT 05/25/24 34587 2PCS SALES JARVIS
4PCS 5/24/2024 34571 ROSE
OUT 05/21/24 34501 5PCS SALES LEN
OUT 05/20/24 34474 4PCS SALES JARVIS
5/17/2024 2PCS 35369 ROSE
OUT 4/20/24 33651 1PCS SALES JARVIS (FOR WARRANTY)
OUT 4/20/24 33651 1PCS SALES 
JARVIS (FOR WARRANTY)
OUT 04/11/24 33433 4PCS SALES JHONLY
OUT 04/10/24 2PCS SALES 33369  JARVIS 
OUT 04/07/24 33298 4PCS SALES  MARLO
OUT 03/30/24 33080 4PCS SALES MARLO
OUT 4PCS 03/21/24 DR#74732 SPC 
OUT 03/11/24 4PCS 32529 ROSE
4pcs 2-19-24 32062 sales
2/5/2024 31644 4PC SALES
OUT 1-28-24 JO#31455 4PCS SALES
OUT 01-20-2024
31226 4PCS SALES MARIBEL
2PCS 1-18-24 JO#31080 ROSE
4PCS 1-4-24 JO#30766 JARVIS
4PCS 1-3-24 DR#73999 LIPA A
2pcs 12-22-23 DR#73984 SPC
4pcs 12-19-2023 jo#30010 jarvis
2PCS 12-18-23 JO#30356 BEL
4PCS 12-8-2023 30027 ROSE
4PCS 12-7-23 JO#30061 BEL
4PCS 11-29-23 JO#29871 JARVIS</t>
        </r>
      </text>
    </comment>
    <comment ref="G908" authorId="0" shapeId="0" xr:uid="{63691F00-970C-5644-A68F-F7A20BCD73A9}">
      <text>
        <r>
          <rPr>
            <sz val="10"/>
            <rFont val="SimSun"/>
            <charset val="134"/>
          </rPr>
          <t>IN 1PCS 10.27.25 DR#79689 SPC BRY
IN 1PC 8.18.25 DR#79028 SPC LALAMOVE
IN 1PC 6.29.25 DR#77779 SPC MEET UP
IN 1PCS 6.21.25 DR#77763 SPC HACKET
IN 2PCS 6.18.25 DR#78080 A
IN 4PCS 09/03/24 DR#76562 SPC MASTER
1pc 8-14-23 dr#74080 spc</t>
        </r>
      </text>
    </comment>
    <comment ref="H908" authorId="0" shapeId="0" xr:uid="{09547230-1648-E342-A11C-100EE0EB9782}">
      <text>
        <r>
          <rPr>
            <sz val="10"/>
            <rFont val="SimSun"/>
            <charset val="134"/>
          </rPr>
          <t>OUT 1PC 11.17.25 DR#80018 BINAN LLAMOVE
8-18-25
1 PC 49765 JARVIS
6-29-25
21 PC 48116 JARVIS 
6.21.25
47829 1PC MARLO
6-18-25
2 PCS 47657 ALY
OUT 1PC 4.8.25 DR#77567 SPC ADWIN
OUT 1PC 2.6.25 DR#76973 LIPA A
1PC  11/20/24 JO39783 JARVID
10/18/2024	38596 1PCS SALES
1PC 8-14-23 JO#27503 ROSE</t>
        </r>
      </text>
    </comment>
    <comment ref="G909" authorId="0" shapeId="0" xr:uid="{41928449-4FC0-764B-9B4B-49BD7D24CA90}">
      <text>
        <r>
          <rPr>
            <sz val="10"/>
            <rFont val="SimSun"/>
            <charset val="134"/>
          </rPr>
          <t>IN 2PCS 2.7.25 DR#450432841 GOODYEAR</t>
        </r>
      </text>
    </comment>
    <comment ref="H909" authorId="0" shapeId="0" xr:uid="{DB5705CC-E414-7043-B396-46052D679137}">
      <text>
        <r>
          <rPr>
            <sz val="10"/>
            <rFont val="SimSun"/>
            <charset val="134"/>
          </rPr>
          <t>2 PC OUT 2-8-25 JO42682 JARVIS</t>
        </r>
      </text>
    </comment>
    <comment ref="G912" authorId="0" shapeId="0" xr:uid="{8E56FEB2-C632-254C-8772-EADFD9A4C924}">
      <text>
        <r>
          <rPr>
            <sz val="10"/>
            <rFont val="SimSun"/>
            <charset val="134"/>
          </rPr>
          <t>IN 1PC 7.25.25 DR#78895 SPC LALAMOVE
IN 4PCS 07/22/24 DR#68240 CTGLOBAL
2PC 1-12-24 DR# SPC
12PCS 12-30-23 DR# SPC
2PCS 11-11-23 DR#74502 SPC
4PCS 10-16-23 DR#74238 SPC
4PCS 4-22-23 STF#8025 SPC
4PCS 2-1-23 STF#7607 SPC
4PCS 12-3-22 STF#7321 SPC
4PCS 9-5-22 STF#6875 SPC
4PCS 8-18-22 STF#6800 SPC
4PC 8-6-22 STF#6739 SPC
4PCS 6-22-22 STF#6519 SPC
14PC 03-26-2022 ST006111 SPC
3PC 3-15-22 STF#6066 SPC
4PC 01-08-2022 ST005749 SPC
2PCS  12-17-21 ST005670 SPC
4PCS - 11/19/2021 ST005546 SPC</t>
        </r>
      </text>
    </comment>
    <comment ref="H912" authorId="0" shapeId="0" xr:uid="{6D036C63-87C8-B049-8856-1AB6F398E83F}">
      <text>
        <r>
          <rPr>
            <sz val="10"/>
            <rFont val="SimSun"/>
            <charset val="134"/>
          </rPr>
          <t xml:space="preserve">OUT 1PC 11.11.25 DR#80009 SPC HACKET
0/22/24
36184 4pcs sales kuya jarvis
2pcs 1-22-24 DR#73393 SPC
6pcs 1-20-24 DR#73390-91 SPC
4PCS 1-3-24 DR#73999 LIPA A
2PCS 12-30-23 JO#30712 BEL
2PCS 11-12-23 29369 JEN
4pcs 10-27-23 DR#73940 SPC
4PCS 5-5-23 STF#2442 SPC
3PCS 2-16-23 STF#2288 S&amp;R
1PC 2-11-23 JO#21651 JARVIS
4pcs 2-2-23 stf#2260 SPC
4PCS 12-10-22 STF#2131 SPC
4PCS 11-4-22 STF#2051 SPC
3PCS 10-15-22 STF#2016 SPC
1PC 10-12-22 STF#2011 SPC
4PC 9-4-22 JO17858 MARIBEL
4PC 8-15-22 JO17362 MARLO
4PC 05-05-2022 ST001769 SPC
1PC 4-27-22 STf#1751 SPC
11PCS 4-19-22 STF#1736 SPC
1PC 03-18-2022 JO14160 SALES
1PC 03-18-2022 ST001683 SPC
1PC 03-11-2022 JO14026 SALES
2PC 03-10-22 JO14032 SALES
1PC 1-4-22 JO#12720 PAUL
1PPC 12-28-21 JO#12378 LIZA
1PC 12-13-2021 ST001545 SPC
2PC 12-04-2021 JO#12056 LIZA
1PC 11-21-2021 JO#12027 1PC PAU
</t>
        </r>
      </text>
    </comment>
    <comment ref="G913" authorId="0" shapeId="0" xr:uid="{89752BCA-ABD2-CF4A-972E-A5CCBF012C41}">
      <text>
        <r>
          <rPr>
            <sz val="10"/>
            <rFont val="SimSun"/>
            <charset val="134"/>
          </rPr>
          <t>IN 4PCS 11.01.25 DR#79851 SPC HACKET
IN 4PCS 10.5.25 DR#79642 SPC RONNIE
IN 4PCS 8.5.25 DR#78835 SPC HACKET
IN 4PCS 3.20.25 DR#77437 SPC EMMAN
IN 2PCS 1-24-25 DR#77003 SPC 
IN 1PCS 01-03-25 DR#76868 SPC KUYA HACKET
---------------------------------------------
IN 8PCS 12-10-24 DR#75746 SPC KUYA HACKET
IN 3PCS 12-04-24 DR#75738 SPC BRIAN
IN 5PCS 12-03-24 DR#76138 LIPA A
IN 4PCS 10/01/24 DR#18975 SPC KUYA HACKET
IN 4PCS 09/03/24 DR#76562 SPC MASTER
IN 4PCS 04/17/24 DR# SPC KUYA HACKET
IN 8PCS 03/06/24 DR#74850 SPC
4PCS 11-29-23 DR# SPC
4PCS 11-27-23 DR#74447 SPC</t>
        </r>
      </text>
    </comment>
    <comment ref="H913" authorId="0" shapeId="0" xr:uid="{FBA65615-E0CF-0F4B-85E4-4DA69C202882}">
      <text>
        <r>
          <rPr>
            <sz val="10"/>
            <rFont val="SimSun"/>
            <charset val="134"/>
          </rPr>
          <t>OUT 4PCS 01.20.26 DR80208 SNR
OUT 1PC 01.09.26 DR80094 SNR SPC
1-5-26
2PCS 53799 MARIBEL
12-18-25
1 PC 53350 ALY
OUT 4PCS 9.8.25 DR#78449 SPC BRY MEET UP
6.27.25
48009 1PC BEL
OUT 2PCS 6.6.25 DR#78310 STC FOR SNR EMMAN
6-1-25
4 PCS 47042 ALY
OUT 4PCS 5.10.25 DR#77645 SPC HACKET
OUT 2PCS 4.17.25 DR#77603 SPC SERVICE
4 PCS OUT 3-20-25 JO44301
 JARVIS
4PC OUT 1/24/25 JO42089 JARVIS
2PC OUT 1/24/25 JO42086 JARVIS
4PC OUT 1/2/25 JO41280
MARIBEL
OUT 4PCS 12/14/24 JO40303 JARVIS
OUT 1PC 12-12-24 DR#75514 FOR SNR KUYA RONNIE
OUT 4PCS 12/3/24 JO40308 JARVIS
OUT 3PCS 11/30/24 DR#75482 SPC KUYA HACKET
OUT 1PC 11/25/24 DR#75472 FOR SNR
OUT 06/01/24 34752 4PCS SALES BEL
OUT 4PCS 05/30/24 DR#75089 SPC KUYA HACKET
OUT 04/14/24 33498 4PCS SALES JARVIS
OUT 04/12/24 33424 2PCS SALES BEL
OUT 03/20/24 32846 2PCS SALES JARVIS
2PCS 12-6-23 JO#29997 MARLO
4pcs 11-28-23 JO#29836 JARVIS</t>
        </r>
      </text>
    </comment>
    <comment ref="G914" authorId="0" shapeId="0" xr:uid="{2C3E7C67-C9D1-0A49-8571-39F83C5F66D9}">
      <text>
        <r>
          <rPr>
            <sz val="10"/>
            <rFont val="SimSun"/>
            <charset val="134"/>
          </rPr>
          <t>IN 4PCS 01.29.26 DR79138 STC YONG
IN 1PCS 01.22.26 DR79993 SPC RONNIE
IN 1PCS 10.17.25 DR#79671 SPC ROBIN/ALWIN
IN 4PCS 8.1.25 DR#78818 SPC EMMAN
IN 3PCS 5.29.25 DR#78763 SPC SERVICE
IN 1PCS 5.28.25 DR#78758 SPC HACKET
IN 4PCS 5.21.25 DR377745 SPC ADWIN
IN 2PCS 5.02.25 DR#78022 LIPA A
IN 1PC 4.23.25 DR#78001 LIPA A
IN 4PCS 08/30/24 DR#76559 SPC
KUYA BOYONG
IN 1PC 08/26/24 DR#76555 SPC RANGER
IN 1PC 07/22/24 DR#7542 SPC KUYA BOYONG
IN 1PCS 03/21/24 DR#74875 SPC</t>
        </r>
      </text>
    </comment>
    <comment ref="H914" authorId="0" shapeId="0" xr:uid="{9ABC3800-43CD-0A43-9B6D-75583C3EDB7A}">
      <text>
        <r>
          <rPr>
            <sz val="10"/>
            <rFont val="SimSun"/>
            <charset val="134"/>
          </rPr>
          <t>OUT 1PC 02.23.26 DR80874 SNV 
 01.29.26
54665 4PCS JARVIS
12-15-25
1 PC OUT 53238 MARLO
12-12-25
1 PCS 53153 MARIBEL
10-14-25
1 PC 51397 JARVIS
OUT 2PCS 10.7.25 DR#79294 SPC ROI
7-2-25
1 PC 48315 JARVIS
7.1.25
48255 1PC JARVIS
05-31-2025
1PC OUT JO#47012 HANA
5.29.25
46945 1PC JARVIS
5.21.25
46614 4PCS BEL
OUT 1PCS 5.21.25 DR#77975 SPC ADWIN
5.3.25
45970 1PC JARVIS
4-23-25
1 PC 45535 MARLO
OUT 3PCS 4.8.25 DR#77567 SPC ADWIN
1 PC OUT 3-10-25 JO43868 MARIBEL
1 PC OUT 2-11-25 JO42778 ALY
07/24/24
36205 1PC MARIA
OUT 03/21/24 32867 1PCS SALES MARLO</t>
        </r>
      </text>
    </comment>
    <comment ref="G916" authorId="0" shapeId="0" xr:uid="{41677005-4479-5E44-9601-4876C86D85F3}">
      <text>
        <r>
          <rPr>
            <sz val="10"/>
            <rFont val="SimSun"/>
            <charset val="134"/>
          </rPr>
          <t>4PCS 3-7-23 STF#7800 SPC</t>
        </r>
      </text>
    </comment>
    <comment ref="H916" authorId="0" shapeId="0" xr:uid="{7128CF6B-C65D-1E4A-8F86-60A64CA8ECC6}">
      <text>
        <r>
          <rPr>
            <sz val="10"/>
            <rFont val="SimSun"/>
            <charset val="134"/>
          </rPr>
          <t>4pcs 1-6-24 DR#73359 SPC OLD DOT</t>
        </r>
      </text>
    </comment>
    <comment ref="G917" authorId="0" shapeId="0" xr:uid="{7BFE7D66-C58E-C749-830E-519CAB969E27}">
      <text>
        <r>
          <rPr>
            <sz val="10"/>
            <rFont val="SimSun"/>
            <charset val="134"/>
          </rPr>
          <t>4PCS 3-7-23 STF#7800 SPC</t>
        </r>
      </text>
    </comment>
    <comment ref="H917" authorId="0" shapeId="0" xr:uid="{3967BB46-D741-094E-8F45-48B73B130C2F}">
      <text>
        <r>
          <rPr>
            <sz val="10"/>
            <rFont val="SimSun"/>
            <charset val="134"/>
          </rPr>
          <t>4PCS 8-17-23 DR#72222 LIPA A</t>
        </r>
      </text>
    </comment>
    <comment ref="G918" authorId="0" shapeId="0" xr:uid="{8F9B934B-3D88-C74F-8A37-F4D49FCCD4C3}">
      <text>
        <r>
          <rPr>
            <sz val="10"/>
            <rFont val="SimSun"/>
            <charset val="134"/>
          </rPr>
          <t>4PCS 3-7-23 STF#7800 SPC</t>
        </r>
      </text>
    </comment>
    <comment ref="H918" authorId="0" shapeId="0" xr:uid="{CDAA788E-6B7D-084A-B603-F77282F7DB30}">
      <text>
        <r>
          <rPr>
            <sz val="10"/>
            <rFont val="SimSun"/>
            <charset val="134"/>
          </rPr>
          <t>2pcs 1-6-24 DR#73359 SPC OLD DOT
2PCS 3-11-23 JO#22321 MARLO</t>
        </r>
      </text>
    </comment>
    <comment ref="G920" authorId="0" shapeId="0" xr:uid="{092C2782-A3E3-F64B-9E18-961ED5B8C82F}">
      <text>
        <r>
          <rPr>
            <sz val="10"/>
            <rFont val="SimSun"/>
            <charset val="134"/>
          </rPr>
          <t>4PCS 3-7-23 STF#7800 SPC</t>
        </r>
      </text>
    </comment>
    <comment ref="H920" authorId="0" shapeId="0" xr:uid="{F5A27478-948A-9E46-9483-CF7AB66C661C}">
      <text>
        <r>
          <rPr>
            <sz val="10"/>
            <rFont val="SimSun"/>
            <charset val="134"/>
          </rPr>
          <t xml:space="preserve">4PCS 11-6-23 DR#74255 SPC </t>
        </r>
      </text>
    </comment>
    <comment ref="G921" authorId="0" shapeId="0" xr:uid="{3E7F587F-D881-6C41-B884-DBFF34141532}">
      <text>
        <r>
          <rPr>
            <sz val="10"/>
            <rFont val="SimSun"/>
            <charset val="134"/>
          </rPr>
          <t>4PCS 3-7-23 STF#7800 SPC</t>
        </r>
      </text>
    </comment>
    <comment ref="H921" authorId="0" shapeId="0" xr:uid="{06ADF757-4A23-D444-8871-843A878937FF}">
      <text>
        <r>
          <rPr>
            <sz val="10"/>
            <rFont val="SimSun"/>
            <charset val="134"/>
          </rPr>
          <t>4PCS 6-21-23 JO#26159MARLO</t>
        </r>
      </text>
    </comment>
    <comment ref="G924" authorId="0" shapeId="0" xr:uid="{533EFA68-B1A2-B14C-99EC-785435481B50}">
      <text>
        <r>
          <rPr>
            <sz val="10"/>
            <rFont val="SimSun"/>
            <charset val="134"/>
          </rPr>
          <t>4PCS 3-7-23 STF#7800 SPC</t>
        </r>
      </text>
    </comment>
    <comment ref="H924" authorId="0" shapeId="0" xr:uid="{1BD7AF6B-B93C-F745-8EBA-CDCAC9EC42D4}">
      <text>
        <r>
          <rPr>
            <sz val="10"/>
            <rFont val="SimSun"/>
            <charset val="134"/>
          </rPr>
          <t>4pcs 1-6-24 DR#73359 SPC OLD DOT</t>
        </r>
      </text>
    </comment>
    <comment ref="H929" authorId="0" shapeId="0" xr:uid="{C6E2A5DC-3149-F94F-828B-65A7A5AF5A00}">
      <text>
        <r>
          <rPr>
            <sz val="10"/>
            <rFont val="SimSun"/>
            <charset val="134"/>
          </rPr>
          <t>3PCS 12-24-21 STF#1560 SPC
1PC 11-29-21 JO#12174 JARVIS</t>
        </r>
      </text>
    </comment>
    <comment ref="H930" authorId="0" shapeId="0" xr:uid="{F9835171-62F1-AF48-8D7C-2EB36BE6CECF}">
      <text>
        <r>
          <rPr>
            <sz val="10"/>
            <rFont val="SimSun"/>
            <charset val="134"/>
          </rPr>
          <t>4PC 10-22-22 JO18965 JARVIS</t>
        </r>
      </text>
    </comment>
    <comment ref="G933" authorId="0" shapeId="0" xr:uid="{3956D308-820F-7C42-BECF-24BB939283E6}">
      <text>
        <r>
          <rPr>
            <sz val="10"/>
            <rFont val="SimSun"/>
            <charset val="134"/>
          </rPr>
          <t>4PCS 3-7-23 STF#7800 SPC</t>
        </r>
      </text>
    </comment>
    <comment ref="H933" authorId="0" shapeId="0" xr:uid="{708AE9D5-ECD0-0F4A-BE70-4C264A96E2DB}">
      <text>
        <r>
          <rPr>
            <sz val="10"/>
            <rFont val="SimSun"/>
            <charset val="134"/>
          </rPr>
          <t>4pcs 1-6-24 DR#73360 SPC OLD DOT</t>
        </r>
      </text>
    </comment>
    <comment ref="G934" authorId="0" shapeId="0" xr:uid="{75751D40-44ED-4A40-8518-C5096D1C9389}">
      <text>
        <r>
          <rPr>
            <sz val="10"/>
            <rFont val="SimSun"/>
            <charset val="134"/>
          </rPr>
          <t>4PCS 6-16-22 STF#1979 SITE A</t>
        </r>
      </text>
    </comment>
    <comment ref="H934" authorId="0" shapeId="0" xr:uid="{BD7AECDD-23A7-0740-B2D8-8DAEC649C5D4}">
      <text>
        <r>
          <rPr>
            <sz val="10"/>
            <rFont val="SimSun"/>
            <charset val="134"/>
          </rPr>
          <t>4PCS 6-16-22 JO#16081 SALES
4PCS 6-4-22 JO#15821 SALES
2PCS 12-24-21 STF#1560 SPC
2PCS 11-29-21 STF#1513 SPC</t>
        </r>
      </text>
    </comment>
    <comment ref="G935" authorId="0" shapeId="0" xr:uid="{6FA8FC4A-83EA-FB44-9F0C-D37FAA86D01F}">
      <text>
        <r>
          <rPr>
            <sz val="10"/>
            <rFont val="SimSun"/>
            <charset val="134"/>
          </rPr>
          <t>4PCS 3-7-23 STF#7800 SPC</t>
        </r>
      </text>
    </comment>
    <comment ref="G936" authorId="0" shapeId="0" xr:uid="{846B4C11-75F8-DD42-9CFB-200024134B10}">
      <text>
        <r>
          <rPr>
            <sz val="10"/>
            <rFont val="SimSun"/>
            <charset val="134"/>
          </rPr>
          <t>2PCS 1-10-23 STF#7477 SPC</t>
        </r>
      </text>
    </comment>
    <comment ref="H936" authorId="0" shapeId="0" xr:uid="{4896C924-6FF9-A743-B569-FEC486E22E05}">
      <text>
        <r>
          <rPr>
            <sz val="10"/>
            <rFont val="SimSun"/>
            <charset val="134"/>
          </rPr>
          <t>2PCS 1-10-23 JO#20790 BEL
2PC 04-14-22 ST001731 LIPA A
2PC 03-23-2022 JO14260 SALES
1PC 02-14-2022 JO#13515 SALES
2PC 01-20-2022 ST001599 SPC
1PC - 10/25/2021 JO11465 LIZA</t>
        </r>
      </text>
    </comment>
    <comment ref="G937" authorId="0" shapeId="0" xr:uid="{B0187482-D7BB-D54F-99F6-E0D6671E47E5}">
      <text>
        <r>
          <rPr>
            <sz val="10"/>
            <rFont val="SimSun"/>
            <charset val="134"/>
          </rPr>
          <t>1pc 1-24-24 DR#82992 MOTOZENTRUM
1pc 1-16-24 dr# 74515 spc
2pc 1-6-24 DR#73326 LIPA A
2pcs 12-14-23 DR# LIPA A
4pcs 3-4-23 STF#7784 SPC</t>
        </r>
      </text>
    </comment>
    <comment ref="H937" authorId="0" shapeId="0" xr:uid="{7DB8C401-739B-8E4D-840C-03FD59589D54}">
      <text>
        <r>
          <rPr>
            <sz val="10"/>
            <rFont val="SimSun"/>
            <charset val="134"/>
          </rPr>
          <t>OUT 2/29/24 1PCS SALES
1pc forwarranty pull out by sir nelson motozentrum
2PCS 1-6-24 JO#30875 MARLO
4pcs 12-14-23 Jo#30246 marlo
2PCS 9-18-23 JO#28257 MARLO</t>
        </r>
      </text>
    </comment>
    <comment ref="G941" authorId="0" shapeId="0" xr:uid="{E53D4200-D888-254D-870A-2E0B92B4984B}">
      <text>
        <r>
          <rPr>
            <sz val="10"/>
            <rFont val="SimSun"/>
            <charset val="134"/>
          </rPr>
          <t>IN 4PCS 11/27/24 DR#75728 SPC KUYA HACKET
IN 4PCS DR#75725 SPC KUYA MIKE</t>
        </r>
      </text>
    </comment>
    <comment ref="H941" authorId="0" shapeId="0" xr:uid="{E70EF994-8C8A-6344-9B06-B5847B442997}">
      <text>
        <r>
          <rPr>
            <sz val="10"/>
            <rFont val="SimSun"/>
            <charset val="134"/>
          </rPr>
          <t>OUT 4PCS 4.8.25 DR#77567 SPC ADWIN
OUT 4PCS 1.28.25 DR#76954 SPC</t>
        </r>
      </text>
    </comment>
    <comment ref="G942" authorId="0" shapeId="0" xr:uid="{70B86335-13F5-2E45-B1CD-EDAEC5BB5555}">
      <text>
        <r>
          <rPr>
            <sz val="10"/>
            <rFont val="SimSun"/>
            <charset val="134"/>
          </rPr>
          <t>IN 4PCS 11/27/24 DR#75728 SPC KUYA HACKET</t>
        </r>
      </text>
    </comment>
    <comment ref="H942" authorId="0" shapeId="0" xr:uid="{DF91E951-C054-7240-A1BC-18437CAE2ACB}">
      <text>
        <r>
          <rPr>
            <sz val="10"/>
            <rFont val="SimSun"/>
            <charset val="134"/>
          </rPr>
          <t xml:space="preserve">OUT 4PCS 3.26.25 DR#77191 SPC MIKE </t>
        </r>
      </text>
    </comment>
    <comment ref="G943" authorId="0" shapeId="0" xr:uid="{B1DDDC24-7A09-2C48-B2CB-A281A5CA23C6}">
      <text>
        <r>
          <rPr>
            <sz val="10"/>
            <rFont val="SimSun"/>
            <charset val="134"/>
          </rPr>
          <t>IN 4PCS 11/27/24 DR#75728 SPC KUYA HACKET</t>
        </r>
      </text>
    </comment>
    <comment ref="H943" authorId="0" shapeId="0" xr:uid="{AA54BDB6-6600-0E43-A068-F104DD7FD87A}">
      <text>
        <r>
          <rPr>
            <sz val="10"/>
            <rFont val="SimSun"/>
            <charset val="134"/>
          </rPr>
          <t xml:space="preserve">OUT 4PCS 02.18.26 DR80865-68 SPC HACKET
</t>
        </r>
      </text>
    </comment>
    <comment ref="G944" authorId="0" shapeId="0" xr:uid="{1C71D046-6844-454E-9FC6-BEE473816A34}">
      <text>
        <r>
          <rPr>
            <sz val="10"/>
            <rFont val="SimSun"/>
            <charset val="134"/>
          </rPr>
          <t>IN 4PCS 11/27/24 DR#75728 SPC KUYA HACKET</t>
        </r>
      </text>
    </comment>
    <comment ref="H944" authorId="0" shapeId="0" xr:uid="{DC4DF268-E45B-DF4F-B5DD-890A5C3FEC5A}">
      <text>
        <r>
          <rPr>
            <sz val="10"/>
            <rFont val="SimSun"/>
            <charset val="134"/>
          </rPr>
          <t>OUT 3PCS 4.8.25 DR#77567 SPC ADWIN
OUT 1PCS 1.28.25 DR#76954 SPC</t>
        </r>
      </text>
    </comment>
    <comment ref="G945" authorId="0" shapeId="0" xr:uid="{8D87FC6F-52F4-9347-B465-2E1667D4E176}">
      <text>
        <r>
          <rPr>
            <sz val="10"/>
            <rFont val="SimSun"/>
            <charset val="134"/>
          </rPr>
          <t>IN 1PCS 7.20.25 DR#77235 BINAN HACKET
IN 4PCS 11/30/24 DR#75731 SPC KUYA HACKET</t>
        </r>
      </text>
    </comment>
    <comment ref="H945" authorId="0" shapeId="0" xr:uid="{A02441EA-EDE2-EA45-BD71-8A2EE55DC83C}">
      <text>
        <r>
          <rPr>
            <sz val="10"/>
            <rFont val="SimSun"/>
            <charset val="134"/>
          </rPr>
          <t xml:space="preserve">OUT 1PCS 7.26.25 DR#78379 SPC RONNIE
6-11-25
2 PCS 47300 ALY
6-10-25
2 PCS 47274 JARVIS
</t>
        </r>
      </text>
    </comment>
    <comment ref="G946" authorId="0" shapeId="0" xr:uid="{A01FCF2B-7657-4046-B53A-BB2232E4AEF0}">
      <text>
        <r>
          <rPr>
            <sz val="10"/>
            <rFont val="SimSun"/>
            <charset val="134"/>
          </rPr>
          <t>IN 2PCS 10.25.25 DR#78740 LIPA A
IN 4PCS 11/30/24 DR#75731 SPC KUYA HACKET</t>
        </r>
      </text>
    </comment>
    <comment ref="H946" authorId="0" shapeId="0" xr:uid="{3E3A8256-0BFF-DC45-9138-F93339E4835B}">
      <text>
        <r>
          <rPr>
            <sz val="10"/>
            <rFont val="SimSun"/>
            <charset val="134"/>
          </rPr>
          <t>10-25-25
 2 PCS 51719 MARLO
OUT 4PCS 6.11.25 DR#78317 SPC BRY</t>
        </r>
      </text>
    </comment>
    <comment ref="G947" authorId="0" shapeId="0" xr:uid="{BE954A9E-627C-BF41-897F-5B7EAB21816E}">
      <text>
        <r>
          <rPr>
            <sz val="10"/>
            <rFont val="SimSun"/>
            <charset val="134"/>
          </rPr>
          <t>IN 4PCS 11/30/24 DR#75731 SPC KUYA HACKET</t>
        </r>
      </text>
    </comment>
    <comment ref="H947" authorId="0" shapeId="0" xr:uid="{B9BCDC7F-552B-6D43-AB30-35F467C76056}">
      <text>
        <r>
          <rPr>
            <sz val="10"/>
            <rFont val="SimSun"/>
            <charset val="134"/>
          </rPr>
          <t xml:space="preserve">OUT 2PCS 02.18.26 DR80865-68 SPC HACKET
9-11-25
2 PCS 50445 JEN
</t>
        </r>
      </text>
    </comment>
    <comment ref="G948" authorId="0" shapeId="0" xr:uid="{7CA56640-7FEA-4C46-98A7-64F4B575CCC8}">
      <text>
        <r>
          <rPr>
            <sz val="10"/>
            <rFont val="SimSun"/>
            <charset val="134"/>
          </rPr>
          <t>IN 2PCS  8.7.25 DR#78594 LIPA A
4PCS  12-5-23 SI#62803 SOUTHWAY</t>
        </r>
      </text>
    </comment>
    <comment ref="H948" authorId="0" shapeId="0" xr:uid="{EE533BFC-284D-6B46-8772-A7982388D894}">
      <text>
        <r>
          <rPr>
            <sz val="10"/>
            <rFont val="SimSun"/>
            <charset val="134"/>
          </rPr>
          <t>OUT 2PCS 9.10.25 DR#79254 SPC MIKE
01-02-25 4PCS DR#75541 SPC KUYA ALWIN</t>
        </r>
      </text>
    </comment>
    <comment ref="G949" authorId="0" shapeId="0" xr:uid="{6D25E2E9-6B53-2848-8A8E-89153761608E}">
      <text>
        <r>
          <rPr>
            <sz val="10"/>
            <rFont val="SimSun"/>
            <charset val="134"/>
          </rPr>
          <t>IN 4PCS 12.22.25 DR#79909 SPC RONNIE
IN 3PCS 4.4.25 DR#77390 SPC HACKET
4PCS 12-20-24 SOUTHWAY SI#65109
2PCS 12-20-24 SOUTHWAY SI#65107
2PCS 5-2-24 SI#63777 SOUTHWAY
IN 4PCS 03/18/24 DR#73431 LIPA A
2PCS 2-3-24 SI#63195 SOUTHWAY
4PCS 1-17-24 SI#63043 SOUTHWAY
4pcs 10-21-23 SI#62445 SOUTHWAY
4PCS 9-8-23 DR#39211 SOUTHWAY
4PCS 5-26-23 SI#61495 SOUTHWAY</t>
        </r>
      </text>
    </comment>
    <comment ref="H949" authorId="0" shapeId="0" xr:uid="{DECE5209-800E-F44E-9510-91ACBB144CD9}">
      <text>
        <r>
          <rPr>
            <sz val="10"/>
            <rFont val="SimSun"/>
            <charset val="134"/>
          </rPr>
          <t>02.16.26
55279 2PCS JARVIS
OUT 4PCS 10.15.25 DR#79765 SPC YONG
OUT 1PC 2.22.25 DR#77124 LIPA A
OUT 4PCS 2.15.25 DR#77101 BINAN KUYA RONNIE
OUT 4PCS 2.14.25 DR#76992 STC
----------------------------------------------
OUT 03/24/24 32972 2PCS SALES BEL
OUT 03/14/24 4PCS SALES 32667
OUT 01-23-2024
31298 2PCS SALES MARIBEL
4PCS 1-4-24 JO#30765 JARVIS
4pcs 10-15-2023 dr#73922 spc
4PCS 7-7-23 STF#2542 SPC</t>
        </r>
      </text>
    </comment>
    <comment ref="G950" authorId="0" shapeId="0" xr:uid="{CF084472-ACF3-174E-941C-70FB4D3DB641}">
      <text>
        <r>
          <rPr>
            <sz val="10"/>
            <rFont val="SimSun"/>
            <charset val="134"/>
          </rPr>
          <t>IN 2PCS 07/06/24 SI#64194 SOUTHWAY
2PCS 5-2-24 SI#63777 SOUTHWAY
IN 2PCS 03/15/24 SI#63605 SOUTHWAY
IN 4PCS 2/28/24  SI# 63450 SOUTHWAY
4PCS 6-29-23 SI#61776 SOUTHWAY
4PCS 6-9-23 SI#61575 SOUTHWAY
4PCS 5-26-23 SI#61495 SOUTHWAY</t>
        </r>
      </text>
    </comment>
    <comment ref="H950" authorId="0" shapeId="0" xr:uid="{9E53B16D-3EE0-6944-AFD9-5E0EB2B016C9}">
      <text>
        <r>
          <rPr>
            <sz val="10"/>
            <rFont val="SimSun"/>
            <charset val="134"/>
          </rPr>
          <t>02.16.26
55279 2PCS JARVIS
OUT 06/25/25 35424 2PCS SALES LEN
OUT 04/22/24 33577 2PCS SALES ROSE
OUT 2/28/24 32291 2PCS SALES
4PCS 2-2-24 JO#31594 JOHLY
4PCS 7-15-23 DR#73868 LIPA A</t>
        </r>
      </text>
    </comment>
    <comment ref="G951" authorId="0" shapeId="0" xr:uid="{E1E14740-53B6-D649-9A81-48CA6DD63214}">
      <text>
        <r>
          <rPr>
            <sz val="10"/>
            <rFont val="SimSun"/>
            <charset val="134"/>
          </rPr>
          <t>IN 4PCS 3.5.25 SI#65426 SOUTHWAY
IN 8PCS 2.22.25 SI#65338 SOUTHWAY</t>
        </r>
      </text>
    </comment>
    <comment ref="H951" authorId="0" shapeId="0" xr:uid="{6C813B0A-1521-0145-A47A-FFEE5C2255DF}">
      <text>
        <r>
          <rPr>
            <sz val="10"/>
            <rFont val="SimSun"/>
            <charset val="134"/>
          </rPr>
          <t>3-6-25 4 PCS OUT JO43487 DALIA
2.22.25 DR#7712 SPC KUYA ROI</t>
        </r>
      </text>
    </comment>
    <comment ref="G952" authorId="0" shapeId="0" xr:uid="{B04BD2D3-95CD-F34E-85DD-373C6595CA19}">
      <text>
        <r>
          <rPr>
            <sz val="10"/>
            <rFont val="SimSun"/>
            <charset val="134"/>
          </rPr>
          <t xml:space="preserve">
4PCS  5-8-23 SI#61417 SOUTHWAY</t>
        </r>
      </text>
    </comment>
    <comment ref="H952" authorId="0" shapeId="0" xr:uid="{2C20DDA4-7A7E-3C42-A988-65F5FAF3B326}">
      <text>
        <r>
          <rPr>
            <sz val="10"/>
            <rFont val="SimSun"/>
            <charset val="134"/>
          </rPr>
          <t>4PCS 5-29-23 JO#25637 BEL</t>
        </r>
      </text>
    </comment>
    <comment ref="G953" authorId="0" shapeId="0" xr:uid="{9174AC02-4427-9140-A29D-C7FA342A42E8}">
      <text>
        <r>
          <rPr>
            <sz val="10"/>
            <rFont val="SimSun"/>
            <charset val="134"/>
          </rPr>
          <t>IN 1PCS 01.12.26 DR79961 SPC HACKET
IN 20PCS 9.30.25 DR#79623 SPC RONIE
IN 6PCS 8.1.25 DR#78819 SPC EMMAN
IN 4PCS 7.10.25 DR#78857 SPC RONNIE
IN 4PCS 3.29.25 DR#77373 SPC mike
IN 4PCS 2.10.25 DR#77351 SPC KUYA EMMAN
IN 4PCS 10/13/24 DR#76646-48 SPC KUYA HACKET
IN 4PCS 09/26/24 DR#76609 SPC KUYA MIKE
IN 2PCS 09/16/24 SI#64613 SOUTHWAY
IN 2PCS 8-30-24 SI#64602 SOUTHWAY
IN 1PCS 07/06/24 SI#64194 SOUTHWAY
IN 1PCS 05/25/24 SI#64003 SOUTHWAY
1PC 5-17-24 SI#63892  SOUTHWAY
IN 4PCS 04/17/24 DR#73453 LIPA A
IN 4PCS 2/26/24 DR# 74838 SPC
8PCS 9-8-23 DR#39211 SOUTHWAY
1PC 8-6-23 DR#73267 LIPA A</t>
        </r>
      </text>
    </comment>
    <comment ref="H953" authorId="0" shapeId="0" xr:uid="{D0216D10-F1FF-1543-B3B9-AE01C70C8B9B}">
      <text>
        <r>
          <rPr>
            <sz val="10"/>
            <rFont val="SimSun"/>
            <charset val="134"/>
          </rPr>
          <t>1-10-26
1PC 54043 MARLO
11-30-25
4 PCS 52798 ALY
OUT 17PCS 10.29.25 DR#79787 SPC
8-23-25
4 PCS 49932 MARIBEL
8-4-25
4 PCS 49375 MARLO
7-28-25
2 PCS 48990 JARVIS
7.1.25
48253 2PCS JARVIS
6-25-25
2 PCS 47952 ALY
3.8.25 4PCS DR#77142 BIÑAN HACKET
OUT 2PCS 12-29-24 DR#75537 LIPA
2pcs out 12/13/24 jo40632 aly
10/02/24
38076 4PCS SALES ALY
OUT 4PCS 10/01/24 DR#75425 LIPA A
09/02/24
37317 1PC SALES BEL
OUT 1PCS 08/28/24 REF#75683 STC
7/23/24
36180 2PCS SALES BEL
OUT 06/27/27 35460 2PCS SALES LEN 
OUT 1PC 06/04/24 DR#75098 SPC KUYA HACKET
1PC 5/10/2024 34165 JOHNLY
OUT 2PCS 04/26/24 DR#74795 SPC
OUT 2PCS 03/13/24 DR#74709 SPC PICK UP KUYA ADWIN
OUT 03/01/24 32274 1PCS SALES BEL 
2pcs 10-26-23 STA CRUZ
4PCS 9-22-23 JO#28381 BEL
2PCS 9-12-23 JO#28103 BEL
5PCS 8-5-23 JO#27275 BEL
4PCS 8-1-23 DR#73895 SPC</t>
        </r>
      </text>
    </comment>
    <comment ref="G954" authorId="0" shapeId="0" xr:uid="{574D3F94-4F07-E540-87A8-9534438363F3}">
      <text>
        <r>
          <rPr>
            <sz val="10"/>
            <rFont val="SimSun"/>
            <charset val="134"/>
          </rPr>
          <t>4PCS 7-31-24 DR#76068 LIPA A
IN 4PCS 07/17/24 DR#76060 LIPA A
IN 4PCS 04/03/24 SI#63546 SOUTHWAY
 IN 8PCS 04/03/24 SI#63545 SOUTHWAY
 IN 4PCS 04/03/24 SI#63548 SOUTHWAY
 IN 4PCS 04/03/24 SI#63547 SOUTHWAY
4PCS 2-7-24 DR#74650;74801 SPC
8PCS 9-8-23 DR#39211 SOUTHWAY
8PCS 5-26-23 SI#61495 SOUTHWAY</t>
        </r>
      </text>
    </comment>
    <comment ref="H954" authorId="0" shapeId="0" xr:uid="{ECC72E04-5FEF-EC4D-A681-0B483E6FD7F8}">
      <text>
        <r>
          <rPr>
            <sz val="10"/>
            <rFont val="SimSun"/>
            <charset val="134"/>
          </rPr>
          <t>6-17-25
2 PCS ALY 47635
2PCS 12/7/24 JO40453 ROSE
4PCS 7-31-24 JO#36445 DAHLIA
07/24/24
36207 4PCS SALES MAM JEN
7/23/24
36186 2PCS SALES JARVIS
07/19/24
36097 2PCS SALES BEL
4PCS 5-17-24 DR#75069 LIPA A
8pcs 11-8-23 DR#74258 SPC
2PCS 8-11-23 JO#27397 JARBVIS
2PCS 6-28-23 STF#2524 LIPA A</t>
        </r>
      </text>
    </comment>
    <comment ref="G955" authorId="0" shapeId="0" xr:uid="{83F111B1-78DC-C74A-8DB8-9532372BCE5D}">
      <text>
        <r>
          <rPr>
            <sz val="10"/>
            <rFont val="SimSun"/>
            <charset val="134"/>
          </rPr>
          <t>IN 4PCS 8.7.25 DR#78842 SPC HACKET
IN 16PCS 7.5.25 DR#0047051 SOUTHWAY</t>
        </r>
      </text>
    </comment>
    <comment ref="H955" authorId="0" shapeId="0" xr:uid="{324436E5-9DAE-5E4E-9DC8-A51540231B26}">
      <text>
        <r>
          <rPr>
            <sz val="10"/>
            <rFont val="SimSun"/>
            <charset val="134"/>
          </rPr>
          <t>11.16.25
52366 2PCS ALY
OUT 4PCS 11.7.25 DR#80006 SPC HACKET
OUT 2PCS 10.14.25 DR#79757 SPC RONNIE
OUT 4PCS 7.9.25 DR#78354 SPC BRY
OUT 4PCS 7.8.25 DR#78352 SPC MEET UP BRY
OUT 4PCS 7.7.25 DR#78347 LIPA A BRY</t>
        </r>
      </text>
    </comment>
    <comment ref="G956" authorId="0" shapeId="0" xr:uid="{6470DE91-07B8-DA43-B98E-0D27AFB51B6C}">
      <text>
        <r>
          <rPr>
            <sz val="10"/>
            <rFont val="SimSun"/>
            <charset val="134"/>
          </rPr>
          <t>IN 30PCS 8.19.25 DR#00467671 SOUTHWAY
IN 2PCS 6.18.25 DR#77754 SPC HACKET
IN 4PCS 6.9.25 DR#65930 SOUTHWAY
IN 4PCS 07/06/24 SI#64194 SOUTHWAY
4PCS 2-3-24 SI#63195 SOUTHWAY
2PCS 1-17-24 SI#63043 SOUTHWAY
4PCS 12-19-23 SI#62885 SOUTHWAY
3PCS 8-10-23 DR#74071 SPC
8PCS  5-8-23 SI#61417 SOUTHWAY</t>
        </r>
      </text>
    </comment>
    <comment ref="H956" authorId="0" shapeId="0" xr:uid="{C4AE3B8E-6DA0-0544-9828-1377BF72F22F}">
      <text>
        <r>
          <rPr>
            <sz val="10"/>
            <rFont val="SimSun"/>
            <charset val="134"/>
          </rPr>
          <t>OUT 1PC 8.28.25 DR#78435 SPC HACKET
OUT 4PCS 8.21.25 DR#78425 BINAN BRY
OUT 4PCS 8.20.25 DR#78421 LIPA A
OUT 2PCS 8.20.25 DR#78419 SPC HACKET
8-19-25
4 PCS 49795 ALY
7-12-25
4 PCS 48612 JARVIS
6-17-25
2 PCS ALY 47635
OUT 4PCS 11/25/24 JO40037 MARLO
OUT 05/30/24 34713 4PCS SALES JARVIS
OUT 1-17-24 DR#73388 2PCS SPC
OUT 01-08-2024
30913 2PCS SALES JOHNLY
4PCS 12-12-23 JO#30148 ROSE
1PC 5-28-23 JO#25580 MARLO
2pcs 5-20-23 JO#25464 BEL
4PCS 5-11-23 STF#2450 LIPA A</t>
        </r>
      </text>
    </comment>
    <comment ref="G957" authorId="0" shapeId="0" xr:uid="{3924EDD0-84B4-5044-8892-C3114FB3D2B6}">
      <text>
        <r>
          <rPr>
            <sz val="10"/>
            <rFont val="SimSun"/>
            <charset val="134"/>
          </rPr>
          <t>IN 12PCS 9.13.25 DR#79095 SPC RONNIE
IN 8PCS 8.19.25 DR#79031 SPC HACKET
IN 14PCS 7.10.25 DR#78857 SPC RONNIE
IN 8PCS 6.19.25 DR#77758 SPC ALWIN
IN 4PCS 3.29.25 DR#77375 SPC HACKET 
IN 4PCS 2.22.25 SI#65336 SOUTHWAY
IN 7-26-24 SI#64311 50PCS SOUTHWAY
IN 40PCS 06/28/24 SI#64212 SOUTHWAY
30PCS 5-2-24 SI#63777 SOUTHWAY
6PCS 2-3-24 SI#63195 SOUTHWAY
2PCS 12-26-23 DR#74539 SPC
5PCS 12-13-23 SI#62850 SOUTHWAY
6PCS 11-28-23 SI#62782 SOUTHWAY
8PCS 9-8-23 DR#39211 SOUTHWAY
8PCS  5-8-23 SI#61417 SOUTHWAY</t>
        </r>
      </text>
    </comment>
    <comment ref="H957" authorId="0" shapeId="0" xr:uid="{2C07A38B-3670-AF44-AA97-970E308A8823}">
      <text>
        <r>
          <rPr>
            <sz val="10"/>
            <rFont val="SimSun"/>
            <charset val="134"/>
          </rPr>
          <t>8.8.25
49450 4PCS ALY
7-17-25
2 PCS 48784 ALY
7-13-25
2 PCS 48632 JARVIS
7-11-25
2 PCS 48535 MARIBEL
7-9-25
2 PCS 48494 MARLO
6-24-25
4 PCS 47914 ALY
4 PCS OUT 3-4-25 JO43627 JARVIS
2 PC OUT 2-7-25 JO42654 ALY
2 PC OUT 1/27/25 JO42187 JARVIS
OUT 1-18-25 4PCS JO#41891 MARIBEL SALES
2PC OUT 1/9/25 JO41549 JARVIS
01-07-25
41491 2PCS SALES ALY
4PC OUT 1/2/25 JO41269 MARLO 
12-28-2024 SALES
41117 2PCS MARIBEL
4PCS OUT 12/7/24 JO40443 MARIBEL 
4PCS OUT 12/6/24 JO40442 MARIBEL 
OUT 2PCS 12/3/24 JO40312 MARIBEL
OUT 50PCS 11/30/24 DR#75485 FOR SNR
12PCS OUT 11/25/24 JO39908 ROSE (BFP)
11/10/24
39584 2pcs sales bel
OUT 1PC 10/31/24
KO38972 JARVIS
10/27/24
38815 2PCS SALES MARLO
10/25/24
38745 4PCS SALES JARVIS
10/17/2024	38584 3PCS JARVIS
10/03/24
38158 4PCS SALES MARLO
09/27/24
37918 8PCS SALES MADAM JEN
09/18/24
37710 2PCS SALES JARVIS
09/08/24
37448 2PCS SALES BEL
09/06/24
37421 2PCS SALES JARVIS
OUT 06/29/24 35518 2PCS SALES BEL
OUT 06/29/24 35487 1PCS SALES  JARVIS
OUT 4PCS 06/24/24 DR#75117 SPC
OUT 6PCS 06/06/24 DR#75100 SPC KUYA HACKET
OUT 05/30/24 34699 1PCS SALES JARVIS
OUT 05/30/24 34700 1PCS SALES
JARVIS
OUT 04/22/24 33692 1PCS SALES BEL
OUT 2PCS 04/22/24 DR#74785 SPC SIR ADWIN
OUT 1PCS 2/26/24 DR# 74689-90 SPC PICK UP MASTER
1/29/2024 31478 2PCS SALES
OUT 12-20-2023
30389 4PCS SALES JACKO
2pcs 12-16-23 DR#73974 SPC
5PCS 12-14-23 DR#73970 SPC
4PCS 11-23-23 JO#29697 JARVIS
2PCS 10-18-23 DR#73925 LIPA A
4PCS 10-2-23 DR#72299 SPC
4PCS 5-11-23 STF#2450 LIPA A</t>
        </r>
      </text>
    </comment>
    <comment ref="G958" authorId="0" shapeId="0" xr:uid="{92697DFA-B2FE-BD43-91A2-F0ADCE2CB1D4}">
      <text>
        <r>
          <rPr>
            <sz val="10"/>
            <rFont val="SimSun"/>
            <charset val="134"/>
          </rPr>
          <t>IN 3PCS 01.30.26 DR80716 SPC HACKET
IN 4PCS 7.10.25 DR#78857 SPC RONNIE
IN 2PCS 3.19.25 DR#77501 LIPA A HACKET
IN 1PC 3.12.25 DR#77411 SPC HACKET
IN 4PCS 2.22.25 SI#65336 SOUTHWAY
IN 8PCS 12-14-24 DR#76852 SPC KUYA ALWIN
IN 35PCS 08/07/24 SI#64376 SOUTHWAY
30PCS 5/11/2024 SI#63903 SOUTHWAY
1PC 12-13-23 SI#62850 SOUTHWAY
3pcs 10-21-23 SI#62445 SOUTHWAY
8PCS 5-26-23 SI#61495 SOUTHWAY</t>
        </r>
      </text>
    </comment>
    <comment ref="H958" authorId="0" shapeId="0" xr:uid="{686CB0CA-CACD-2B46-B44E-2B077FA1C49A}">
      <text>
        <r>
          <rPr>
            <sz val="10"/>
            <rFont val="SimSun"/>
            <charset val="134"/>
          </rPr>
          <t>OUT 1PC 12.25.25 DR#80078 SPC
OUT 1PC 11.7.25 DR#80007 SPC SERVICE
10-14-25
4 PCS 51387 MARLO
OUT 1PCS 9.23.25 DR#79272 SPC RONNIE
OUT 1PCS 7.2.25 DR#78343 SPC BRY
1 PC OUT 3-11-25 JO43932 JARVIS
3-3-25
2 PCS OUT JO43550 MARLO
4PCS OUT 2-20-25 JO43205 MARLO
OUT 2PCS 2.16.25 DR#77103 SPC
OUT 2PCS 1-21-25 DR#76930 LIPA A
OUT 25PCS 12-06-24 DR#75493 FOR SNR
out 4pcs 11/29/24 JO40223 MARIBEL
11-04-2024
39181 2pcs sales marlo
10/27/24
38833 2PCS SALES ALY
10/10/24
38381 4PCS SALES JARVIS
10/05/24
37349 8PCS SALES MAM JEN
09/27/24
38002 2PCS SALES JARVIS
09/15/24
37681 2PCS SALES MARLO
08/17/24
36868 4PCS SALES BEL
OUT 07/06/24 35743 4PCS SALES BEL
OUT 4PCS 06/24/24 DR#75117 SPC
OUT 4PC 06/04/24 DR#75098 SPC KUYA HACKET
OUT 4PSC 5-21-24 DR#75073 SPC ADWIN
OUT 4PCS 04/22/24 DR#74785 SPC SIR ADWIN
3PCS 7-10-23 JO#26636 BEL</t>
        </r>
      </text>
    </comment>
    <comment ref="G959" authorId="0" shapeId="0" xr:uid="{B5C78EAE-E766-4340-95DB-D29904CB5CEC}">
      <text>
        <r>
          <rPr>
            <sz val="10"/>
            <rFont val="SimSun"/>
            <charset val="134"/>
          </rPr>
          <t>IN 10PCS 10/26/24 SI#64736 SOUTHWAY
IN 4PCS 09/03/24 DR#76562 SPC MASTER
IN 1PCS 05/06/24 DR# SPC MASTER
4PCS 12-13-23 SI#62902 SOUTHWAY
4PCS 6-29-23 SI#61776 SOUTHWAY
4PCS 6-29-23 SI#6175 SOUTHWAY
8PCS  5-8-23 SI#61417 SOUTHWAY</t>
        </r>
      </text>
    </comment>
    <comment ref="H959" authorId="0" shapeId="0" xr:uid="{3AC4835A-40AC-F648-984B-97A07C02BFB5}">
      <text>
        <r>
          <rPr>
            <sz val="10"/>
            <rFont val="SimSun"/>
            <charset val="134"/>
          </rPr>
          <t>OUT 1PC 6.3.25 DR#78302 SPC EMMAN
out DR#75522 2PCS LIPA A 12-17-24
OUT 4PCS 10/28/24 DR#75444 LIPA A BRIAN
OUT 6PCS 10/28/24 DR#75442 SPC BRIAN
08/31/24
37236 4PCS SALES DAHLIA
08/11/24
36717 4PCS SALES BEL
OUT 04/24/24 33728 1PCS SALES JARVIS
4PCS 12-9-23 JO#30123 BEL
4PCS 11-26-23 JO#29792 BEL
4PCS 7-12-23 JO#26688 JARVIS
4PS 5-27-23 JO#25608 BEL
4PCS 5-18-23 stf#2461 LIPA A</t>
        </r>
      </text>
    </comment>
    <comment ref="G960" authorId="0" shapeId="0" xr:uid="{F8066554-7860-F84F-8CF5-7B42ECC13E4B}">
      <text>
        <r>
          <rPr>
            <sz val="10"/>
            <rFont val="SimSun"/>
            <charset val="134"/>
          </rPr>
          <t>IN 2PCS 01.22.26 DR79992 SPC RONNIE
IN 4PCS 12.22.25 DR#79909 SPC RONNIE
IN 4PCS 11.11.25 DR#79873 SPC HACKET
IN 4PCS 11.11.25 DR#79873 SPC HACKET
IN 4PCS 10.31.25 DR# HACKET
IN 8PCS 9.3.25 DR#79070 SPC KUYA RONNIE
IN 4PCS 9.7.25 DR#78855 SPC BRY
IN 6PCS 4.15.25 DR#65683 SOUTHWAY
IN 2PC 3.12.25 DR#77411 SPC HACKET
IN 2PCS 2.28.25 DR#77039 SPC HACKET
IN 2PCS 2.20.25 DR#77030 SPC ALWIN
IN 8PCS 2.14.25 DR#77026 SPC
IN 7PCS 1-25-25 DR#77004 SPC KUYA HACKET
IN 3PCS 1-6-25 DR#76873 SPC
----------------------------------------------
IN 1PCS 11/30/24 DR#75729 SPC KUYA HACKET
IN 4PCS 11/22/24 SI#64875 SOUTHWAY
IN 4PCS 10/13/24 DR#76646-48 SPC KUYA HACKET
IN 4PCS 09/28/24 SI#64680 SOUTHWAY
IN 4PCS 09/20/24 DR#76537 SPC KUYA MIKE
IN 2PCS 8-30-24 SI#64602 SOUTHWAY
IN 6PCS 08/15/24 SI#64417 SOUTHWAY 
IN 2PCS 06/30/24 DR#75219 SPC KUYA HACKET (MEET UP)
IN 2PCS 06/28/24 SI#64212 SOUTHWAY
IN 8PCS 06/15/24 SI#64082 SOUTHWAY
IN 4PCS 06/12/24 DR# SPC KUYA HACKET
IN 4PCS 05/25/24 SI#64003 SOUTHWAY
IN 2PCS 05/06/24 DR# SPC MASTER
IN 4PCS 03/19/24 DR#74782 SPC 
IN 4PCS 2/28/24  SI# 63450 SOUTHWAY
IN 4PCS 03/14/24 DR#73426 LIPA A
IN 2PCS 2/28/24  SI# 63450 SOUTHWAY
4PCS 12-26-23 DR#74539 SPC
2PCS  12-5-23 SI#62803 SOUTHWAY
3pcs 11-10-23 SI#62533 SOUTHWAY
2PCS 11-8-23 DR#74389 SPC4PCS 9-8-23 DR#39211 SOUTHWAY
4PCS 8-12-23 SPC</t>
        </r>
      </text>
    </comment>
    <comment ref="H960" authorId="0" shapeId="0" xr:uid="{00DF4891-3A02-A947-8C8D-49AFC5A159AF}">
      <text>
        <r>
          <rPr>
            <sz val="10"/>
            <rFont val="SimSun"/>
            <charset val="134"/>
          </rPr>
          <t>1-14-26
4PCS OUT 54155 MARLO
OUT 4PCS 12.12.25 DR#80062 LIPA A
11-29-25
2 PCS 52741 ALY
11-8-25
4 PCS 52106 MARIBEL
10-23-25
2 PCS 51654 MARIBEL
10-18-25
4 PCS 51489 MARIBEL
10-2-25
2 PCS 51087 ALLAN
8-11-25
4 PCS 49583 MARLO
5.14.25 2PCS DR#77649 SPC HACKET
4.30.25
45905 2PCS BEL
3-6-25 4 PCS OUT JO43768 JARVIS
2-19-25 4PCS OUT JO43071 ALY
4 PC OUT 1/29/25 JO42215 MARLO
4PC OUT 1/28/25 JO42210 DALIA
4PC OUT 1/15/25 JO41739 MARLO
4PC OUT 1/4/25 JO41387 MARIBEL 
12-29-24
41198 2PCS SALES DAHLIA
OUT 12-18-2024
40809 1PC SALES ,MARIBEL
OUT 4PCS 11/25/24 JO40036 MARLO 
OUT 1PCS  11/19/24 JO39738 JARVIS
10/05/24
38195 4PCS SALES BEL
09/19/24
37781 4PCS SALES BEL
09/10/24
37529 4PCS SALES BEL
08/13/24
36767 2PCS SALES JARVIS
07/25/24
36247 2PC SALES DAHLIA
OUT 06/29/24 35489 4PCS SALES  JARVIS
OUT 2PCS 06/24/24 DR#75117 SPC
OUT 06/18/24 35210 2PCS SALES BEL
OUT 4PCS 06/13/24 DR#75107 SPC 
OUT 06/04/24 34845 4PCS SALES JARVIS
OUT 05/12/24 34259 4PCS SALES BEL
4PCS 5/10/2024 34182 MARIBEL
OUT 4PCS 03/21/24 DR#74731 LIPA A
OUT 03/16/24 32730 4PCS SALES JARVIS
OUT 03/12/24 4PCS  DR#74706 SPC
2PCS 2-10-24 31833 SAELS
1PC 1-6-24 JO#30867 BNEL
1pc 11-09-23 jo#29387 jarvis
2PCS 10-21-23 JO#28976 BEL
4PCS 9-29-23 JO#28456 ROSE</t>
        </r>
      </text>
    </comment>
    <comment ref="G961" authorId="0" shapeId="0" xr:uid="{60E54FA2-CC09-9B43-A775-DB89A965B473}">
      <text>
        <r>
          <rPr>
            <sz val="10"/>
            <rFont val="SimSun"/>
            <charset val="134"/>
          </rPr>
          <t>IN 1PCS 10.5.25 DR#79642 SPC RONNIE
IN 2PCS 8.1.25 DR#78819 SPC EMMAN
IN 4PCS 7.19.25 DR#78880 SPC HACKET
IN 4PCS 7.14.25 DR#78865 SPC BRY
IN 3PCS 3.29.25 DR#77375 SPC HACKET 
IN 1PCS 3.5.25 SI#65457 SOUTHWAY
IN 3PCS 2.22.25 SI#65336 SOUTHWAY
IN 4PCS 12-29-24 DR#76158 LIPA A
IN 4PCS 10/13/24 DR#76646-48 SPC KUYA HACKET
IN 6PCS 08/15/24 SI#64396 SOUTHWAY
IN 2PCS 06/15/24 SI#64082 SOUTHWAY
IN 4PCS 04/17/24 DR# SPC KUYA HACKET
IN 4PCS 03/15/24 SI#63605 SOUTHWAY
IN 6PCS 2/27/24  SI# 63443 SOUTHWAY
2PCS 1-17-24 SI#63043 SOUTHWAY
2PCS 12-19-23 SI#62885 SOUTHWAY
1PC 12-13-23 SI#62850 SOUTHWAY
4PCS  12-5-23 SI#62803 SOUTHWAY
8PCS 10-12-23 SI#62402 SOUTHWAY
4PCS 7-14-23 DR#38750 SOUTHWAY
8PCS 6-9-23 SI#61575 SOUTHWAY</t>
        </r>
      </text>
    </comment>
    <comment ref="H961" authorId="0" shapeId="0" xr:uid="{14B16784-1A41-BA4B-BAEC-1D82152DFB1A}">
      <text>
        <r>
          <rPr>
            <sz val="10"/>
            <rFont val="SimSun"/>
            <charset val="134"/>
          </rPr>
          <t>OUT 2PCS 03.03.26 DR80885 SPC HACKET
11-7-25
4 PCS 52070 ALY
OUT 3PCS 8.29.25 DR#78439 SPC HACKET
OUT 2PCS 7.26.25 DR#78379 SPC RONNIE
4-3-25
4 PCS OUT JO44839 ALY
3.12.25 4PCS DR#77150 SPC
1 PC OUT 1/23/25 JO42069 ALY
12-29-24
41223 4PCS SALES ALY
12-26-24
41055 2PCS SALES ALY
OUT 4PCS 10/29/24
JO#38869 DALIA
OUT 4PCS 10/01/24 DR#75426 SPC KUYA HACKET
08/05/24
36550 2PCS SALES BEL
OUT 05/29/24 34685 2PCS SALES  BEL
OUT 05/16/24 34353 4PCS SALES  LEN
OUT 4PCS 03/13/24 DR#74709 SPC PICK UP KUYA ADWIN
OUT 4PCS 2/26/24 DR# 74689-90 SPC PICK UP MASTER
2PCS 12-30-23 DR#73995 SPC
2PCS 12-15-23 JO#30227 JACKO
1PC 12-14-23 DR#73970 SPC
4PCS 10-14-23 DR#73921 LIPA A
4PCS 7-15-23 DR#73868 LIPA A
4PCS 6-12-23 STF#2501 LIPA A</t>
        </r>
      </text>
    </comment>
    <comment ref="G962" authorId="0" shapeId="0" xr:uid="{B68D23C2-CA5A-ED43-9E25-C3E87B6A6B4F}">
      <text>
        <r>
          <rPr>
            <sz val="10"/>
            <rFont val="SimSun"/>
            <charset val="134"/>
          </rPr>
          <t>IN 8PCS 03.03.26 DR80785 SPC HACKET
IN 5PCS 01.28.26 DR80340 SNV
IN 4PCS 01.24.26 DR80176 LIPA A
IN 8PCS 01.13.26 DR79969 SPC ROI
IN 2PCS 01.12.26 DR80165 LIPA A
IN 4PCS 01.09.26 DR79951-53 SPC HACKET
IN 8PCS 12.15.25 DR#79742 SPC HACKET
IN 6PCS 12.3.25 DR#79716 SPPC HACKET
IN 4PCS 10.30.25 DR#79698 SPC BRY
IN 20PCS 9.30.25 DR#79623 SPC RONIE
IN 4PCS 9.13.25 DR#79093 SPC HACKET
IN 8PCS 8.30.25 DR#79061 SPC HACKET
IN 1PC 8.1.25 DR#77238 BIÑAN LALAMOVE
IN 4PCS 7.28.25 DR#78802 SPC BRY
IN 1PC 7.6.25 DR#77797 SPC SERVICE
IN 4PCS 6.29.25 DR#78089 LIPA A
IN 4PCS 6.11.25 DR#78785 SPC BRIAN 
IN 4PCS 6.1.25 DR#78062 LIPA A
IN 4PCS 5-2-25 DR#77699 SPC HACKET
IN 3PCS 4.30.25 DR#77693 SPC HACKET
IN 4PCS 4.21.25 DR#77669 SPC ADWIN
IN 4PCS 4.15.25 DR#65683 SOUTHWAY 
IN 4PCS 4.7.25 DR#77397 MIKE
IN 4PCS 4.6.25 DR#77522 LIPA A
IN 4PCS 3.29.25 DR#77373 SPC mike
IN 4PCS 3.27.25 ST002501 BIÑAN
IN 4PCS 3.18.25 DR#77435 SPC MIKE
IN 2PCS 3.18.25 DR#77434 SPC HACKET
IN 1PC DR#77413 12.03.25 SPC SERVICE
IN 8PCS 2.14.25 DR#77026 SPC
IN 8PCS 1-28-25 DR#77007 SPC KUYA HACKET
IN 12PCS 1-25-25 DR#77004  SPC KUYA HACKET
----------------------------------------------
IN 2PC 12-27-24 DR#76157 LIPA A
IN 1PC 12-27-24 DR#76859 SPC
8PCS 12-06-24 SI#64973 SOUTHWAY
IN 4PCS 12-03-24 DR#75734 SPC KUYA ALWIN
4PCS 11/12/24 DR#75706 SPC
IN 4PCS 10/30/24 DR#76691 SPC BRIAN
IN 2PCS 10/13/24 DR#76649 SPC BRIAN
IN 14PCS 09/16/24 SI#64613 SOUTHWAY
IN 30PCS 8-2-24 SI#64323 SOUTHWAY
IN 2PCS 07/13/24 DR#75235 SPC KUYA HACKET
IN 1PCS 06/25/24 DR#75196 SPC KUYA MIKE
IN 4PCS 06/24/24 DR#75192 SPC KUYA MIKE
IN 4PCS 06/22/24 DR#75191 SPC KUYA ADWIN
IN 10PCS 06/15/24 SI#64082 SOUTHWAY
IN 12PCS 05/31/24 DR#75169 SPC KUYA HACKET
IN 11PCS 04/17/24 DR# SPC KUYA HACKET
IN 3PCS 03/15/24 SI#63516 SOUTHWAY
IN 6PCS 2/28/24  SI# 63443 SOUTHWAY
IN 2PCS 2/27/2024 DR#74840 SPC
8PCS 2-3-24 SI#63195 SOUTHWAY
4PCS 1-27-24 DR#73343 LIPA A
12PCS 1-17-24 SI#63043 SOUTHWAY
2PCS 12-19-23 SI#62885 SOUTHWAY
5PCS  12-5-23 SI#62803 SOUTHWAY
4PCS 11-28-23 SI#62782 SOUTHWAY
4pcs 11-10-23 SI#62533 SOUTHWAY
12PCS 10-12-23 SI#62373 SOUTHWAY
5PCS 10-12-23 SI#62407 SOUTHWAY
12PCS 10-12-23 SI#62406 SOUTHWAY
6PCS 9-8-23 DR#39211 SOUTHWAY
4PCS 7-19-23 STC
4PCS 6-21-23 SPC
8PCS 6-21-23 SI#61661 SOUTHWAY
4PC 6-11-23 ST002452 LIPA A
4PCS  5-8-23 SI#61417  SOUTHWAY</t>
        </r>
      </text>
    </comment>
    <comment ref="H962" authorId="0" shapeId="0" xr:uid="{6843C1CC-943A-3146-8761-A882DEA700F2}">
      <text>
        <r>
          <rPr>
            <sz val="10"/>
            <rFont val="SimSun"/>
            <charset val="134"/>
          </rPr>
          <t>02.08.26
54936 4PCS ALY
OUT 3PCS 01.29.26 DR80227 SPC ROBIN
1-24-26
4 PCS 54531 MARIBEL
1-24-26
4 PCS 54519 ALY
01.23.26
54436 2PCS ALY
1-12-26
2PCS 54119 JARVIS
1-12-26
4PCS 54074 MARIBEL
1-9-26
4PCS 53970 MARIBEL
1-5-26
4PCS OUT 53868 JARVIS
12-15-25
4 PCS 53284 JARVIS
12-13-25
4 PCS 53229 MARLO
12.7.25
53034 4PCS JARVIS
11-29-25
4 PCS 52772 MARIBEL
11-23-2025 SALES
JO#52550 2PCS ALY
11-22-25
4 PCS 52581 JARVIS
11-8-25
4 PCS 52119 JARVIS
10-25-25
2 PCS 51718 MARLO
9-19-25
4 PCS 50683 MARIBEL
9-9-25
4 PCS 50382 MARIBEL
9-3-25
4 PCS 50195 MARIBEL
8.2.25
49282 4PCS JARVIS
8-1-25
1 PC 49215 ALY
7-6-25
48434 1PC JARVIS
6-29-25
4 PCS 48102 ALY
6-29-25
4 PCS 48104 ALY
6-1-25
4 PCS 47054 JARVIS
5-15-25
4 PCS 46378 JARVIS
5.13.25
46316 4PCS BEL
4.30.25
45931 4PCS BEL
OUT 2PCS 4.24.25 DR#77611 BIÑAN
4.19.25
45426 4PCS JARVIS
4-6-25
4 PCS OUT JO44941 ALY
4-4-25
4 PCS OUT JO44847 MARIBEL
3-27-25
4 PCS OUT JO44627 MARIBEL
3.23.25
44399 4PCS JARVIS
4 PCS OUT 3-18-25 JO44138
ALY
2 PCS OUT 3-17-25 JO44232 DALIA
OUT 1PCS 3.11.25 DR#77148 LIPA A
3-3-25
4 PCS OUT JO43585M MARIBEL 
3-2-25 
4PCS OUT JO43486 DALIA
2.24.25
43335 4pcs jarvis
02-08-2025 OUT
4PCS JO42706 MARIBEL
OUT 4PCS 1.29.25 DR#76956 LIPA A
4PC OUT 1/27/25 JO42128 ROSE
4 PC OUT 1/26/25 JO42181 JARVIS
12-27-24
41144 4PCS SALES JARVIS
1PC 12/15/24 JO40732 DALIA
OUT 2PCS 12-8-24 JO#40424 DAHLIA
4PCS OUT 12/7/24 JO40471 JARVIS
OUT 4PCS 12-06-24 DR#75494 LIPA A
12-01-2024
4pcs out sales jo#40274 dahlia 
11-30-24
40252 4-CS SALES BEL
OUT 4PCS 10/29/24 
JO#38869 DALIA
10/21/2024	38685 SALES
10/11/24
38389 4PCS SALES JARVIS
09/27/24
37991 2PCS SALES BEL
OUT 4PCS 09/21/24 DR#75412 LIPA A
09/03/24
37361 4PCS SALES ROSE
OUT 4PCS 09/03/24 DR#75396 SPC KUYA ADWIN
09/01/24
37314 4pcs sales bel
OUT 4PCS 08/31/24 DR#753963 SPC KUYA MIKE
OUT 4PCS 08/29/24 DR#75390 LIPA A
08/23/24
37051 4PCS SALES JARVIS
37051 4PCS SALES JARVIS
07/13/24
35963 2PCS SALES MARLO
OUT 06/25/24 35441 4PCS SALES MARLO
OUT 06/24/24 35397 1PCS SALES MARLO 
OUT 06/23/24 35385 4PCS SALES BEL
OUT 06/19/24 35272 4PCS SALES MARLO
OUT 06/18/24 35207 4PCS SALES BEL
OUT 4PCS 06/17/24 DR#75110 SPC MASTER
OUT 06/06/24 34903 2PCS SALES BEL
OUT 06/03/24 34814 4PCS SALES BEL
OUT 06/01/24 34772 4PCS SALES JARVIS
4PCS 5/10/2024 34197 JARVIS 
OUT 4PCS 04/30/24 DR#75052 SPC KUYA BOYONG
OUT 04/23/24 33753 4PCS SALES BEL
OUT 04/17/24 33556 2PCS SALES JARVIS
OUT 04/07/24 33304 4PCS SALES  MARLO
OUT 04/06/24 33249 4PCS SALES  BEL
OUT 04/02/24 DR#33138 4PCS SALES BEL
4PCS 2-20-24 32080 JARVIS
OUT 02-17-2024
31979 2PCS JARVIS SALES
OUT 01-27-2024
31406 4PCS SALES JARVIS
31377 4PCS SALES MARLO
31419 4pcs sales maribel
4PCS 1-22-24 JO#31198 JOHNLY
4pcs 12-30-23 DR#73993 LIPAA 
out 12-26-2023
30558 4pcs sales maribel
4PCS 12-8-23 JO#30056 MARLO
4PCS 11-24-23 29761 SALES
2PCS 11-7-23 JO#29327 BEL
4PCS 10-28-23 JO#29150 BEL
12PCS 10-19-23 DR#73929 SPC
4PCS 10-14-23 DR#73921 LIPA A
4PCS 10-12-23 STA CRUZ
4PCS 10-6-23 DR#73906 SPC
4PCS 10-4-23 DR#73993 SPC
2PCS 8-25-23 JO#27747 JARVIS
4pcs 8-22-23 DR#72232 SPC
4PCS 7-25-23 JO#26854 JARVIS
4pcs 7-23-23- dr#73880 spc
4PCS 7-1-23 JO#26411 BEL
4PCS 5-29-23 STF#2481 SPC
4PCS 5-18-23 stf#2461 LIPA A</t>
        </r>
      </text>
    </comment>
    <comment ref="G963" authorId="0" shapeId="0" xr:uid="{7FCAC418-29FC-A44D-8E2F-0579C05474F5}">
      <text>
        <r>
          <rPr>
            <sz val="10"/>
            <rFont val="SimSun"/>
            <charset val="134"/>
          </rPr>
          <t>IN 4PCS 02.22.26 DR80257 LIPA A
IN 4PCS 01.28.26 DR80182 LIPA A
IN 8PCS 9.13.25 DR#79095 SPC RONNIE
IN 6PCS 9.3.25 DR#79070 SPC KUYA RONNIE
IN 12PCS 8.29.25 DR#79056 SPC HACKET
IN 4PCS 8.20.25 DR#79034 SPC HACKET
IN 4PCS 8.11.25 DR#79006-07 SPC EMMAN
IN 2PCS 8.10.25 DR#78600 2PCS LIPA A
IN 8PCS 7.25.25 DR#78891 SPC HACKET
IN 8PCS 7.17.25 DR#78871 SPC HACKET
IN 10PCS 7.7.25 DR#0047066 SOUTHWAY
IN 22PCS 7.5.25 DR#0047051 SOUTHWAY</t>
        </r>
      </text>
    </comment>
    <comment ref="H963" authorId="0" shapeId="0" xr:uid="{135492F6-4B09-F142-BED5-3E86B53F71E7}">
      <text>
        <r>
          <rPr>
            <sz val="10"/>
            <rFont val="SimSun"/>
            <charset val="134"/>
          </rPr>
          <t>01.28.26
54628 4PCS ALY
1-27-26
4 PCS 54538 MARIBEL
11-5-25
4 PCS 52000 ALY
11-4-25
4 PCS 51994  ALY
9-22-25
4 PCS JARVIS 50808
9-19-25
4 PCS 50683 MARIBEL
9-10-25
4 PCS 50463 JARVIS
9-4-25
4 PCS 50217 ALY 
OUT 2PCS 9.1.25 DR#78443 LIPA A
8-27-25
4 PCS 49909 MARLO 
8-16-25
4 PCS 49679 MARIBEL
8-10-25
4 PCS 49559 JARVIS
8-10-25
4 PCS 49557 JARVIS
8.9.25
49525 2PCS MARLO
8.7.25
49438 4PCS BEL
8-3-25
4 PCS 49345 ALY
7-20-25
4 pcs 48928  JARVIS
7-17-25
4 PCS 48783 ALY
7-9-25
4 PCS 48477 MARIBEL
OUT 4PCS 7.9.25 DR#78354 SPC BRY
OUT 4PCS 7.8.25 DR#78351 BINAN MIKE
OUT 8PCS 7.7.25 DR#78347 LIPA A BRY
OUT 4PCS 7.7.25 DR#78348 SPC ADWIN</t>
        </r>
      </text>
    </comment>
    <comment ref="G964" authorId="0" shapeId="0" xr:uid="{64D9D602-C8A9-A446-BB4A-562DD0B65154}">
      <text>
        <r>
          <rPr>
            <sz val="10"/>
            <rFont val="SimSun"/>
            <charset val="134"/>
          </rPr>
          <t>IN 4PCS 12.22.25 DR#79909 SPC RONNIE
IN 2PCS 7.14.25 DR#78865 SPC BRY
IN 8PCS 4.15.25 DR#65683 SOUTHWAY 
IN 1PCS 4.7.25 DR#77524 LIPA A
IN 1PC 4.5.25 ST002508 BIÑAN HACKET
IN 1PCS 4.3.25 DR#77519 LIPA A
IN 3PCS 3.29.25 DR#77373 SPC mike
IN 1PC IE#06034 SOUTHWAY FOR REPLACEMENT
----------------------------------------------
8PCS 12-20-24 SOUTHWAY SI#65109
4PCS 12-17-24 SI#64996 SOUTHWAY
12PCS 12-06-24 SI#64973 SOUTHWAY
IN 8PCS 11/30/24 DR#75729 SPC KUYA HACKET
12PCS 11/11/24 DR#75703-04 SPC KUYA HACKET &amp; ROI
IN 1PC 10-18-24 DR#76661 SPC KUYA HACKET
IN 4PCS 10/13/24 DR#76646-48 SPC KUYA HACKET
IN 12PCS 09/28/24 SI#64680 SOUTHWAY
IN 3PCS 09/18/24 SI#64586 SOUTHWAY
IN 6PCS 08/15/24 SI#64396 SOUTHWAY
IN 4PCS 07/16/24 REF#75652 STC KUYA HACKET
IN 2PCS 07/06/24 DR#75226 SPC MASTER
IN 4PCS 06/15/24 SI#64082 SOUTHWAY
IN 3PCS 06/06/24 DR#75177 SPC KUYA HACKET
2PCS 5-2-24 SI#63777 SOUTHWAY
IN 8PCS 2/28/24  SI# 63450 SOUTHWAY
IN 4PCS 2/28/24  SI# 63443 SOUTHWAY
IN 02-18-2024
2PCS SPC MASTER DELIVER
12PCS 1-17-24 SI#63048 SOUTHAY
4PCS 12-19-23 SI#62885 SOUTHWAY
2PCS 12-13-23 SI#62850 SOUTHWAY
4PCS 11-28-23 SI#62782 SOUTHWAY
3PCS 11-21-23 DR#74433 SPC
8PCS 9-8-23 DR#39211 SOUTHWAY
4PCS 8-2-23 DR#38918 SOUTHWAY
8PCS 5-8-23 SI#6417 SOUTHWAY</t>
        </r>
      </text>
    </comment>
    <comment ref="H964" authorId="0" shapeId="0" xr:uid="{A3268131-DBE6-F947-8957-92DB54A9C8F5}">
      <text>
        <r>
          <rPr>
            <sz val="10"/>
            <rFont val="SimSun"/>
            <charset val="134"/>
          </rPr>
          <t>OUT 4PCS 01.07.26 DR80088 SPC BOYONG
7.29.25
49138 4PCS BEL
7-10-25
4 PCS 48543 ALY
6-28-25
2 PCS 48075 ALY
out 2pcs 5.17.25 dr#77964 lipa a
out 1pc 5.14.25 dr#77952 lipa a
5.3.25
45960 1PC ALY
4-11-25
1 pcs out jo45188 aly 
4-7-25
2 PCS OUT JO44992 MARLO
4-3-25
4 PCS OUT JO44861 JARVIS
OUT 1PC 3.27.25 DR#77193 LIPA A
OUT 2PCS 3.26.25 DR#77189 LIPA A
2 PCS OUT 3-8-25 JO43848 MARIBEL
OUT 4PCS FOR BIÑAN 2.4.25
OUT 4PCS 2.3.25 DR#76961 LIPA A
4PC OUT 1/28/25 JO42200 MARIBEL
12-31-24
41273 4pcs sales bel
2PC OUT 12/24/24 JO41042 JARVIS
2pcs 12/20/24 jo40941 marlo
OUT 12-18-2024
40818 2PCS SALES JARVIS
OUT 4PCS 12-06-24 DR#75494 LIPA A
12-01-2024
4pcs out sales jo#40283 aly
4PCS 11/28/24 JO40184 DALIA
2pcs 11/24/24 DR#75473 lipa a
OUT 2PCS JO39765 MARIBEL
OUT 4PCS SALES 11/12/2024
JO39612 ALY
OUT 4PCS 10/31/2024
JO38973 JARVIS
OUT 4PCS 10/29/24
JO#38904 ALYZZON 
10/15/24
38430 1PC SALES DAHLIA
OUT 4PCS 10/05/24 DR#75434 SPC KUYA HACKET
OUT 8PCS 10/01/24 DR#75426 SPC KUYA HACKET
OUT 4PCS 09/30/24 DR#75422 LIPA A KUYA ROI
OUT 2PCS 08/31/24 DR#75392 LIPA A
07/18/24
36092 4PCS SALES BEL
2PCS 7-12-24 DR#75140 LIPA A
OUT 1PC 7/06/24 DR#75131 LIPA A
OUT 07/05/24 35723 2PCS SALES  BEL
OUT 4PCS 06/24/24 DR#75117 SPC
OUT 1PC 06/04/24 DR#75098 SPC KUYA HACKET
OUT 4PCS 06/03/24 DR#75095 SPC KUYA EMAN
OUT 05/27/24 34608 2PCS SALES  MARLO
OUT 1PCS 04/22/24 DR#74785 SPC SIR ADWIN
OUT 4PCS 03/25/24 DR#74739 SPC 
OUT 1PC 03/21/24 DR#74732 SPC
OUT 6PCS 3/10/24 DR#74703 SPC PICK UP MASTER
2PCS 2-15-24 31971 SALES
OUT 2-8-24 DR#74664-65 4PCS  SPC
out 121-26-23 dr#73986 4pcs  lipa a
4pcs 12-19-2023 jo#30391 maribel
2PCS 12-14-23 DR#73969 LIPA A
2PCS 12-12-23 DR#73968 SPC
2PCS 12-5-23 JO#29986 BEL
1pc 11-9-23 jo#29330 maribel
2PCS 10-4-23 DR#73993 SPC
2PCS 10-3-23 JO#28548 ROSE
4PCS 9-22-23 JO#28373 JARVIS
2PCS 9-9-23 JO#28051 BEL
4PCS 6-16-23 STF#2508 SPC
4PCS 5-11-23 STF#2450 LIPA A</t>
        </r>
      </text>
    </comment>
    <comment ref="G965" authorId="0" shapeId="0" xr:uid="{C1DF61D3-F514-034D-ADC3-793394D77618}">
      <text>
        <r>
          <rPr>
            <sz val="10"/>
            <rFont val="SimSun"/>
            <charset val="134"/>
          </rPr>
          <t>IN 4PCS 9.30.25 DR#79623 SPC RONIE
IN 4PCS 8.30.25 DR#79061 SPC HACKET
IN 4PCS 8.14.25 DR#78605 LIPA A
IN 20PCS 7.5.25 DR#0047051 SOUTHWAY</t>
        </r>
      </text>
    </comment>
    <comment ref="H965" authorId="0" shapeId="0" xr:uid="{10ED6AEB-2DBD-124A-AFD7-58E0793A275D}">
      <text>
        <r>
          <rPr>
            <sz val="10"/>
            <rFont val="SimSun"/>
            <charset val="134"/>
          </rPr>
          <t>OUT 4PCS 10.21.25 DR#79775 SPC ROI
9.8.25
50365 4PCS MARLO
8-14-25
4 PCS 49664 ALY 
8-3-25
4 PCS 49346 ALY
OUT 4PCS 7.9.25 DR#78354 SPC BRY
OUT 4PCS 7.8.25 DR#78352 SPC MEET UP BRY
OUT 4PCS 7.8.25 DR#78351 BINAN MIKE
OUT 4PCS 7.7.25 DR#78347 LIPA A BRY</t>
        </r>
      </text>
    </comment>
    <comment ref="G966" authorId="0" shapeId="0" xr:uid="{DA03798E-5D80-AF4B-A53A-9120C9D312F2}">
      <text>
        <r>
          <rPr>
            <sz val="10"/>
            <rFont val="SimSun"/>
            <charset val="134"/>
          </rPr>
          <t>IN 2PCS 02.10.26 DR80737 SPC ALWIN
IN 4PCS 9.30.25 DR#79623 SPC RONIE
IN 2PCS 9.16.25 DR#79100 SPC HACKET
IN 4PCS 9.13.25 DR#79093 SPC HACKET
IN 4PCS 9.7.25 DR#78855 SPC BRY
IN 4PCS 6.21.25 DR#0046829 SOUTHWAY
IN 1PC 4.5.25 ST002508 BIÑAN HACKET
IN 1PCS 3.18.25 DR#77435 SPC MIKE
IN 02PCS 3.5.25 SI#65457 SOUTHWAY
IN 2PCS 2.22.25 SI#65336 SOUTHWAY
IN 1PC 09/16/24 SI#64613 SOUTHWAY
IN 4PCS 8-30-24 SI#64602 SOUTHWAY
IN 4PCS 07/18/24 DR# SPC KUYA HACKET
8PCS 1-27-24 SI#63099 SOUTHWAY
4pcs 10-21-23 SI#62445 SOUTHWAY
2pcs 9-28-23 DR#72663 LIPA A
4PCS 9-8-23 DR#39211 SOUTHWAY
4PCS 6-19-23 SPC</t>
        </r>
      </text>
    </comment>
    <comment ref="H966" authorId="0" shapeId="0" xr:uid="{05EAA036-E930-5749-88DC-2F19727DD3F2}">
      <text>
        <r>
          <rPr>
            <sz val="10"/>
            <rFont val="SimSun"/>
            <charset val="134"/>
          </rPr>
          <t>12.22.25
53506 4PCS BEL
OUT 2PCS 12.18.25 DR#80068 SPC HACKET
12-6-25
4 PCS 52975 JARVIS
9-14-25
4 PCS 50539 ALY
9-13-25
2 PCS 50521 MARIBEL
9-8-25
4 PCS 50373 JARVIS
4-10-25 
4 PCS OUT JO45131 DALIA
3-5-25 2 PCS  OUT JO43755 MARIBEL 
OUT 1PCS 2.20.25 DR#77120 SPC ALWIN
OUT 1PCS 2.20.25 DR#77117 BIÑAN HACKET
12-18-24
40818 2PCS SALES JARVIS
2PC  OUT 12/17/24 JO40781 DALIA
08/24/24
37066 4PCS SALES BEL
OUT 2PCS 3/23/24 32941 2PCS SALES ROSE
2PCS 2-21-24 32122 LEN
OUT 2-8-24 DR#74664-65 4PCS  SPC
4PCS 9-28-23 JO#28463 JARVIS
2PCS 9-14-23 JO#28734 BEL
4PCS 6-26-23 JO#26296 BEL</t>
        </r>
      </text>
    </comment>
    <comment ref="G967" authorId="0" shapeId="0" xr:uid="{B0C3B07E-1F6C-FC44-94B5-821A2447B0BC}">
      <text>
        <r>
          <rPr>
            <sz val="10"/>
            <rFont val="SimSun"/>
            <charset val="134"/>
          </rPr>
          <t>IN 5PCS 9.3.25 DR#79071 SPC KUYA RONNIE
IN 2PCS 8.1.25 DR#78819 SPC EMMAN
IN 10PCS 7.5.25 DR#0047051 SOUTHWAY
IN 2PCS 11/21/24 DR#75716 SPC
3PCS 2-7-24 DR#74650;74801 SPC
1PC 2-5-24 DR#74647 SPC
4PCS 2-3-24 SI#63195 SOUTHWAY
1PC 1-24-24 DR# LIPA A
2PCS 1-2-23 DR#74546 SPC
4PCS 11-28-23 SI#62782 SOUTHWAY
2pcs 10-21-23 SI#62445 SOUTHWAY
4PCS 9-8-23 DR#39211 SOUTHWAY
4PCS 8-10-23 DR#74071 SPC
8PCS 5-8-23 SI#6417 SOUTHWAY</t>
        </r>
      </text>
    </comment>
    <comment ref="H967" authorId="0" shapeId="0" xr:uid="{BE001F4C-6CF6-484C-B6B8-9E3CD1EA7512}">
      <text>
        <r>
          <rPr>
            <sz val="10"/>
            <rFont val="SimSun"/>
            <charset val="134"/>
          </rPr>
          <t>8-22-25
1 PC 49870 MARIBEL
7-30-25
4 PCS 49008 ROSE
OUT 4PCS 7.7.25 DR#78347 LIPA A BRY
2.3.25
42452 4PCS SALES BEL
----------------------------------------------
1PC 01-24-24 JO#31327 ROSE
4PCS 01-17-24 JO#31136 JOHNLY
2PCS 12-30-23 JO#30711 BLE
4PCS 12-27-23 JO#30601 JACKO
4pcs 11-8-23 DR#74258 SPC
2PCS 10-10-23 JO#28732 MARLO
2PCS 5-26-23 JO#25606 BEL
2PCS 5-18-23 JO#25389 MARLO
4PCS 5-18-23 stf#2461 LIPA A</t>
        </r>
      </text>
    </comment>
    <comment ref="G968" authorId="0" shapeId="0" xr:uid="{44D3E319-4702-424E-917E-688D875610D9}">
      <text>
        <r>
          <rPr>
            <sz val="10"/>
            <rFont val="SimSun"/>
            <charset val="134"/>
          </rPr>
          <t>IN 8PCS 11.7.25 DR#79863 SPC HACKET
IN 3PCS 8.20.25 DR#79034 SPC HACKET
IN 4PCS 8.14.25 DR#78606 LIPA A
IN 2PCS 6.9.25 DR#65930 SOUTHWAY
IN 4PCS 5.5.25 DR#77704 SPC EMMAN
IN 2PC 4-12-25 DR7752 LIPA A
IN 4PCS 3.17.25 DR#77427 SPC MIKE
8PCS 12-20-24 SOUTHWAY SI#65109
6PCS 12-17-24 SI#65049 SOUTHWAY
4PCS 12-06-24 SI#64973 SOUTHWAY
IN 2PCS 12-05-24 DR#75741 SPC KUYA MIKE
IN 4PCS 11/06/24 DR#76589 SPC MASTER
IN 4PCS 11/02/24 DR#76697 SPC KUYA HACKET
IN 4PCS 09/21/24 DR#76538 SPC KUYA HACKET
IN 4PCS 8-2-24 SI#64323 SOUTHWAY
6PC 5-17-24 SI#63892  SOUTHWAY
2PCS 5/11/2024 SI#63873 SOUTHWAY
IN 4PCS 04/03/24 SI#63546 SOUTHWAY
 IN 8PCS 04/03/24 SI#63545 SOUTHWAY
 IN 4PCS 04/03/24 SI#63548 SOUTHWAY
 IN 4PCS 04/03/24 SI#63547 SOUTHWAY
8PCS 12-13-23 SI#62850 SOUTHWAY
4pcs 11-10-23 SI#62533 SOUTHWAY
4PCS 9-8-23 DR#39211 SOUTHWAY
1PC  8-31-23 DR#74178 SPC
4PCS 8-8-23 DR#74067 SPC
8PCS 5-26-23 SI#61495 SOUTHWAY</t>
        </r>
      </text>
    </comment>
    <comment ref="H968" authorId="0" shapeId="0" xr:uid="{C4A2F7C3-8942-D445-99F9-DD2EE44B00C6}">
      <text>
        <r>
          <rPr>
            <sz val="10"/>
            <rFont val="SimSun"/>
            <charset val="134"/>
          </rPr>
          <t>02.25.26
55467 4PCS JARVIS
OUT 2PCS 02.18.26 DR80865-68 SPC HACKET
OUT 2PCS 12.13.25 DR#80066 SPC ROBIN
OUT 1PCS 9.23.25 DR#79272 SPC RONNIE
8-23-25
2 PCS 49845 ROSE
8-16-25
4 PCS 49626 ROSE
8.9.25
49514 4PCS BEL
5.29.25
46904 2PCS ROSE
4-12-25
4PCS OUT JO45252 ROSE
4-8-25
2 PCS OUT JO44909 ROSE
4 PCS OUT 2-13-25 JO42868 ALY
OUT 4PCS 2.8.25 DR#77126 BIÑAN
2PC PUT 1/11/25 JO41597 ROSE
2PCS 12/24/24 KO40980 ALY
12-22-24
40971 4PCS SALES ALY
2PCS 12/7/24 JO40453 ROSE
OUT 4PCS 12-06-24 DR#75494 LIPA A
10/25/24 
38737 4PCS SALES MARLO
10/17/2024	38594 4PCS SALES
08/24/24
37059 4PCS SALES JARVIS
OUT 4PCS 06/20/24 DR# SPC
OUT 2PCS 06/06/24 DR#75100 SPC KUYA HACKET
OUT 05/08/24 34095 4PCS SALES JARVIS
OUT 2PCS 04/26/24 DR#74795 SPC
OUT 6PCS 04/22/24 DR#74785 SPC SIR ADWIN
OUT 4/20/24 33647 4PCS SALES BEL
OUT 4PCS 04/02/24 DR#74752 LIPA A
4PCS 12-16-23 JO#30341 JARVIS
4PCS 12-14-23 DR#73970 SPC
4PCS 12-3-23 JO#29964 BEL
4PCS 10-23-23 DR#73935 SPC
4PCS 10-2-23 DR#72299 SPC
1PC 8-21-23 JO#27627 JARVIS
4PCS 6-28-23 STF#2525 LIPA A
4PCS 6-12-23 STF#2501 LIPA A</t>
        </r>
      </text>
    </comment>
    <comment ref="G969" authorId="0" shapeId="0" xr:uid="{C1DBB8D6-41AE-A942-8D83-08C14693E353}">
      <text>
        <r>
          <rPr>
            <sz val="10"/>
            <rFont val="SimSun"/>
            <charset val="134"/>
          </rPr>
          <t>IN 4PCS 03.03.26 DR80785 SPC HACKET
IN 12PCS 8.29.25 DR#79056 SPC HACKET
IN 4PCS 7.5.25 DR#0047051 SOUTHWAY</t>
        </r>
      </text>
    </comment>
    <comment ref="H969" authorId="0" shapeId="0" xr:uid="{096CF5D5-8FF6-8D4F-BAB2-A10F68D448B8}">
      <text>
        <r>
          <rPr>
            <sz val="10"/>
            <rFont val="SimSun"/>
            <charset val="134"/>
          </rPr>
          <t xml:space="preserve">12-8-25
2 PCS 53042 MARIBEL
11.16.25
52369 2PCS ALY
OUT 1PC 10.18.25 DR#79770 SPC BRY
10-16-25
2 PCS 51432 MARIBEL
OUT 1PC 10.14.25 DR#79757 SPC RONNIE
OUT 3PCS 9.23.25 DR#79272 SPC RONNIE
7-14-25
4 PCS 48646 MARLO
</t>
        </r>
      </text>
    </comment>
    <comment ref="G970" authorId="0" shapeId="0" xr:uid="{82F1E309-C7FE-B745-B79E-3D1CF5A7AAFD}">
      <text>
        <r>
          <rPr>
            <sz val="10"/>
            <rFont val="SimSun"/>
            <charset val="134"/>
          </rPr>
          <t>IN 20PCS 10.6.25 DR#0048427 SOUTHWAY
IN 4PCS 9.3.25 DR#79071 SPC KUYA RONNIE
IN 4PCS 9.2.25 DR#79068 SPC HACKET
IN 4PCS 8.7.25 DR#78842 SPC HACKET
IN 20PCS 7.5.25 DR#0047051 SOUTHWAY
IN 4PCS 6-24-25 DR78086 LIPA A
IN 4PCS 3.5.25 SI#65457 SOUTHWAY
IN 2PCS 2.3.25 DR#76194 LIPA A
----------------------------------------------
8PCS 12-20-24 SOUTHWAY SI#65109
IN 6PCS 09/28/24 SI#64680 SOUTHWAY
IN 1PC 09/16/24 SI#64613 SOUTHWAY
IN 2PCS 08/15/24 SI#64417 SOUTHWAY
IN 4PCS 07/18/24 DR# SPC KUYA HACKET
IN 4PCS 06/15/24 SI#64082 SOUTHWAY
IN 4PCS 5-24-24 DR#73482 LIPA A
4PC 5-17-24 SI#63892  SOUTHWAY
IN 2PCS 04/30/24 DR#73471 LIPA A
IN 4PCS 2/28/24  SI# 63450 SOUTHWAY
2PCS 1-17-24 SI#63043 SOUTHWAY
4PCS  12-5-23 SI#62803 SOUTHWAY
4PCS 11-28-23 DR# LIPA A
4pcs 10-21-23 SI#62445 SOUTHWAY
4PCS 5-8-23 SI#6417 SOUTHWAY</t>
        </r>
      </text>
    </comment>
    <comment ref="H970" authorId="0" shapeId="0" xr:uid="{3A3D8235-1BBB-8545-A2D7-7B14E06EB8C9}">
      <text>
        <r>
          <rPr>
            <sz val="10"/>
            <rFont val="SimSun"/>
            <charset val="134"/>
          </rPr>
          <t>02.17.26
55233 4PCS JARVIS
1-8-26
2 PCS 53959 ALY
OUT 4PCS 01.07.26 DR80089 SPC SERVICE
10-20-25
4 PCS 51555 MARIBEL
OUT 12PCS 10.8.25 DR#79297 SPC ROBIN
8-28-25
4 PCS 50019 JARVIS
8-6-25
4 PCS  49398 ALY
OUT 4PCS 7.19.25 DR#78370 BINAN HACKET
OUT 4PCS 7.9.25 DR#78354 SPC BRY
OUT 4PCS 7.7.25 DR#78347 LIPA A BRY
OUT 4PCS 7.7.25 DR#78346 SPC BRY
6-24-25
4 PCS 47961 MARLO
5-7-25
4 PCS 46069 ALY
2.3.25
42442 2PCS SALES DAHLIA
4PC OUT 1/22/25 JO42042 JARVIS
2PC OUT 1/14/25 JO41669 DALIA
12-26-24
41072 2PCS SALES ALY
10/10/24
38346 4PC SALES MARLO
OUT 2PCS 10/05/24 DR#75434 SPC KUYA HACKET
OUT 2PCS 10/01/24 DR#75426 SPC KUYA HACKET
09/21/24
37797 2PCS SALES ALY
09/01/24
37226 1pc sales marlo
07/24/24
36243 2PCS SALES DAHLIA
OUT 07/07/24 35792 4PCS SALES MARLO
4PCS 5/24/2024 34563 BEL
OUT 05/23/24 34329 4PCS SALES OFFICE
OUT 04/30/24 33892 4PCS SALES JHONLY
2PCS 4/5/2024 33261 SALES
OUT 03/23/24 32941 2PCS SALES ROSE
4PCS 2-14-24 31808 SALES
2PCS 01-03-24 JO#30729 LEN
4PCS 11-28-23 JO#29790 MAM JEN
4PCS 11-28-23 JO#29835 JARVIS
4PCS 9-23-23 JO#28380 JARVIS</t>
        </r>
      </text>
    </comment>
    <comment ref="G971" authorId="0" shapeId="0" xr:uid="{8E11EA31-8C71-A143-A71E-DF92F6E6058E}">
      <text>
        <r>
          <rPr>
            <sz val="10"/>
            <rFont val="SimSun"/>
            <charset val="134"/>
          </rPr>
          <t>IN 2PCS 10.30.25 DR#79698 SPC BRY
IN 2PCS 8.30.25 DR#79061 SPC HACKET
IN 2PCS 7.14.25 DR#78865 SPC BRY
IN 20PCS 7.5.25 DR#0047051 SOUTHWAY
IN 1PCS 4.24.25 DR#776979 SPC HACKET
IN 1PCS 4.12.25 DR#77660 SPC HACKET
1PCS 12-20-24 SOUTHWAY SI#65109
IN 4PCS 11/30/24 DR#75729 SPC KUYA HACKET
IN 2PCS 10/26/24 SI#64736 SOUTHWAY
IN 4PCS 10/13/24 DR#76646-48 SPC KUYA HACKET
IN 3PCS 08/15/24 SI#64396 SOUTHWAY
4PCS 5-2-24 SI#63777 SOUTHWAY
IN 4PCS 2/28/24  SI# 63450 SOUTHWAY
IN 02-18-2024
4PCS SPC MASTER DELIVER
1PC 12-13-23 SI#62853 SOUTHWAY
2PCS 12-13-23 SI#62850 SOUTHWAY
4PCS 11-28-23 SI#62782 SOUTHWAY
4PC 10-12-23 SI#62401 SOUTHWAY
2PCS 8-2-23 DR#38918 SOUTHWAY
8PCS 5-8-23 SI#6417 SOUTHWAY</t>
        </r>
      </text>
    </comment>
    <comment ref="H971" authorId="0" shapeId="0" xr:uid="{700EDBA3-BB14-8E41-A0C6-6CAA959D5432}">
      <text>
        <r>
          <rPr>
            <sz val="10"/>
            <rFont val="SimSun"/>
            <charset val="134"/>
          </rPr>
          <t>10-10-25
2 PCS 51303 MARIBEL
9-26-25
4 PCS 50902 MARIBEL
OUT 1PC 8.5.25 DR#78392 LIPA A
OUT 2PCS 7.11.25 DR#78361 BINAN EMMAN
OUT 12PCS 7.10.25 DR#78359 SPC RONNIE
OUT 2PCS 7.8.25 DR#78353 SPC SERVICE
7.7.25
48442 2P CS JARVIS
4.21.25
45395 1PC ROSE
OUT 2PCS 4.5.25 DR#77558 BIÑAN HACKET
OUT 4PCS 2.8.25 DR#77126 BIÑAN
11/18/2024	39725 4pcs sales
OUT 4PCS SALES 11/15/24 JO39804 MARLO
09/27/24
37993 4PCS SALES BEL
OUT 07/10/24 35857 1PCS SALES
ROSE
OUT 07/06/24 35772 2PCS SALES MARLO
OUT 4PCS 04/22/24 DR#74785 SPC SIR ADWIN
OUT 03/13/24 1PCS DR#74707 LIPA A
OUT 2-8-24 DR#74664-65 4PCS  SPC
2PCS 12-30-23 JO#30664 JOHNLY
4PCS 10-14-23 DR#73921 LIPA A
2PC 8-31-23 DR#72244 SPC
4PCS 5-11-23 STF#2450 LIPA A</t>
        </r>
      </text>
    </comment>
    <comment ref="G972" authorId="0" shapeId="0" xr:uid="{380177C8-D93F-9E49-9F04-0380B7A3F427}">
      <text>
        <r>
          <rPr>
            <sz val="10"/>
            <rFont val="SimSun"/>
            <charset val="134"/>
          </rPr>
          <t>IN 4PCS 09/21/24 DR#76538 SPC KUYA HACKET
IN 4PCS 05/31/24 DR#73485 LIPA A
2PCS 1-17-24 SI#63043 SOUTHWAY
2PCS 11-28-23 SI#62782 SOUTHWAY
2PCS 11-28-23 SI#62782 SOUTHWAY
4pcs 11-17-23 DR#74414 SPC
2PCS 9-8-23 DR#39211 SOUTHWAY</t>
        </r>
      </text>
    </comment>
    <comment ref="H972" authorId="0" shapeId="0" xr:uid="{E6AB4256-6AEC-DE45-8D3D-97797C873A5E}">
      <text>
        <r>
          <rPr>
            <sz val="10"/>
            <rFont val="SimSun"/>
            <charset val="134"/>
          </rPr>
          <t>2.9.25
42745 2pcs sales dahlia
2PC OUT 1/4/25 JO41363 ALY
OUT 05/31/24 34716 4PCS SALES BEL
OUT 03/27/24 32948 2PCS SALES ROSE
OUT 1PCS 03/13/24 DR#74707 LIPA A
OUT 3/09/24 32581 1PCS SALES MARLO
2PCS 12-28-23 JO#30582 BEL
2PCS 11-18-23 JO#29598 ROSE
4pcs 11-11-23 DR#74264  SPC
2PCS 8-24-23 JO#27713 BEL</t>
        </r>
      </text>
    </comment>
    <comment ref="G973" authorId="0" shapeId="0" xr:uid="{1F1668A4-44B4-9742-9235-5DE08AEBCD2F}">
      <text>
        <r>
          <rPr>
            <sz val="10"/>
            <rFont val="SimSun"/>
            <charset val="134"/>
          </rPr>
          <t>IN 4PCS 04/17/24 DR# SPC KUYA HACKET
2PCS 12-13-23 SI#62850 SOUTHWAY
6PCS 9-8-23 DR#39211 SOUTHWAY
4pcs 8-26-23 DR#73289 LIPA A
8PCS 5-8-23 SI#6417 SOUTHWAY</t>
        </r>
      </text>
    </comment>
    <comment ref="H973" authorId="0" shapeId="0" xr:uid="{E8FEE273-B713-F94B-A655-EE031BB38CBE}">
      <text>
        <r>
          <rPr>
            <sz val="10"/>
            <rFont val="SimSun"/>
            <charset val="134"/>
          </rPr>
          <t>OUT 4PCS 03/23/24 DR#74735 SPC KUYA MIKE
2PCS 12-14-23 DR#73969 LIPA A
4pcs 11-8-23 DR#74258 SPC
4PCS 826-23 JO#27762 ROSE
4PCS 5-27-23 JO#25591 JARVIS
2PCS 5-10-23 JO#25214 DAHLIA</t>
        </r>
      </text>
    </comment>
    <comment ref="G974" authorId="0" shapeId="0" xr:uid="{88339607-D953-514F-8B59-D3392621B2BA}">
      <text>
        <r>
          <rPr>
            <sz val="10"/>
            <rFont val="SimSun"/>
            <charset val="134"/>
          </rPr>
          <t>IN 4PCS 02.20.26 DR80489 BIÑAN
IN 4PCS 11.24.25 DR#0049185 SOUTHWAY
IN 2PCS 12.3.25 DR#79716 SPPC HACKET
IN 4PCS 12.01.25 DR#78677 LIPA A
IN 6PCS 8.29.25 DR#79056 SPC HACKET
IN 4PCS 8.7.25 DR#78842 SPC HACKET
IN 4PCS 4.15.25 DR#65683 SOUTHWAY 
IN 4PCS 4.14.25 DR#77661 SPC ROI
IN 4PCs 3.7.25 DR#77050 SPC HACKET
2PCS 12-06-24 SI#64973 SOUTHWAY
10pcs 11-12-24 SI#64925 SOUTHWAY
IN 8PCS 08/15/24 SI#64417 SOUTHWAY
IN 4PCS 04/17/24 DR#sp0024 SPC KUYA HACKET</t>
        </r>
      </text>
    </comment>
    <comment ref="H974" authorId="0" shapeId="0" xr:uid="{2A1B0F66-71C4-F542-A16D-E8FC3CDEE24D}">
      <text>
        <r>
          <rPr>
            <sz val="10"/>
            <rFont val="SimSun"/>
            <charset val="134"/>
          </rPr>
          <t>OUT 4PCS 02.26.26 DR80875 STC LALAMOVE
OUT 2PCS 02.17.26 DR50863 STC SERVICE
02.03.26
54770 2PCS ALY
1-20-26
2 PCS 54395 MJEN
OUT 2PCS 12.4.25 DR#80051 LIPA A
12.1.25
52835 2PCS MARLO
OUT 6PCS 10.18.25 DR#79771 SPC ROI
OUT 2PCS 10.14.25 DR#79757 SPC RONNIE
8-23-25
2 PCS 49933 MARIBEL
5-9-25
4 PCS 46179 MARLO
OUT 4PCS 4.15.25 DR#77589 SPC DANCRIS
3-29-25
4 PCS OUT JO44709 JARVIS
4 PC OUT 2/1/25 JO41890 DALIA
OUT 4PCS 1.23.25 DR#76935 SPC HACKET
---------------------------------------------
OUT 4PCS 11/30/24 DR#75481 LIPA A KUYA JOEL
OUT 4PCS 11/28/24 DR#75477 SPC KUYA ALWIN
11/10/24
39434 2pcs sales aly
7/15/24
35985 2PC SALES DAHLIA
OUT 2PCS 06/29/24 DR#75124 LIPA A KUYA HACKET
OUT 4PC 05/21/24 DR#75076 SPC KUYA HACKET</t>
        </r>
      </text>
    </comment>
    <comment ref="G975" authorId="0" shapeId="0" xr:uid="{89C65844-4235-6244-9738-1829549056D5}">
      <text>
        <r>
          <rPr>
            <sz val="10"/>
            <rFont val="SimSun"/>
            <charset val="134"/>
          </rPr>
          <t>IN 4PCS 9.13.25 DR#79093 SPC HACKET
IN 4PCS 9.3.25 DR#79071 SPC KUYA RONNIE
IN 2PCS 6.14.25 DR#78792 SPC ADWIN
IN 3PCS 4.16.25 DR#75765 STC
IN 3PCS 4.16.25 DR#77542 LIPA A
IN 1PC 3.12.25 DR#77411 SPC HACKET
IN 2PCS 1-28-25 DR#77007 SPC KUYA HACKET
----------------------------------------------
IN 2PCS 06/22/24 DR#75191 SPC KUYA ADWIN
IN 4PCS 05/06/24 DR# SPC MASTER</t>
        </r>
      </text>
    </comment>
    <comment ref="H975" authorId="0" shapeId="0" xr:uid="{C79F4737-FE03-E043-BF7F-00158EF74E60}">
      <text>
        <r>
          <rPr>
            <sz val="10"/>
            <rFont val="SimSun"/>
            <charset val="134"/>
          </rPr>
          <t>12-8-25
4 PCS 53007 MARIBEL
OUT 4PCS 10.13.25 DR#79759 BIÑAN
9-8-25
4 PCS 50358 MARIBEL
4-16-25
4 PCS OUT JO45388 JARVIS
4-4-25
4 PCS OUT JO44869 JARVIS
1 PC OUT 3-7-25 JO43803 ALY
4 PCS OUT 3-1-25 JO43510  JARVIS
2pc out 1/23/25 JOI42054 MARIBEL
OUT 05/31/24 34706 2PCS SALES LEN
OUT 04/30/24 33905 4PCS SALES BEL</t>
        </r>
      </text>
    </comment>
    <comment ref="G976" authorId="0" shapeId="0" xr:uid="{FFB6A68F-399F-D44E-90CE-5E2D8443F547}">
      <text>
        <r>
          <rPr>
            <sz val="10"/>
            <rFont val="SimSun"/>
            <charset val="134"/>
          </rPr>
          <t>IN 4PCS 8.11.25 DR#79006-07 SPC EMMAN
2PC 5-17-24 SI#63892  SOUTHWAY
4PCS 2-17-24 SI#63298 SOUTHWAY
4PCS 7-14-23 DR#38750 SOUTHWAY</t>
        </r>
      </text>
    </comment>
    <comment ref="H976" authorId="0" shapeId="0" xr:uid="{D0960CAA-5F15-644F-85C6-41B4A161B30E}">
      <text>
        <r>
          <rPr>
            <sz val="10"/>
            <rFont val="SimSun"/>
            <charset val="134"/>
          </rPr>
          <t>4-28-25
4 PCS 45817 JARVIS
OUT 04/29/24 33874 2PCS SALES MARLO
4pcs 2-5-24 DR#74662 LIPA A</t>
        </r>
      </text>
    </comment>
    <comment ref="G977" authorId="0" shapeId="0" xr:uid="{141A1EEA-D21C-5C42-AF89-9871A25438F4}">
      <text>
        <r>
          <rPr>
            <sz val="10"/>
            <rFont val="SimSun"/>
            <charset val="134"/>
          </rPr>
          <t>IN 20PCS 9.30.25 DR#79623 SPC RONIE
IN 2PCS 8.1.25 DR#78819 SPC EMMAN
IN 1PCS 6.24.25 DR#77766 SPC HACKET
IN 8PCS 4.15.25 DR#65683 SOUTHWAY
IN 4PCS 4.4.25 DR#77520 LIPA A
IN 2PCS 2.22.25 SI#65336 SOUTHWAY
1PCS 11-30-24 DR#76133 LIPA A
3pcs 11-12-24 SI#64925 SOUTHWAY
4PCS 11/11/24 DR#75703-04 SPC KUYA HACKET &amp; ROI
IN 3PC 10-18-24 DR#76661 SPC KUYA HACKET
IN 1PCS 10/13/24 DR#76649 SPC BRIAN
IN 4PCS 09/16/24 SI#64613 SOUTHWAY
IN 2PCS 09/09/24 DR#76529 SPC MASTER
IN 4PCS 8-30-24 SI#64602 SOUTHWAY
IN 2PCS 08/29/24 DR#76080 LIPA A
IN 8PCS 08/15/24 SI#64396 SOUTHWAY
IN 8PCS 07/06/24 SI#64194 SOUTHWAY
IN 4PCS 03/22/24 DR#73435 LIPA A
4PCS 11-28-23 SI#62782 SOUTHWAY
4PC 10-12-23 SI#62401 SOUTHWAY
8PCS 9-8-23 DR#39211 SOUTHWAY
2PCS 6-21-23 SI#61661 SOUTHWAY
8PCS 5-8-23 SI#6417 SOUTHWAY</t>
        </r>
      </text>
    </comment>
    <comment ref="H977" authorId="0" shapeId="0" xr:uid="{E7295968-CCA9-B543-BA83-43E3E9A06053}">
      <text>
        <r>
          <rPr>
            <sz val="10"/>
            <rFont val="SimSun"/>
            <charset val="134"/>
          </rPr>
          <t>12-16-25
4 PCS OUT 53331 JARVIS
OUT 12PCS 10.29.25 DR#79789 SPC RONNIE
7-30-25
1 PC 49192 MARLO
6-16-25
2 PCS  47545 ROSE
5.14.25
46322 1PC MARLO
5-2-25
45984 1PC ROSE
4-24-25
2 PCS 45591 ROSE ANN
4-4-25
JO44879, 44875,, 44876
5 PCS OUT ROSE ANN PMFTC
3.24.25
44435 2PCS ROSE
OUT 4PCS 11/21/24 JO39904 ROSE AN 
OUT 2PCS 11/18/24 JO39679 ROSE ANN
OUT 2 PCS 10/29/24 
JO38873 ROSE
10/28/24
38759 2PCS SALES
10/16/24
38551 1PC SALES ROSE
10/15/24
38450 2PCS SALES ROSE
10/11/24
38318 1PC SALES ROSE
10/10/24
38314 1PC SALES JARVIS
09/28/24
38033 2PCS SALES ROSE
09/20/24
37739 1PC SALES ROSE
09/06/24
37431 2PCS SALES ROSE
08/29/24
37211 2PCS SALES ROSE
08/27/24
37050 2PCS SALES ROSE
08/22/24
36978 2PCS SALES ROSE
36977 2PCS SALES  ROSE
08/20/24
36973 2PCS SALES ROSE
08/15/24
36831 2PCS SALES ROSE
07/30/24
36401 2PCS SALES ROSE
07/17/24
36036 2PCS SALES ROSE
OUT 07/11/24 35885 2PCS SALES ROSE
OUT 03/22/24 32874 4PCS SALES LEN
OUT 4PCS 03/13/24 DR#74710 SPC
4PCS 1-12-24 DR#73382 SPC
1PC 11-8-23 DR#74258 SPC
4PCS 10-4-23 JO#28566 JARVIS
1PC  10-4-23 DR#73993 SPC
1PC 10-2-23 DR#72299 SPC
1PC 10-1-23 JO#28476 BEL
4PCS 5-11-23 STF#2450 LIPA A</t>
        </r>
      </text>
    </comment>
    <comment ref="G978" authorId="0" shapeId="0" xr:uid="{FAD1129E-6C2C-9742-AE78-713A652A93E7}">
      <text>
        <r>
          <rPr>
            <sz val="10"/>
            <rFont val="SimSun"/>
            <charset val="134"/>
          </rPr>
          <t>IN 4PCS 9.30.25 DR#79623 SPC RONIE
IN 1PC 9.26.25 DR#79615 SPC HACKET
IN 4PCS 8.7.25 DR#78842 SPC HACKET
IN 16PCS 10/26/24 SI#64736 SOUTHWAY
IN 4PCS 03/15/24 SI#63605 SOUTHWAY
IN 02-18-2024
2PCS SPC MASTER DELIVER
4PCS 2-8-24 DR#74807 SPC
2PCS 12-13-23 SI#62850 SOUTHWAY
4PCS 6-21-23 SI#61661 SOUTHWAY</t>
        </r>
      </text>
    </comment>
    <comment ref="H978" authorId="0" shapeId="0" xr:uid="{572810C2-B9FF-DB44-9918-A752512C60C4}">
      <text>
        <r>
          <rPr>
            <sz val="10"/>
            <rFont val="SimSun"/>
            <charset val="134"/>
          </rPr>
          <t>1-2-26
4 PCS OUT 53756 JUN B
OUT 1PCS 12.18.25 DR#80068 SPC HACKET
OUT 1PCS 12.13.25 DR#80066 SPC ROBIN
9-20-25
2 PCS 50743 ALY
8-29-25
1 PC 50092 MARLO
7-30-25
2 PCS 49181 ALY
OUT 8PCS 10/28/24 DR#75445 SPC
OUT 4PCS 10/28/24 DR#75444 LIPA A BRIAN
OUT 4PSC 5-21-24 DR#75073 SPC BOYONG
OUT 2PCS 04/22/24 DR#74785 SPC SIR ADWIN
OUT 03/07/24 32522 4PCS SALES OFFICE
OUT 01-08-2024
30904 4PCS SALES MARLO</t>
        </r>
      </text>
    </comment>
    <comment ref="G979" authorId="0" shapeId="0" xr:uid="{A5DAC5BB-05B1-F64F-8909-DA6B16CA8159}">
      <text>
        <r>
          <rPr>
            <sz val="10"/>
            <rFont val="SimSun"/>
            <charset val="134"/>
          </rPr>
          <t>IN 22PCS 01.30.26 DR#0049899 SOUTHWAY
IN 4PCS 12.15.25 DR#79742 SPC HACKET
IN 4PCS 12.3.25 DR78678 LIPA A
IN 11-23-2025 FROM LIPA A DR#78673 1PC
IN 4PCS 11.7.25 DR#79863 SPC HACKET
IN 6PCS 11.3.25 DR#79855 SPC ROBIN
IN 4PCS 10.30.25 DR#79698 SPC BRY
IN 20PCS 8.19.25 DR#00467671 SOUTHWAY
IN 4PCS 8.9.25 DR#79003 SPC BRY
IN 4PCS 4.15.25 DR#65683 SOUTHWAY 
2PCS 3.31.25 DR#77515 LIPA A
IN 4PCS 3.17.25 DR#77427 SPC MIKE
IN 2PCS 3.09.10 DR#77085 LIPAA
IN 2PCS 3.5.25 SI#65457 SOUTHWAY
IN 2PCS 2.28.28 DR#77074 LIPA A
IN 4PCS 2.14.25 DR#77026 SPC
IN 8PCS 1-25-25 DR#77004  SPC KUYA HACKET
IN 4PCS 01-04-25 DR#76871 SPC
---------------------------------------------
IN 4PCS 11/25/24 DR#75722 SPC KUYA EMMAN
IN 2PCS 09/21/24 DR#76538 SPC KUYA HACKET
IN 8PCS 09/16/24 SI#64613 SOUTHWAY
IN 8PCS 08/15/24 SI#64417 SOUTHWAY</t>
        </r>
      </text>
    </comment>
    <comment ref="H979" authorId="0" shapeId="0" xr:uid="{5CD2C4E5-7D57-284E-A0DE-2A3C3D2BA557}">
      <text>
        <r>
          <rPr>
            <sz val="10"/>
            <rFont val="SimSun"/>
            <charset val="134"/>
          </rPr>
          <t xml:space="preserve">OUT 4PCS 02.12.26 DR80249 SPC LIPA A
02.02.26
54747 4PCS BEL
OUT 10PCS 01.30.26 DR80230 SPC HACKET
1-8-26
4PCS 53957 ALY
12-9-25
4 PCS 53023 JEN B
11-23-2025 SALES
JO#52588 4PCS JARVIS
11-20-25
5 PCS 52479 MARIBEL
11-15-25
4 PCS 52348 JARVIS
11.3.25
2 PCS 51912 MARIBEL
10.31.25
51921 4PCS MARLO
10.20.25
51547 4PCS JARVIS
10-6-25
4 PCS 51198 MARIBEL
OUT 4PCS 9.22.25 DR#79271 LIPA A
OUT 4PCS 8.28.25 DR#78435 SPC HACKET
OUT 4PCS 8.20.25 DR#78422 SPC BRY
8.8.25
49484 4PCS BEL
6-22-25
2 PCS 47907 ALY 
6-7-25
47065 2PCS ALY
3.31.25
44669 4PCS MARLO
3.30.25
44696 2PCS ALY
4 PCS OUT 3-9-25 JO43872 JARVIS
4 PCS OUT 3-7-25 JO43595 DALIA
2-28-25 
4 PCS OUT JO43478 MARIBEL 
2-27-25  2 PCS OUT JO43444 JARVIS
1-31-25 
42315 4PCS SALES ALY
4PC  OUT 1/29/25 JO42217 MARLO
4PC OUT 1/8/25 JO41519 DALIA
12-01-2024
4pcs out sales jo#40287 aly
OUT 4PCS 10/09/24 DR#75437 LIPA A
OUT 1PC 09/20/24 DR#75411 LIPA A
09/19/24
37749 2PCS SALES BEL
OUT 4PCS 08/23/24 DR#75385 SPC 
08/20/24
36915 4PCS SALES OFFICE
</t>
        </r>
      </text>
    </comment>
    <comment ref="G980" authorId="0" shapeId="0" xr:uid="{C05CFDBC-77B6-D24A-AE51-FA18F895CADB}">
      <text>
        <r>
          <rPr>
            <sz val="10"/>
            <rFont val="SimSun"/>
            <charset val="134"/>
          </rPr>
          <t>IN 4PCS 11.7.25 DR#79863 SPC HACKET
IN 2PCS 9.12.25 DR#79091 SPC</t>
        </r>
      </text>
    </comment>
    <comment ref="H980" authorId="0" shapeId="0" xr:uid="{6DF4859D-3FD6-3245-9AF4-97E7FA4769BD}">
      <text>
        <r>
          <rPr>
            <sz val="10"/>
            <rFont val="SimSun"/>
            <charset val="134"/>
          </rPr>
          <t>OUT 4PCS 11.13.25 DR#80012 LIPA A
9.12.25
50501 2PCS ALY</t>
        </r>
      </text>
    </comment>
    <comment ref="G981" authorId="0" shapeId="0" xr:uid="{F7AA8190-FAEC-3042-AC0D-9627C1E489BB}">
      <text>
        <r>
          <rPr>
            <sz val="10"/>
            <rFont val="SimSun"/>
            <charset val="134"/>
          </rPr>
          <t xml:space="preserve">IN 1PC 12.30.25 DR80154 LIPA A
IN 2PCS 12.3.25 DR#79716 SPPC HACKET
IN 2PCS 9.8.25 DR#78628 LIPA A
IN 2PCS 7.10.25 DR#78857 SPC RONNIE
IN 2PCS 4.15.25 DR#65683 SOUTHWAY 
IN 4PCS 3.29.25 DR#77375 SPC HACKET 
IN 4PCS 2.10.25 DR#77351 SPC KUYA EMMAN
----------------------------------------------
IN 4PCS 08/07/24 SI#64376 SOUTHWAY
IN 2PCS 4/7/24 DR#73447 LIPA A
IN 2PCS 04/07/24 DR#73445 LIPA A 
IN 3PCS 03/15/24 SI#63605 SOUTHWAY
12PCS 12-13-23 SI#62850 SOUTHWAY
4pcs 11-10-23 SI#62533 SOUTHWAY
4PCS 10-29-23 DR#72683 A
2PCS 9-8-23 DR#39211 SOUTHWAY
4PCS 6-29-23 SI#6177 SOUTHWAY
8PCS  5-8-23 SI#61377 SOUTHWAY </t>
        </r>
      </text>
    </comment>
    <comment ref="H981" authorId="0" shapeId="0" xr:uid="{7E1B197B-9375-934F-86BD-10AEA531175C}">
      <text>
        <r>
          <rPr>
            <sz val="10"/>
            <rFont val="SimSun"/>
            <charset val="134"/>
          </rPr>
          <t>OUT 1PCS 02.18.26 DR80865-68 SPC HACKET
12-30-25
2 PCS OUT 53769 JARVIS
9-8-25
2 PCS 50351 MARIBEL
7.26.25
48969 4PCS BEL
4-22-25
2 PCS 45500 DALIA
4-5-25
2 PCS OUT JO44932 MARLO
OUT 4PCS 2.17.25 DR#77104 LIPA A
1 PC OUT 1/23/25 JO42069 ALY
10/19/2024	38628 1pc sales
08/07/24
36608 3PCS SALES MARLO
OUT 06/02/24 34784 4PCS SALES MARLO 
OUT 03/09/24 33318 2PCS SALES BEL
OUT 04/07/24 33291 2PCS SALES  BEL
OUT 04/07/24 332295 4PCS SALES  BEL
OUT 03/08/24 32538 2PCS SALES LEN
OUT 2PCS 2/26/24 DR# 74689-90 SPC PICK UP MASTER
OUT 02-18-2024
1PC SPC MASTER PICK UP
2PCS 2-10-24 31834 SAELS
8PCS 12-14-23 DR#73970 SPC
4PCS 10-29-23 JO#29171 BEL
4PCS 10-19-23 JO#28943 JARVIS
4PCS 10-4-23 DR#73993 SPC
2PCS 6-3-23 JO#25753 JARVIS
4PCS 5-18-23 stf#2461 LIPA A</t>
        </r>
      </text>
    </comment>
    <comment ref="G982" authorId="0" shapeId="0" xr:uid="{B7B665DF-3866-A840-BF20-F7037DD0CD84}">
      <text>
        <r>
          <rPr>
            <sz val="10"/>
            <rFont val="SimSun"/>
            <charset val="134"/>
          </rPr>
          <t>IN 2PCS 10.5.25 DR#79642 SPC RONNIE
IN 4PCS 8.30.25 DR#79061 SPC HACKET
IN 4PCS 8.1.25 DR#78819 SPC EMMAN
IN 2PCS 5.26.25 DR#78753 SOC BRIAN
IN 4PCS 5.5.25 DR#77704 SPC EMMAN</t>
        </r>
      </text>
    </comment>
    <comment ref="H982" authorId="0" shapeId="0" xr:uid="{EC719E08-7AB3-EF4A-8768-EBF8CE39B2DA}">
      <text>
        <r>
          <rPr>
            <sz val="10"/>
            <rFont val="SimSun"/>
            <charset val="134"/>
          </rPr>
          <t xml:space="preserve">
11-28-25
2 pcs 52703 MARIBEL 
OUT 2PCS 11.7.25 DR#80006 SPC HACKET
9-29-25
4 PCS 50981 MARIBEL
9-16-25
2 PCS 50610 JARVIS
OUT 4PCS 8.21.25 DR#78425 BINAN BRY
OUT 1PCS 7.26.25 DR#78379 SPC RONNIE
OUT 2PCS 7.2.25 DR#78343 SPC BRY</t>
        </r>
      </text>
    </comment>
    <comment ref="G983" authorId="0" shapeId="0" xr:uid="{462AA114-D21F-1B4D-B576-DD9654BC1EB9}">
      <text>
        <r>
          <rPr>
            <sz val="10"/>
            <rFont val="SimSun"/>
            <charset val="134"/>
          </rPr>
          <t>IN 1PCS 02.10.26 DR80737 SPC ALWIN
IN 16PCS 11.15.25 DR#0049047 SOUTHWAY
IN 8PCS 8.30.25 DR#79061 SPC HACKET
IN 4PCS 8.7.25 DR#78843 SPC HACKET
IN 2PCS 7.10.25 DR#78857 SPC RONNIE
IN 1PC 6.11.25 DR#78074 LIPA A
IN 3PCS 5.10.25 DR#77721 SPC HACKET
IN 4PCS 4.15.25 DR#65683 SOUTHWAY 
IN 4PCS 1-31-25 DR#77010 SPC
IN 10PCS 1-31-25 SI#65224 SOUTHWAY
----------------------------------------------
IN 8PCS 11/30/24 DR#75729 SPC KUYA HACKET
IN 2PCS 09/21/24 DR#76538 SPC KUYA HACKET
IN 4PCS 09/16/24 SI#64613 SOUTHWAY
IN 8PCS 8-2-24 SI#64323 SOUTHWAY
IN 1PCS 07/18/24 DR# SPC KUYA HACKET
IN 4PCS 06/28/24 SI#64212 SOUTHWAY
IN 4PCS 06/15/24 SI#64082 SOUTHWAY
IN 4PCS 05/25/24 SI#64003 SOUTHWAY
4PC 5-17-24 SI#63892  SOUTHWAY
IN 4PCS 04/17/24 DR# SPC KUYA HACKET
IN 4PCS 04/13/24 DR#SPS0021 SPC KUYA EMAN
IN 1PCS 04/12/24 DR#73450 LIPA A
IN 2PCS 03/30/24 DR#73438 LIPA A
2PCS 12-13-23 SI#62852 SOUTHWAY
5PCS 12-13-23 SI#62852 SOUTHWAY
4PCS 11-28-23 SI#62782 SOUTHWAY
4PCS 11-17-23 DR#74414 SPC
2pcs 10-21-23 SI#62445 SOUTHWAY
6PC 10-12-23 SI#62401 SOUTHWAY
2PCS 10-1-23 DR#72665 LIPA A
8PCS 9-8-23 DR#39211 SOUTHWAY
4PCS 7-8-23 DR#38700 SOUTHWAY
4PCS 5-26-23 SI#61495 SOUTHWAY
4PCS  5-8-23 SI#61377 SOUTHWAY</t>
        </r>
      </text>
    </comment>
    <comment ref="H983" authorId="0" shapeId="0" xr:uid="{C4B1E827-7BE2-B74B-8896-88D3D19D57FD}">
      <text>
        <r>
          <rPr>
            <sz val="10"/>
            <rFont val="SimSun"/>
            <charset val="134"/>
          </rPr>
          <t>03.03.26
55683 4PCS BEL
1-22-26
2 PCS 54455 JARVIS
OUT 9PCS 11.19.25 DR#80022 SPC ROBIN
OUT 3PCS 11.17.25 DR#80017 STC LALAMOVE
11-14-25
1 PC 52298 JARVIS
OUT 2PCS 10.13.25 DR#79759 BIÑAN
9-22-25
4 pcs 50737 maribel
8-26-25
4 PCS 50006 MARIBEL
7-10-25
2 PCS 48520 ALY 
6-11-25
4 PCS 47318 MARIBEL
5-18-25
4 PCS 46484 ALY
IN 1PCS 4.26.25 DR#77685 SPC HACKET
OUT 2PCS 4.24.25 DR#77611 BIÑAN
4-2-25
4 PCS OUT JO44797 MARIBEL 
3.31.25
44716 1PC ALY
3-27-25
4 PCS OUT JO44591 ROSE
1PC 2.25.25 DR#77128 SPC RONNIE
OUT 2PCS 2.16.25 DR#77101 BIÑAN KUYA RONNIE
OUT 4PCS 2.6.25 DR#76972 BIÑAN
2PC OUT 1/9/25 JO41540 ALY
12-04-24
40338 4PCS SALES JARVIS
11/24/24
40044 4PCS SALES ALY
OUT 4PCS SALES 11/12/2024
JO39634 DALIA
09/18/24
37753 2PCS SALES MARLO
08/27/24
37119 4PCS SALES JARVIS
08/23/24
37065 4PCS SALES BEL
07/27/24
36343 4PCS SALES ROSE
07/08/24
35802 1PC SALES BEL
OUT 06/09/24 34990 4PCS SALES BEL 
OUT 4PC 06/04/24 DR#75098 SPC KUYA HACKET
OUT 05/05/24 34033 4PCS SALES  MARLO
OUT 3PCS 04/29/24 DR#75051 SPC KUYA EMMAN
OUT 1PCS 04/18/24 DR#750523 LIPA A
OUT 04/12/24 33423 1PCS SALES BEL 
4PCS 4-8-24 33327 SALES
OUT 03/30/24 33040 2PCS SALES BEL
OUT 1PC 03/30/24 DR#74745-46 SPC KUYA HACKET 
OUT 03/25/24 32976 4PCS SALES BEL
OUT 2PCS 03/23/24 DR#74735 SPC KUYA MIKE
OUT 03/18/24 32796 1PCS SALES  BEL
1PC S 1-26-24 DR#000001 SPC
OUT 1-17-24 DR#73388 1PC SPC
1PC 12-14-23 DR#73970 SPC1PC  12-14-23 DR#73969 LIPA A
4PCS 11-18-23 JO#29557 MARLO
11/11/2023 29407 4PCS SALES
2PCS 11-4-23 JO#29269 BEL
2PCS 10-24-23 JO#29051 MARLO
4PCS 10-1-23 JO#28513 BEL
2pcs 9-23-23 JO#28384 SALES
4PCS 9-14-23 JO#28130 MARLO
4PCS 8-27-23 JO#27779 ARIEL
4pcs 6-19-23 STF#2515 SPC
4PCS 5-29-23 JO#25654 BEL</t>
        </r>
      </text>
    </comment>
    <comment ref="G984" authorId="0" shapeId="0" xr:uid="{2FC204B8-83F5-694F-A28C-D78BC2CEB935}">
      <text>
        <r>
          <rPr>
            <sz val="10"/>
            <rFont val="SimSun"/>
            <charset val="134"/>
          </rPr>
          <t>IN 6PCS 10.30.25 DR#79698 SPC BRY
IN 4PCS 9.3.25 DR#79071 SPC KUYA RONNIE
IN 10PCS 7.5.25 DR#0047051 SOUTHWAY
IN 4PCS 4.30.25 DR#77693 SPC HACKET
4PCS 12-20-24 SOUTHWAY SI#65109
6pcs 11-12-24 SI#64925 SOUTHWAY
IN 4PCS 08/07/24 SI#64376 SOUTHWAY
2PCS 7-31-24 STA CRUZ
IN 4PCS 05/31/24 DR#75171 SPC KUYA HAKCET
IN 1PCS 05/07/24 DR#73475 LIPA A
4PCS 2-7-24 DR#74650;74801 SPC
4PCS 12-13-23 SI#62852 SOUTHWAY
8pcs 11-10-23 SI#62533 SOUTHWAY
4pcs 11-13-23 DR# SPC
4PC 10-12-23 SI#62401 SOUTHWAY</t>
        </r>
      </text>
    </comment>
    <comment ref="H984" authorId="0" shapeId="0" xr:uid="{261ED034-C67B-C646-8755-E0BA164CF50C}">
      <text>
        <r>
          <rPr>
            <sz val="10"/>
            <rFont val="SimSun"/>
            <charset val="134"/>
          </rPr>
          <t>OUT 2PCS 01.30.26 DR80231 SPC HACKET
10-18-25
2 PCS 51517 ALY
10-10-25
4 PCS 51279 ALY
OUT 4PCS 7.11.25 DR#78361 BINAN EMMAN
OUT 2PCS 7.8.25 DR#78353 SPC SERVICE
OUT 4PCS 7.7.25 DR#78347 LIPA A BRY
4-24-25
4 PCS 45517 ALY
4PC OUT 1/2/25 JO41304 ALY
OUT 2PCS 11/28/24 DR#75477 SPC KUYA ALWIN
11-04-2024
38548 4PCS OFFICE/HANNAH
2PCS 8-1-24 36406 ROSE
OUT 05/30/24 34714 4PCS SALES BEL
4PCS 5/10/2024 34186 AMRIBEL
OUT 04/27/24 33834 1PCS SALES JHONLY
4PCS 1-5-24 JO#30797 LEN
4PCS 12-14-23 DR#73970 SPC
4PCS 12-14-23 DR#73969 LIPA A
8PCS 11-23-23 DR#74283 SPC</t>
        </r>
      </text>
    </comment>
    <comment ref="G985" authorId="0" shapeId="0" xr:uid="{D2A8356B-708F-EF4B-96EB-BDFC40FC9172}">
      <text>
        <r>
          <rPr>
            <sz val="10"/>
            <rFont val="SimSun"/>
            <charset val="134"/>
          </rPr>
          <t>IN 3PCS 8.8.25 DR#78846 SPC EMMAN
IN 10PCS 7.7.25 DR#0047066 SOUTHWAY
IN 4PCS 6.21.25 DR#0046829 SOUTHWAY</t>
        </r>
      </text>
    </comment>
    <comment ref="H985" authorId="0" shapeId="0" xr:uid="{EB2ABEB3-622A-B24B-B5F1-D57242D62567}">
      <text>
        <r>
          <rPr>
            <sz val="10"/>
            <rFont val="SimSun"/>
            <charset val="134"/>
          </rPr>
          <t>8-6-25
4 PCS 49434 MARIBEL
OUT 5PCS 7.10.25 DR#78359 SPC RONNIE
OUT 4PCS 7.9.25 DR#78354 SPC BRY</t>
        </r>
      </text>
    </comment>
    <comment ref="G986" authorId="0" shapeId="0" xr:uid="{A27B96E1-1CA9-5142-9A56-E87BBD06CCAA}">
      <text>
        <r>
          <rPr>
            <sz val="10"/>
            <rFont val="SimSun"/>
            <charset val="134"/>
          </rPr>
          <t>IN 2PCS 01.03.26 DR79941 SPC HACKET
IN 2PCS 12.22.25 DR#79909 SPC RONNIE
IN 3PC 5.9.25 DR#77717 SPC ROI
4PCS 12-20-24 SOUTHWAY SI#65109
IN 2PCS 07/06/24 SI#64194 SOUTHWAY
IN 2PCS 2/28/24  SI# 63450 SOUTHWAY
2pcs 2-5-24 DR#74647 SPC
8PCS 12-19-23 SI#62885 SOUTHWAY
2PCS 12-13-23 SI#62852 SOUTHWAY
4PCS 9-8-23 DR#39211 SOUTHWAY
4PCS 5-26-23 SI#61495 SOUTHWAY</t>
        </r>
      </text>
    </comment>
    <comment ref="H986" authorId="0" shapeId="0" xr:uid="{97E2502C-630A-5743-B527-E6EE1F003085}">
      <text>
        <r>
          <rPr>
            <sz val="10"/>
            <rFont val="SimSun"/>
            <charset val="134"/>
          </rPr>
          <t>12.21.25
53444 2PCS ALY
4.21.25
45455 1PC DALIA
4.17.25
45423 2PCS JARVIS
4 PCS OUT 2-7-25 FOR BIÑAN 
08/10/24
36695 4PCS SALES DAHLIA
2PCS 2-24-24 32176 JOHNLY
2PCS 2-2-24 O#31601 BEL
OUT 01-09-2024
30914 4PCS SALES JOHNLY
4PCS 12-14-23 JO#30197 BEL
2PCS 12-14-23 DR#73970 SPC
4PCS 10-18-23 DR#73925 LIPA A</t>
        </r>
      </text>
    </comment>
    <comment ref="G987" authorId="0" shapeId="0" xr:uid="{89F84E3B-3C36-FD4A-8C05-78EC127DE663}">
      <text>
        <r>
          <rPr>
            <sz val="10"/>
            <rFont val="SimSun"/>
            <charset val="134"/>
          </rPr>
          <t>2PCS 12-13-23 SI#62852 SOUTHWAY
4PCS 9-8-23 DR#39211 SOUTHWAY</t>
        </r>
      </text>
    </comment>
    <comment ref="H987" authorId="0" shapeId="0" xr:uid="{ACFBEADD-2F16-4848-8113-09D1855B3D65}">
      <text>
        <r>
          <rPr>
            <sz val="10"/>
            <rFont val="SimSun"/>
            <charset val="134"/>
          </rPr>
          <t>2PCS 2-15-24 31951 SALES
4PCS 12-19-23 DR#73979 SPC</t>
        </r>
      </text>
    </comment>
    <comment ref="G988" authorId="0" shapeId="0" xr:uid="{366F26A0-AC44-6D4B-9937-6C832AB62397}">
      <text>
        <r>
          <rPr>
            <sz val="10"/>
            <rFont val="SimSun"/>
            <charset val="134"/>
          </rPr>
          <t>2PCS 11-28-23 SI#62782 SOUTHWAY
4PCS 6-21-23 SPC
4PCS 6-21-23 SI#61661 SOUTHWAY
4PCS  5-8-23 SI#61377 SOUTHWAY</t>
        </r>
      </text>
    </comment>
    <comment ref="H988" authorId="0" shapeId="0" xr:uid="{DFF61A32-2DE4-214B-AEB4-10A50C554C53}">
      <text>
        <r>
          <rPr>
            <sz val="10"/>
            <rFont val="SimSun"/>
            <charset val="134"/>
          </rPr>
          <t>4PCS 4-5-24 33207 SALES
4PCS 11-12-23 JO#29446 JARVIS
2PCS 8-1-23 DR#73895 SPC
4PCS 7-15-23 DR#73868 LIPA A</t>
        </r>
      </text>
    </comment>
    <comment ref="G989" authorId="0" shapeId="0" xr:uid="{81672F0D-A35B-1445-86E0-94D55365DD33}">
      <text>
        <r>
          <rPr>
            <sz val="10"/>
            <rFont val="SimSun"/>
            <charset val="134"/>
          </rPr>
          <t>IN 2PCS 01.30.26 DR80716 SPC HACKET
IN 4PCS 01.03.26 DR79941 SPC HACKET
IN 2PCS 12.22.25 DR#79909 SPC RONNIE
IN 12PCS 10.6.25 DR#0048427 SOUTHWAY
IN 2PCS 9.3.25 DR#79071 SPC KUYA RONNIE
IN 8PCS 7.5.25 DR#0047051 SOUTHWAY
IN 4PCS 6.27.25 DR#78087 LIPA A
IN 4PCS 6.9.25 DR#65930 SOUTHWAY
IN 2PCS 5.10.25 DR#77721 SPC HACKET
IN 15+1 4.14.25  SI#65640 SOUTHWAY
IN 2PCS 3.20.25 DR#77437 SPC EMMAN
IN 4PCS 3.5.25 SI#65457 SOUTHWAY
IN 1PC 1-28-25 DR#77007 SPC KUYA HACKET
----------------------------------------------
IN 4PCS 12-27-24 DR#76858 SPC KUYA HACKET
2PCS 12-17-24 SI#65051 SOUTHWAY
IN 2PCS 12-10-24 DR#76143 LIPA A
IN 2pCS 11/06/24 DR#76589 SPC MASTER
IN 4PCS 10/13/24 DR#76646-48 SPC KUYA HACKET
IN 4PCS 09/21/24 DR#76538 SPC KUYA HACKET
IN 2PCS 09/16/24 SI#64613 SOUTHWAY
IN 8PCS 08/15/24 SI#64396 SOUTHWAY
IN 7-26-24 SI#64311 3PCS SOUTHWAY
IN 2PCS 07/06/24 SI#64194 SOUTHWAY
IN 4PCS 06/28/24 SI#64212 SOUTHWAY
IN 4PCS 06/15/24 SI#64082 SOUTHWAY
IN 2PCS 06/09/24 DR#73489 LIPA A
IN 4PCS 06/01/24 SI#63981 SOUTHWAY (for stc)
IN 2PCS 06/01/24 SI#64015 SOUTHWAY (for spc)
IN 4PCS 06/01/24 SI#63982 SOUTHWAY (for lipa b)
IN 2PCS 03/22/24 DR#73435 LIPA A
4PCS 11-28-23 SI#62782 SOUTHWAY
4PCS 11-28-23 SI#62776 SOUTHWAY
4pcs 10-21-23 SI#62445 SOUTHWAY
4PC 10-12-23 SI#62401 SOUTHWAY
4PCS 9-8-23 DR#39211 SOUTHWAY
4PCS 5-26-23 SI#61495 SOUTHWAY</t>
        </r>
      </text>
    </comment>
    <comment ref="H989" authorId="0" shapeId="0" xr:uid="{4D525C1C-D290-834D-833B-206156EA3A2F}">
      <text>
        <r>
          <rPr>
            <sz val="10"/>
            <rFont val="SimSun"/>
            <charset val="134"/>
          </rPr>
          <t>01.23.26
54506 2PCS JARVIS
12-29-25
4 PCS OUT 53717 MARIBEL
OUT 2PCS 12.4.25 DR#80050 LIPA A BRY
OUT 1PC 12.3.25 DR#80049 SPC MIKE
OUT 1PC 12.2.25 DR#80046 SPC SERVICE
OUT 2PCS 11.7.25 DR#80006 SPC HACKET
OUT 8PCS 10.8.25 DR#79297 SPC ROBIN
OUT 4PCS 10.7.25 DR#79294 SPC ROI
8-27-25
2 PCS 49849 ROSE
6-30-25
4 PCS 48135 JARVIS
6-23-25
4 PCS 47928 JARVIS
OUT 4PCS 5.21.25 DR#77974 SPC
4-24-25
2 PC 45587 MARIBEL 
OUT 4PCS 4.23.25 DR#77610 SPC MIKE
OUT 4PCS 4.16.25 DR#77602 LIPA A
OUT 4PCS 4.15.25 DR#77588 SPC HACKET
4-12-25
2 PCS OUT JO45262 ROSE
3.22.25
44363 2PCS ROSE
2 PCS OUT 3-18-25 JO44193 ROSE
4 PC OUT 2-19-25 JO43094 JARVIS
OUT 2PCS 01-08-25 DR#75550 SPC
01-02-25 1PC DR#75541 SPC KUYA ALWIN
2pc out 12/20/24 jo40894 rose
OUT 4PCS 12/6/24 JO40379
JARVIS
2pcs 12/6/24 jo40452 rose
10/23/24
38754 2PCS SALES ROSE
10/02/24
37346 4PCS SALES MAM JEN
09/19/24
37774 2PCS SALES JARVIS
09/17/24
37709 2PCS SALES JARVIS
09/03/24
37364.1 2PCS SALES ROSE
08/26/24
37106 4PCS SALES BEL
08/05/24
36546 4PCS SALES BEL
07/24/24
36207 4PCS SALES MAM JEN
07/20/24
36136 3PCS SALES ROSE
OUT 06/20/24 35302 4PCS SALES 
JARVIS
OUT 06/09/24 34918 2PCS SALES ROSE 
OUT 2PCS 06/04/24 DR#75097 SPC KUYA HACKET
OUT 06/03/24 34788 2PCS SALES MARLO
OUT 4PCS 06/02/24 REF# STC KUYA HACKET
OUT 06/02/24 34797 2PCS SALES  BEL
OUT 03/22/24 32895 4PCS SALES JHONLY
OUT 03/07/24 32505 4PCS SALES JARVIS
2PCS 12-14-23 DR#73969 LIPA A
4PCS 11-18-23  JO#29589 BEL
4pcs 10-13-23 DR#73918 SPC
4PCS 9-18-23 JO#28237 BEL
4PCS 7-16-23 JO#26777 BEL</t>
        </r>
      </text>
    </comment>
    <comment ref="G990" authorId="0" shapeId="0" xr:uid="{CF5F47C0-FF08-664A-B4EC-62B036E09D36}">
      <text>
        <r>
          <rPr>
            <sz val="10"/>
            <rFont val="SimSun"/>
            <charset val="134"/>
          </rPr>
          <t>IN 5PCS 03.03.26 DR80785 SPC HACKET
IN 4PCS 9.13.25 DR#79093 SPC HACKET
4PCS 12-20-24 SOUTHWAY SI#65110
IN 2PCS 07/13/24 SI#64258 SOUTHWAY
IN 4PCS 04/13/24 DR#SPS0021 SPC KUYA EMAN/MASTER
4PCS 11-28-23 SI#62782 SOUTHWAY
4PCS 10-10-23 DR#73750 SPC
4pcs 9-26-23 DR#73728 SPC</t>
        </r>
      </text>
    </comment>
    <comment ref="H990" authorId="0" shapeId="0" xr:uid="{E463C89C-DE16-DA43-8586-3279CD137DA2}">
      <text>
        <r>
          <rPr>
            <sz val="10"/>
            <rFont val="SimSun"/>
            <charset val="134"/>
          </rPr>
          <t>12.7.25
53031 4PCS JARVIS
OUT 4PCS 9.8.25 DR#78450 LIPA A
OUT 4PCS 3.18.25 DR#77167 SPC MIKE
OUT 07/01/24 35539 2PCS SALES  JUN B
4PCS 4-8-24 33305 MARLO
4PCS 11-21-23 JO#29692 JARVIS
4PCS 10-6-23 JO#28609 JARVIS</t>
        </r>
      </text>
    </comment>
    <comment ref="G991" authorId="0" shapeId="0" xr:uid="{41EB4F4F-D661-7447-9FC5-D4AAEB31433F}">
      <text>
        <r>
          <rPr>
            <sz val="10"/>
            <rFont val="SimSun"/>
            <charset val="134"/>
          </rPr>
          <t>IN 1PCS 01.09.26 DR79951-53 SPC HACKET
IN 3PCS 11.11.25 DR#79873 SPC HACKET
IN 1PCS 10.30.25 DR#79698 SPC BRY
IN 2PCS 8.10.25 DR#79648 SPC ROBIN
IN 1PCS 10.5.25 DR#79642 SPC RONNIE
IN 1PCS 5.28.25 DR#78758 SPC HACKET
IN 1PCS 5.14.25 DR#77728 SPC HACKET
4PCS 12-20-24 SOUTHWAY SI#65109</t>
        </r>
      </text>
    </comment>
    <comment ref="H991" authorId="0" shapeId="0" xr:uid="{D55570D8-E527-874C-89A8-BE4092BFD7A0}">
      <text>
        <r>
          <rPr>
            <sz val="10"/>
            <rFont val="SimSun"/>
            <charset val="134"/>
          </rPr>
          <t>OUT 11-23-2025 TO LIPA A DR#80027 1PC
11-5-25
4 PCS 52022 MARLO
10-7-25
2 PCS 51224 MARIBEL 
9-30-25
1 PC 50992 AMIR
5-10-25
2 PCS 45828 HANNA</t>
        </r>
      </text>
    </comment>
    <comment ref="G992" authorId="0" shapeId="0" xr:uid="{5BB4AFD4-E222-DC49-8C1F-51D83C9D563F}">
      <text>
        <r>
          <rPr>
            <sz val="10"/>
            <rFont val="SimSun"/>
            <charset val="134"/>
          </rPr>
          <t>IN 4PCS 01.15.26 DR80475 BIÑAN YONG
IN 4PCS 10.30.25 DR#79698 SPC BRY
IN 7PCS 9.30.25 DR#79623 SPC RONIE
IN 26PCS 7.5.25 DR#0047051 SOUTHWAY
IN 2PCS 6.9.25 DR#65930 SOUTHWAY
IN 2PCS 6.4.25 DR#78772 SPC HACKET
IN 1PCS 5.26.25 DR#78753 SOC BRIAN
IN 2PCS 5.10.25 DR#77721 SPC HACKET
IN 4PCS 4.15.25 DR#65683 SOUTHWAY 
IN 6PCS 4.4.25 DR#77390 SPC HACKET
IN 2PCS 3.21.25 DR#77503 LIPA A
IN 4PCS 3.19.25 DR#77501 LIPA A HACKET
IN 4PCS 2.14.25 DR#77026 SPC
IN 4PCS 2.10.25 DR#77351 SPC KUYA EMMAN
----------------------------------------------
12PCS 12-20-24 SOUTHWAY SI#65109
4PCS 12-06-24 SI#64973 SOUTHWAY
IN 4PCS 11/30/24 DR#75729 SPC KUYA HACKET
IN 4PCS 11/27/24 DR#76132 LIPA A
4PCS 11/11/24 DR#75703-04 SPC KUYA HACKET &amp; ROI
IN 1PC 10-22-24 DR#76671 SPC KUYA HACKET
IN 1PC 10-21-24 DR#76106 LIPA A
IN 4PCS 10/13/24 DR#76646-48 SPC KUYA HACKET
IN 4PCS 09/25/24 DR#76005 SPC KUYA HACKET
IN 4PCS 09/21/24 DR#76538 SPC KUYA HACKET
IN 4PCS 09/16/24 SI#64613 SOUTHWAY
IN 8PCS 8-30-24 SI#64602 SOUTHWAY
IN 8PCS 07/18/24 DR# SPC KUYA HACKET
IN 4PCS 07/16/24 DR#75237 SPC KUYA HACKET
IN 4PCS 07/13/24 DR#75057 lipa a
IN 8PCS 06/28/24 SI#64212 SOUTHWAY
IN 2PCS 05/25/24 DR#73483 LIPA A
IN 4PCS 05/06/24 DR# SPC MASTER
8PCS 2-16-24 SI#63414 SOUTHWAY
4pcs 1-25-24 dr#73340 LIPAA
2PCS 12-19-23 SI#62885 SOUTHWAY
18PCS 12-13-23 SI#62850 SOUTHWAY
4PCS 11-28-23 SI#62782 SOUTHWAY
4pcs 11-17-23 DR#74414 SPC
4pcs 11-1-23 dr#72685 lipa a
2PCS 10-24-23 DR#72681 LIPA A
2PC 10-12-23 SI#62401 SOUTHWAY
4PCS 9-8-23 DR#39211 SOUTHWAY
8PCS 6-9-23 SI#61577 SOUTHWAY</t>
        </r>
      </text>
    </comment>
    <comment ref="H992" authorId="0" shapeId="0" xr:uid="{30CF1BDF-58BE-E445-B6F9-5E4075FDCDD1}">
      <text>
        <r>
          <rPr>
            <sz val="10"/>
            <rFont val="SimSun"/>
            <charset val="134"/>
          </rPr>
          <t>OUT 1PCS 01.18.26 DR80205 SPC
01.15.26
54242 4PCS MARLO
OUT 2PCS 01.02.26 DR80083 LIPA A
OUT 2PCS 12.24.25 DR#80075 SPC LALAMOVE
12-20-25
2 PCS 53466 JARVIS
11-13-25
1 PC 52220 MARIBEL
OUT 2PCS 11.13.25 DR#80012 LIPA A
11-7-25
1 PC 52094 ALY
10-16-25
4 PCS 51416 ROSE
9-26-25
4 PCS 50923 MARLO
8-28-25
1 PC 50027 MARIBEL
8-1-25
1 pc 49218 ALY
7-16-25
4 PCS 48795 JARVIS
OUT 8PCS 7.10.25 DR#78359 SPC RONNIE
OUT 4PCS 7.9.25 DR#78354 SPC BRY
OUT 4PCS 7.7.25 DR#78347 LIPA A BRY
6-23-25
4 PCS 47942 JARVIS
OUT 2PCS 6.18.25 DR#78324 SPC HACKET
5-28-25
2 PCS 46934 MARLO 
OUT 2PCS 5.15.25 DR#77955 LIPA A
5-8-25
2 PCS 46142 ALY
OUT 2PCS 4.12.25 DR#77581 LIPA A
OUT 4PCS 4.9.25 DR#77569 LIPA A
4 PCS OUT 3-21-25 JO44294 DALIA
2 PCS OUT 3-19-25 JO44144 JARVIS
3.8.25 4PCS DR#77142 BIÑAN HACKET
4 PCS OUT 2-22-25 JO43258 MARIBEL
1-31-25
42330 4PCS SALES JARVIS
OUT 1PC 1-13-25 DR#76909 LIPA A
2PC OUT 1/4/25 JO41373 JARVIS
3PC OUT 1/4/25 JO41358 DALIA
4PC OUT 12/16/24 JO 40743 ALY
OUT 4PCS 12-06-24 DR#75494 LIPA A
11/26/24
40050 4pcs sales aly
OUT 4PCS 11/22/24 JO39991 JARVIS
OUT 1PC 11/6/2024
JO39345 SALES ALY
10/21/2024	38545 4PCS SALES
10/18/2024	38606 4PCS SALE
10/10/24
38371 4PCS SALES BEL
09/23/24
37891 4PCS SALES BEL
09/22/24
37861 4PCS SALES BEL
09/19/24
37723 4PCS SALES DAHLIA
08/31/24
37240 4PCS SALES BEL
08/16/24
36790 4PCS SALES BEL
8-1-24
36453 4PCS DAHLIA
07/19/24
36087 4PCS SALES JARVIS
07/13/24
35936 4PCS SALES BEL
35973 4PCS SALES BEL
OUT 4PCS 07/09/24 DR#75134 SPC SERVICE
OUT 05/25/24 34601 2PCS SALES MARLO
OUT 4PCS 05/16/24 DR#75069 LIPA A
OUT 04/27/24 33783 4PCS SALES MARLO
OUT 4PCS 03/18/24 DR#74722 SPC
OUT 03/13/24 4PCS DR#74707 LIPA A
4PCS 1-25-24 JO#31365 JARVIS
4PCS 1-24-24 JO#31361 SSALES
4PCS 1-18-24 JO#31139 JOHNLY
4PCS 12-14-23 JO#30194 BEL
4PCS 12-14-23 DR#73970 SPC
4PCS 12-14-23 DR#73969 LIPA A
4PCS 12-5-23 JO#29994 MARLO
4PCS 11-23-23 JO#29746 BEL
2PCS 10-24-23 JO#29054 MARLO
4PCS 10-19-23 DR#73929 SPC
2PCS 9-16-23 JO#28216 BEL
4pcs 8-13-23 ref#20 sta cruz
4PCS 8-1-23 DR#73895 SPC</t>
        </r>
      </text>
    </comment>
    <comment ref="G993" authorId="0" shapeId="0" xr:uid="{DA4EDA67-C539-084F-BC64-16D38773BEC9}">
      <text>
        <r>
          <rPr>
            <sz val="10"/>
            <rFont val="SimSun"/>
            <charset val="134"/>
          </rPr>
          <t>IN 8PCS 02.09.26 DR80734 SPC BRY
IN 4PCS 12.22.25 DR#79909 SPC RONNIE
IN 4PCS 10.30.25 DR#79698 SPC BRY
IN 4PC 10.11.25 DR#79658 SPC RONNIE
IN 4PCS 10.10.25 DR#78721 LIPA A
IN 2PCS 10.5.25 DR#79642 SPC RONNIE
IN 3PCS 9.30.25 DR#79623 SPC RONIE
IN 7PCS 8.30.25 DR#79061 SPC HACKET
IN 10PCS 7.5.25 DR#0047051 SOUTHWAY
IN 4PCS 5.10.25 DR#77721 SPC HACKET
IN 2PCS 3.5.25 DR#77046 SPC HOWARD
IN 4PCS 1-31-25 DR#77010 SPC
IN 6PCS 1-31-25 SI#65224 SOUTHWAY
IN 4PCS 1-25-25 DR#77004  SPC KUYA HACKET
---------------------------------------------
IN 6PCS 11/30/24 DR#75729 SPC KUYA HACKET
IN 2PCS 11/27/24 DR#76132 LIPA A
4PCS 11/11/24 DR#75703-04 SPC KUYA HACKET &amp; ROI
IN 4PCS 10/13/24 DR#76646-48 SPC KUYA HACKET
IN 1PCS 07/18/24 DR# SPC KUYA HACKET
IN 5PCS 07/13/24 SI#64258 SOUTHWAY
IN 2PCS 06/06/24 DR#75177 SPC KUYA HACKET
IN 4PCS 05/25/24 SI#64003 SOUTHWAY
IN 4PCS 05/18/24 DR#73480 LIPA A
IN 2PCS 05/08/24 DR#73476 LIPA A
IN 4PCS 03/28/24 DR#74885 SPC KUYA HACKET
IN 4PCS 2/28/24  SI# 63443 SOUTHWAY
4PCS 12-19-23 SI#62885 SOUTHWAY
2PCS 11-28-23 SI#62782 SOUTHWAY
4pcs 10-21-23 SI#62445 SOUTHWAY
4PCS 9-8-23 DR#39211 SOUTHWAY
4PCS 6-9-23 SPC</t>
        </r>
      </text>
    </comment>
    <comment ref="H993" authorId="0" shapeId="0" xr:uid="{E005BA24-C04C-E44A-BC7F-8BF2158D3B66}">
      <text>
        <r>
          <rPr>
            <sz val="10"/>
            <rFont val="SimSun"/>
            <charset val="134"/>
          </rPr>
          <t>OUT 1PCS 03.03.26 DR80885 SPC HACKET
02.04.26
54837 4PCS JARVIS
12-13-25
4 PCS 53030 JUN B
11-22-25
4 PCS 52460 MARLO
10-10-25
4 PCS 51290 JARVIS
10-9-25
4 PCS 51247 MARLO
10-5-25
4 PCS 51149 MARLO
9-29-25
2 PCS 50716 HANNA
9-22-25
2 PCS 50789 JARVIS
9-6-25
1 PC 50304 JARVIS
8-16-25
2 PCS 49714 JARVIS
OUT 2PCS 8.13.25 DR#78406 SAN VICENTE
OUT 5PCS 7.10.25 DR#78359 SPC RONNIE
6-26-25
4 PCS 48007 MARIBEL
4-1-25
4 PCS OUT JO44430 JARVIS
1 PC OUT 2-26-25 JO43379 ALY
4 PCS OUT 2-22-25 JO43245 ALY
OUT 1PCS 2.16.25 DR#77101 BIÑAN KUYA RONNIE
OUT 4PCS 2.3.25 DR#76961 LIPA A
4PC OUT 1/31/25 JO42265 DALIA
OUT 2PCS 1-25-25 DR#76942 LIPA A
OUT 2PCS 1-22-25 DR#76932 SPC HACKET
----------------------------------------------
12-27-24
41100 2PCS SALES DAHLIA
OUT 12-18-2024
40789 2PCS SALES DAHLIA
OUT 2PCS 12/3/24 JO40298 DALIA
11/16/2024	39876 2PCS SALES
OUT 4PCS 11/15/2024 JO39862 DALIA
OUT 4 PCS 10/30/24
JO38942 MARLO
08/11/24
36713 4PCS SALES BEL
OUT 07/11/24 35911 1PC SALES JARVIS
OUT 07/06/24 35749 4PCS SALES BEL
OUT 07/02/24 35615 1PCS SALES JARVIS
OUT 4PCS 05/30/24 DR#75089 SPC KUYA HACKET
OUT 05/16/24 34352 2PCS SALES  LEN
OUT 04/30/24 33910 2PCS SALES BEL
OUT 03/23/24 32916 4PCS SALES JARVIS
4PCS 2-15-24 31944 SALES
4pcs 2-8-24 31734 SALES
2PCS 11-23-23 JO#29752 MARLO
4PCS 10-7-23 JO#28665 JARVIS
4PCS 7-29-23 JO#27068 BEL</t>
        </r>
      </text>
    </comment>
    <comment ref="G994" authorId="0" shapeId="0" xr:uid="{3F1271C7-A7DC-D74F-975D-E729C321BB68}">
      <text>
        <r>
          <rPr>
            <sz val="10"/>
            <rFont val="SimSun"/>
            <charset val="134"/>
          </rPr>
          <t>IN 4PCS 03.03.26 DR80785 SPC HACKET
IN 1PC 01.22.26 DR80174 LIPA A
IN 3PCS 01.12.26 DR79961 SPC HACKET
IN 3PCS 01.07.26 DR80161 LIPA A
IN 4PCS 01.03.26 DR79941 SPC HACKET
IN 4PCS 12.22.25 DR#79909 SPC RONNIE
IN 4PCS 12.11.25 DR#78686 LIPA A
IN 4PCS 10.31.25 DR#79853-54  HACKET
IN 6PCS 9.30.25 DR#79623 SPC RONIE
IN 4PCS 6.9.25 DR#79081 SPC ALWIN
IN 4PCS 7.19.25 DR#0047233 SOUTHWAY
IN 26PCS 7.5.25 DR#0047051 SOUTHWAY
IN 3PCS 4.4.25 SI#65652 SOUTHWAY
IN 4PCS 3.29.25 DR#77375 SPC HACKET 
6pcs 11-12-24 SI#64925 SOUTHWAY
IN 19PCS 10/26/24 SI#64736 SOUTHWAY
IN 4PCS 06/11/24 DR#75326 SPC KUYA MIKE 
2PCS 2-17-24 SI#63298 SOUTHWAY
4PC 10-12-23 SI#62401 SOUTHWAY
4PCS 8-12-23 SPC
4PCS 6-9-23 SI#61575 SOUTHWAY
2pc 5-20-23 stf#8138 spc</t>
        </r>
      </text>
    </comment>
    <comment ref="H994" authorId="0" shapeId="0" xr:uid="{D167FFBC-1505-DC4C-B3C0-69FC14FE1F56}">
      <text>
        <r>
          <rPr>
            <sz val="10"/>
            <rFont val="SimSun"/>
            <charset val="134"/>
          </rPr>
          <t>OUT 1PC 01.28.26 DR80226 SPC SERVICE
1-22-26
4 PCS 54420 MARIBEL
1-7-26
4PCS 53919 ALY
1-5-26
2PCS OUT 53874 JARVIS
12.27.25
53664 4PCS BEL
12-11-25
4 PCS 53125 MARIBEL
OUT 4PCS 11.4.25 DR#79798 SPC ROI
10-28-25
4 pcs 51822 maribel
OUT 4PCS 10.27.25 DR#79785 SPC
9-20-25
2 PCS 50757 MJEN
9-4-25
4 PCS 50261 JARVIS
OUT 4PCS 7.19.25 DR#78371 SPC EMMAN
7-18-25
4 PCS 48865 MARIBEL
OUT 8PCS 7.10.25 DR#78359 SPC RONNIE
OUT 4PCS 7.7.25 DR#78347 LIPA A BRY
OUT 4PCS 7.7.25 DR#78346 SPC BRY
OUT 2PCS 6.18.25 DR#78329 LIPA A
6.14.25
47504 1PC ALY
OUT 1PC 5.5.25 DR#77638 SPC EMMAN
4-12-25
1PC OUT JO45138 DALIA
4PCS OUT 318-25 JO44261 MARLO
OUT 6PCS 11/28/24 DR#75477 SPC KUYA ALWIN
OUT 4PCS 10/28/24 DR#75444 LIPA A BRIAN
OUT 11PCS 10/28/24 DR#75442 SPC BRIAN
07/16/24
36055 2PCS SALES BEL
OUT 2PCS 06/22/24 DR#75115 LIPA A
OUT 4PCS 04/14/24 DR#74772 SPC
2PCS 1-30-24 JO#31440 JOHNLY
4PCS 8-17-23 JO#27558 JJARVIS
4PCS 7-4-23 STGF#2534 LIPA A
2PCS 5-28-23 JO#25636 BELK</t>
        </r>
      </text>
    </comment>
    <comment ref="G995" authorId="0" shapeId="0" xr:uid="{A26704FF-AF46-2E4C-BDEB-74D5A06568DA}">
      <text>
        <r>
          <rPr>
            <sz val="10"/>
            <rFont val="SimSun"/>
            <charset val="134"/>
          </rPr>
          <t>IN 4PCS 03.03.26 DR80785 SPC HACKET
IN 4PCS 02.10.26 DR80737 SPC ALWIN
IN 1PC 02.06.26 DR80191 LIPA A
IN 4PCS 12.29.25 DR#79921-22 SPC HACKET
IN 4PCS 12.22.25 DR#79909 SPC RONNIE
IN 1PC 12.16.25 DR#78691 LIPA A
IN 30PCS 11.15.25 DR#0049047 SOUTHWAY
IN 2PCS 8.7.25 DR#78840 SPC YONG
IN 4PCS 8.2.25 DR#78585 LIPA A
IN 4PCS 6.21.25 DR#0046829 SOUTHWAY
IN 2PCS 6.13.25 DR#78076 LIPA A
IN 2PCS 6.9.25 DR#65930 SOUTHWAY
IN 2PCS 6.7.25 DR#78067 LIPA A
IN 4PCS 4.30.25 DR#77693 SPC HACKET
IN 4PCS 3.29.25 DR#77373 SPC mike
IN 2PCS 3.15.25 DR#77096 LIPA A
IN 4PCS 3.15.25 DR#77423 SPC
IN 3.11.25 dr#77096 2pcs LIPA A
IN 2PCS 2.22.25 SI#65336 SOUTHWAY
IN 4PCS 2.11.25 DR#77352 SPC KUYA EMMAN
----------------------------------------------
6pcs 11-12-24 SI#64925 SOUTHWAY
3PCS 11/12/24 DR#75706 SPC
IN 2PCS 09/21/24 DR#76538 SPC KUYA HACKET
IN 4PCS 09/16/24 SI#64613 SOUTHWAY
IN 4PCS 09/09/24 DR#76529 SPC MASTER
IN 12PCS 08/07/24 SI#64376 SOUTHWAY
IN 2PCS 07/02/24 DR#75222 SPC
IN 2PCS 07/02/24 DR#76052 LIPA A
IN 2PCS 06/06/24 DR#73487 LIPA A
7PCS 5-2-24 SI#63777 SOUTHWAY
IN 8PCS 2/28/24  SI# 63450 SOUTHWAY
IN 2PCS 2/27/2024 DR#74840 SPC
4PS 1-17-24 SI#63048 SOUTHWAY
4PCS 1-17-24 SI#63049 SOUTHWAY
4PCS 1-17-24 SI#63050 SOUTHWAY
1PC 12-13-23 DR#73310 LIPA A
1PC 10-12-23 SI#62401 SOUTHWAY
8PCS 9-8-23 DR#39211 SOUTHWAY
1PC 7-28-23 DR#73257 LIPA A
8PCS  5-8-23 SI#61377 SOUTHWAY</t>
        </r>
      </text>
    </comment>
    <comment ref="H995" authorId="0" shapeId="0" xr:uid="{DADB4B34-FA69-AD45-8376-131F5C12AE64}">
      <text>
        <r>
          <rPr>
            <sz val="10"/>
            <rFont val="SimSun"/>
            <charset val="134"/>
          </rPr>
          <t>02.21.26
55380 4PCS JARVIS
02.06.26
54902 1PC BEL
1-4-25
4 pcs out 53848 ALY
12-27-25
4 PCS OUT 53639 MARIBEL
12.16.25
53290 1PC JARVIS
12-5-25
4 PCS 52956 MARIBEL
12.1.25
52848 4PCS BEL
OUT 4PCS 11.21.25 DR#80026 LIPA A
OUT 16PCS 11.19.25 DR#80022 SPC ROBIN
OUT 2PCS 11.18.25 DR#80020 BIÑAN
8-14-25
4 PCS 49650 JARVIS
8.2.25
49260 2PCS ROSE
7-12-25
4 PCS 48581 MARIBEL
6.13.25
47382 4PCS BEL
6-7-25
47229 4PCS JARVIS
OUT 2PCS 5.26.25 DR#77984 BINAN
OUT 4PCS 4.21.25 DR#77605 LIPA A
3.15.25
44126 2PCS JARVIS
44152 4PCS BEL
4 pcs OUT 3-11-25 JO43925 MARIBEL
2-19-25 2 PCS OUT JO43093 JARVIS
2 PCS OUT 2-13-25 JO42876 MARLO 
2-3-25
42417.1 4pcs sales javis
1-31-25
42249.1 2PCS SALES ROSE
2PC OUT 1/9/25 JO41397 ROSE
OUT 2PCS 11/27/24 JO40130 ROSE ANN
11/09/24
39377 3pcs sales dahlia
OUT 4PCS 11/01/2024
JO38956 ALY
09/10/24
37440 2PCS SALES ROSE
OUT 4PCS SALES 09/04/24 37376
MARLO
08/29/24
37149 4PCS SALES ROSE
08/21/24
36976 2PCS SALES ROSE
08/19/24
36912 2PCS SALES ROSE
OUT 07/03/24 35646 4PCS SALES  ROSE
OUT 06/06/24 34907 4PCS SALES BEL
OUT 05/28/24 344660 2PCS SALES BEL
4PCS 5/24/2024 34560 JARVISE
OUT 3PCS 03/28/24 STC KUYA HACKET
OUT 3/09/24 32574 4PCS SALES JHONLY
OUT 03/02/2024 32365 4PCS SALES BEL
OUT 2/26/24 32234 2PCS SALES
1/29/2024 31430 4PCS SALES
OUT 01-27-2024
31416 4PCS SALES
4PCS 12-23 JO#30242 MARLO
2PCS 10-31-23 STA CRUZ
4PCS 10-2-23 DR#72299 SPC
1PC 7-28-23 JO#27019 JHARVIUS
4PCS 7-26-23 JO#26989 JARVIS
4PCS 5-11-23 STF#2450 LIPA A</t>
        </r>
      </text>
    </comment>
    <comment ref="G996" authorId="0" shapeId="0" xr:uid="{D156594C-DD60-6448-B65D-0A4C98E0A013}">
      <text>
        <r>
          <rPr>
            <sz val="10"/>
            <rFont val="SimSun"/>
            <charset val="134"/>
          </rPr>
          <t>IN 4PCS 07/10/24 DR#75231 SPC KUYA HACKET
IN 4PCS 03/15/24 SI#63605 SOUTHWAY
4PCS 1-24-24 DR#74627 SPC
4PC 10-12-23 SI#62401 SOUTHWAY
4pcs 6-17-23 SPC</t>
        </r>
      </text>
    </comment>
    <comment ref="H996" authorId="0" shapeId="0" xr:uid="{2B4EC02E-5E6D-6040-B29F-22A82B1A9A65}">
      <text>
        <r>
          <rPr>
            <sz val="10"/>
            <rFont val="SimSun"/>
            <charset val="134"/>
          </rPr>
          <t xml:space="preserve">
10/09/24
38295 4PCS SALES MARLO
OUT 04/02/24 33191 4PCS SALES JHONLY
4PCS 1-27-24 DR#000002 SPC
4pcs 1-12-24 DR#73380 LIPA A
4PCS 9-19-23 JO#28278 JARVIS</t>
        </r>
      </text>
    </comment>
    <comment ref="G997" authorId="0" shapeId="0" xr:uid="{E9AEA80B-1B6A-6146-9EAD-3BFAA849F175}">
      <text>
        <r>
          <rPr>
            <sz val="10"/>
            <rFont val="SimSun"/>
            <charset val="134"/>
          </rPr>
          <t>IN 2PCS 03.03.26 DR80785 SPC HACKET
IN 4PCS 12.15.25 DR#79742 SPC HACKET
IN 4PCS 12.13.25 DR#78689 LIPA A
IN 1PC 11.8.25 DR#79867 SPC ROI
IN 7PCS 9.30.25 DR#79623 SPC RONIE
IN 4PCS 8.30.25 DR#79061 SPC HACKET
IN 4PCS 8.25.25 DR#78615 LIPA A
IN 4PCS 8.1.25 DR#78819 SPC EMMAN
IN 20PCS 7.5.25 DR#0047051 SOUTHWAY</t>
        </r>
      </text>
    </comment>
    <comment ref="H997" authorId="0" shapeId="0" xr:uid="{3857CF2A-7181-494D-979F-9238F8A56FAE}">
      <text>
        <r>
          <rPr>
            <sz val="10"/>
            <rFont val="SimSun"/>
            <charset val="134"/>
          </rPr>
          <t>02.09.26
54982 2PCS BEL
12-13-25
4 PCS 53211 MARIBEL
11.26.25
52634 4pcs bel
11-7-25
4 PCS 52065 ALY
10-29-25
1 PC 51864 ALY
10-1-25
4 PCS 51044 JARVIS
9.18.25
50653 1PC ALY
9-7-25
2 PCS 50326 ALY
8-25-25
4 PCS  49977 MARIBEL
8.7.25
49439 4PCS BEL
7-16-25
4PCS 48777 ALY
OUT 12PCS 7.10.25 DR#78359 SPC RONNIE
OUT 4PCS 7.7.25 DR#78347 LIPA A BRY</t>
        </r>
      </text>
    </comment>
    <comment ref="G998" authorId="0" shapeId="0" xr:uid="{8F470C6E-83D9-874C-9C52-81E0D355D3E1}">
      <text>
        <r>
          <rPr>
            <sz val="10"/>
            <rFont val="SimSun"/>
            <charset val="134"/>
          </rPr>
          <t>IN 4PCS 9.30.25 DR#79623 SPC RONIE
IN 4PCS 8.30.25 DR#79061 SPC HACKET
IN 4PCS 7.10.25 DR#78857 SPC RONNIE
IN 2PCS 09/09/24 DR#76529 SPC MASTER
IN 2PCS 08/15/24 SI#64396 SOUTHWAY
IN 4PCS 3/26/24  SI# 63624 SOUTHWAY
4pcs 11-10-23 SI#62533 SOUTHWAY
4PCS 6-9-23 SI#61575 SOUTHWAY
4PCS 6-9-23 SPC</t>
        </r>
      </text>
    </comment>
    <comment ref="H998" authorId="0" shapeId="0" xr:uid="{6CAF9855-1F7B-BE46-8F01-8C73CD27AAD4}">
      <text>
        <r>
          <rPr>
            <sz val="10"/>
            <rFont val="SimSun"/>
            <charset val="134"/>
          </rPr>
          <t>OUT 2PCS 12.7.25 DR#80054 STC LALAMOVE
OUT 2PCS 12.5.25 DR#80052 STC LALAMOVE
OUT 4PCS 9.24.25 DR#79276 SPC HACKET
8-18-25
4 PCS 49758 MARIBEL
4PCS OUT 12/23/24 JO41007 JARVIS
OUT 2PCS 07/01/24 DR#75125 LIPA A
OUT 2/26/24 32236 4PCS SALES
4PCS 12-14-23 DR#73971 SPC
2PCS 10-19-23  STA CRUZ
2PCS 10-18-23 STA CRUZ
4PCS 6-12-23 STF#2501 LIPA A</t>
        </r>
      </text>
    </comment>
    <comment ref="G999" authorId="0" shapeId="0" xr:uid="{1455D46A-9279-FC48-995E-CBCFCA7AC0B1}">
      <text>
        <r>
          <rPr>
            <sz val="10"/>
            <rFont val="SimSun"/>
            <charset val="134"/>
          </rPr>
          <t>IN 4PCS 03.03.26 DR80785 SPC HACKET
IN 1PC 03.02.26 DR80781 SPC MADAM
IN 4PCS 02.18.26 DR80762 SPC HACKET
IN 4PCS 01.22.26 DR80174 LIPA A
IN 1PCS 01.09.26 DR79951-53 SPC HACKET
IN 2PCS 01.06.26 DR80160 LIPA A
IN 2PCS 12.22.25 DR#79909 SPC RONNIE
IN 4PCS 12.15.25 DR#79742 SPC HACKET
IN 12PCS 9.13.25 DR#79095 SPC RONNIE
IN 10PCS 9.3.25 DR#79071 SPC KUYA RONNIE
IN 1PC 8.29.25 DR#79056 SPC HACKET
IN 9PCS 7.25.25 DR#78891 SPC HACKET
IN 4PCS 7.19.25 DR#78882 SPC EMMAN
IN 4PCS 7.17.25 DR#78871 SPC HACKET
IN 20PCS 7.5.25 DR#0047051 SOUTHWAY
IN 4PCS 6.24.25 DR#77765 SPC HACKET
IN 8PCS 6.9.25 DR#65930 SOUTHWAY
IN 1PCS 6.1.25 DR#78062 LIPA A
IN 7PCS 5.26.25 DR#78753 SOC BRIAN
IN 2PCS 5.14.25 DR#77728 SPC HACKET
IN 2PCS 5-2-25 DR#77699 SPC HACKET
IN 1PC 4.29.25 DR#77690 SPC LALAMOVE
IN 16+1 4.14.25  SI#65640 SOUTHWAY
IN 4PCS 4.7.25 DR#77394 SPC MEET UP
IN 2PCS 3.14.25 DR#77416 SPC HACKET
IN 2PC 3.12.25 DR#77411 SPC HACKET
IN 4PCS 3.5.25 SI#65423 SOUTHWAY
IN 8PCS 1-16-25 DR#76888 SPC KUYA MIKE
IN 2PCS 1-14-25 DR#76172 LIPA A
IN 2PCS 1-14-25 DR#76885 SPC KUYA MIKE
IN 2PCS 1-13-25 DR#76884 SPC KUYA MIKE
IN 4PCS 1-12-25 DR#76170 LIPA 
A
---------------------------------------------
10PCS 12-20-24 SOUTHWAY SI#65110
14PCS 12-17-24 SI#64996 SOUTHWAY
IN 2PCS 12-14-24 DR#76852 SPC KUYA ALWIN
IN 3PCS 11/30/24 DR#75729 SPC KUYA HACKET
IN 1PCS 11/22/24 REPLACEMENT 
ISS#: 05985 SOUTHWAY
IN 6PCS 11-18-24 DR#75710 SPC KUYA EMMAN
4PCS 11/11/24 DR#75703-04 SPC KUYA HACKET &amp; ROI
IN 8PCS 8-2-24 SI#64323 SOUTHWAY
IN 1PC 06/29/24 DR# SPC KUYA HACKET 
IN 7PCS 06/15/24 SI#64082 SOUTHWAY
IN 1PCS 06/08/24 DR#75179 SPC KUYA MIKE
IN 4PCS 05/25/24 SI#64003 SOUTHWAY
8PCS 5/11/2024 SI#63874 SOUTHWAY
IN 4PCS SALES 2/29/24 DR#74842 SPC
IN 8PCS 2/26/24 DR# 74838 SPC
4PCS 1-2-23 DR#74546 SPC
4PCS 12-19-23 SI#62885 SOUTHWAY
12PCS 12-13-23 SI#62852 SOUTHWAY
3PCS 12-10-23 DR# SPC
1PC 12-5-23 SI#62803 SOUTHWAY
1PC 12-5-23 DR#73304 LIPA A
2PCS 11-28-23 SI#62782 SOUTHWAY
8pcs 11-10-23 SI#62533 SOUTHWAY
7PC 10-12-23 SI#62401 SOUTHWAY
6PCS 9-8-23 DR#39211 SOUTHWAY
8PCS  5-8-23 SI#61377 SOUTHWAY</t>
        </r>
      </text>
    </comment>
    <comment ref="H999" authorId="0" shapeId="0" xr:uid="{FA7F24B5-0C37-234E-836A-68BD20EB9333}">
      <text>
        <r>
          <rPr>
            <sz val="10"/>
            <rFont val="SimSun"/>
            <charset val="134"/>
          </rPr>
          <t>02.23.24
55421 4PCS BEL
02.09.26
54898 4PCS ROSE
OUT 4PCS 01.22.26 SPC KUYA BOYONG
1-6-26
4PCS 53886 MARIBEL
12.18.25
53368 1PC JARVIS
53358 4PCS BEL
12-5-25
4 PCS 52946 JARVIS
11-15-25
4 PCS 52340 ALY
10-28-25
2 PCS 51813 MARLO
10-23-25
4 PCS 51683 MARLO
9.18.25
50682 4PCS BEL
9.1.25
50119 2PCS BEL
8-26-25
4 PCS 49949 ALY
OUT 4PCS 8.14.25 DR#78408 LIPA A HACKET
8-11-25
2 PCS 49575 MARIBEL
OUT 3PCS 7.25.25 DR#78377 LIPA A HACKET
OUT 1PC 7.21.25 DR#78372 LIPA A BRY
7-18-25
4 PCS 48866 MARIBEL
7.7.25
48414 4PCS BEL
OUT 4PCS 7.7.25 DR#78347 LIPA A BRY
OUT 8PCS 7.7.25 DR#78346 SPC BRY
7.5.25
48426 2PCS JARVIS
7-3-25
4 PCS 48355 JARVIS
6-23-25
4 PCS 47934 MARIBEL
6-10-25
2 PCS 47278 JARVIS
6-1-25
4 PCS 47028 JARVIS
5-30-25
4 PCS MARIBEL 46953 
5-19-25
4 PCS 46470 MARLO 
5-12-25
2 PCS 46278 MARIBEL
4-29-25
2 PCS 45883 JARVIS
4.26.25
45765 JARVIS
4-21-25
4 PC 45473 MARIBEL
OUT 4PCS 4.16.25 DR#77602 LIPA A
OUT 4PCS 4.15.25 DR#77589 SPC DANCRIS
OUT 2PCS 4.12.25 DR#77579 LIPA A
4-7-25
2 PCS OUT JO44928 MARIBEL 
4-3-25
4 PCS OUT JO44800 MARIBEL
2 PCS OUT 3-12-25 JO43958 MARIBEL
4 PCS OUT 3-11-25 JO43929 MARIBEL
OUT 2PCS 3.11.25 DR#77148 LIPA A
4 PCS OUT 2-22-25 JO43066 MARIBEL
2PC OUT 1/14/25 JO41668 DALIA
4PC OUT 1/14/25 JO41748 JARVIS
2PC OUT 1/13/25 JO41663 DALIA
4PC OUT 1/12/25 JO41683 ALY
4PC OUT 1/10/25 JO41609 JARVIS
4PC OUT 1/9/25 JO41575 ALY
01-07-25
41505 4PCS SALES JARVIS
4PC OUT 1/3/258 JO41337 ALY
----------------------------------------------
12-31-24
41284 4pcs sales jarvis
12-29-24
41199 4PCS SALES DHALIA
4PC 12/16/24 JO4717 MARIBEL 
12-12-24
40596 4PCS SALES MARLO
4PCS OUT 12/11/24 JO40574 MARIBEL 
2PCS OUT 12/6/24 JO40434 JARVIS
OUT 2PCS SALES 11/11/2024
JO39560 DALIA
10/04/24
38193 4PCS SALES BEL
09/29/24
38048 2PCS SALES ALY
09/10/24
37516 2PCS SALES DAHLIA
07/30/24
36383 4PCS  JARVIS
7/16/24
36043 4PC SALES JARVIS
OUT 06/07/24 34913 4PCS SALES  MAM JEN
OUT 3PCS 06/03/24 DR#75096 LIPA A
OUT 05/25/24 34598 2PCS SALES
OUT 05/18/24 34367 4PCS SALES  BOSS JUN
OUT 8PCS 05/16/24 REF# STC
OUT 01-21-2024
31256 4PCS SALES MARIBEL
4PCS 12-30-23 JO#30630 MARLO
OUT 12-20-2023
30413 2PCS SALES JARVIS
2PCS 12-15-23 JO#30276 JARVIS
8PCS 12-14-23 DR#73970 SPC
4PCS 12-14-23 DR#73969 LIPA A
4PCS 12-5-23 JO#29992 MARLO
4pcs 11-29-23 JO#29840 JARVIS
2pcs 11-15-23 STA CRUZ
4PCS 10-24-23 JO#29029 BEL
4PCS 10-23-23 JO#29000 BEL
1PC  10-14-23 DR#73921 LIPA A
2pcs 9-26-23 JO#28433 JARVIS
4PCS 9-21-23 JO#28331 BEL
2PCS 8-11-23 DR#72214 LIPA A
4PCS 5-11-23 STF#2450 LIPA A</t>
        </r>
      </text>
    </comment>
    <comment ref="G1000" authorId="0" shapeId="0" xr:uid="{11042345-F3CE-0043-95A9-1EB6650EB0B5}">
      <text>
        <r>
          <rPr>
            <sz val="10"/>
            <rFont val="SimSun"/>
            <charset val="134"/>
          </rPr>
          <t>8PCS 12-13-23 SI#62852 SOUTHWAY
4PC 10-12-23 SI#62401 SOUTHWAY
4PCS 7-21-23 S=DR#74029 SPC</t>
        </r>
      </text>
    </comment>
    <comment ref="H1000" authorId="0" shapeId="0" xr:uid="{8EA0B3E0-BDF0-F940-A014-209EF4EFEB88}">
      <text>
        <r>
          <rPr>
            <sz val="10"/>
            <rFont val="SimSun"/>
            <charset val="134"/>
          </rPr>
          <t>OUT 2PCS 4.8.25 DR#77567 SPC ADWIN
2PCS 12-15-23 JO#30276 JARVIS
8PCS 12-14-23 DR#73970 SPC
4PCS 10-14-23 DR#73921 LIPA A</t>
        </r>
      </text>
    </comment>
    <comment ref="G1001" authorId="0" shapeId="0" xr:uid="{0AC98E64-8E26-9049-A30C-9F4DB4F267A9}">
      <text>
        <r>
          <rPr>
            <sz val="10"/>
            <rFont val="SimSun"/>
            <charset val="134"/>
          </rPr>
          <t>IN 4PCS 7.9.25 DR#78856 SPC BRY
IN 1PC 4.10.25 DR#77655 SPC
IN 2PCS 4.10.25 DR#77528 LIPA A
IN 4PCS 1-31-25 SI#65224 SOUTHWAY
IN 2PCS 1-16-25 DR#76173 LIPA A
----------------------------------------------
IN 2PCS 11/22/24 SI#64875 SOUTHWAY
IN 2PCS 11-18-24 DR#75710 SPC KUYA EMMAN
IN 6PCS 09/28/24 SI#64680 SOUTHWAY
IN 6PCS 06/15/24 SI#64082 SOUTHWAY
IN 3PCS 04/17/24 DR# SPC KUYA HACKET</t>
        </r>
      </text>
    </comment>
    <comment ref="H1001" authorId="0" shapeId="0" xr:uid="{AE899A2C-BDAC-6A41-94A4-1DF50C9DCF40}">
      <text>
        <r>
          <rPr>
            <sz val="10"/>
            <rFont val="SimSun"/>
            <charset val="134"/>
          </rPr>
          <t>OUT 4PCS 9.9.25 DR#79252 SPC HACKET
4-10-25
3 PCS OUT JO45177 MARIBEL
3.30.25
44590 4PCS DAHLIA
3-28-25 
2 PCS OUT JO42730 HANNA
2 PC OUT 2/5/25 JO42499 MARIBEL 
2PC OUT 1/16/25 JO41807 MARLO 
12-27-24
41145 2PCS SALES JARVIS
OUT 4PCS 11/13/2024
JO39638 DALIA
OUT 4PCS 10/01/24 DR#75426 SPC KUYA HACKET
08/25/24
37102 2PCS SALES BEL
08/15/24
36769 2PCS SALES JARVIS
OUT 2PCS 06/06/24 DR#75101 LIPA A
OUT 04/24/24 33707 2PCS SALES MARLO
OUT 04/22/24 33610 2PCS SALES MARLO
OUT 03/27/24 33045 3PCS SALES</t>
        </r>
      </text>
    </comment>
    <comment ref="G1002" authorId="0" shapeId="0" xr:uid="{ECEB2CF3-DAEF-F248-A4C3-8EBDD62510C5}">
      <text>
        <r>
          <rPr>
            <sz val="10"/>
            <rFont val="SimSun"/>
            <charset val="134"/>
          </rPr>
          <t>IN 2PCS 03/06/24 SI#63448 SOUTHWAY
4PCS 2-16-24 SI#63414 SOUTHWAY
2PCS 2-3-24 SI#63195 SOUTHWAY
4pcs 10-21-23 SI#62445 SOUTHWAY
4PCS 7/7/2023 DR# 38700 SOUTHWAY</t>
        </r>
      </text>
    </comment>
    <comment ref="H1002" authorId="0" shapeId="0" xr:uid="{26977862-D46C-0740-AA23-0A265238818D}">
      <text>
        <r>
          <rPr>
            <sz val="10"/>
            <rFont val="SimSun"/>
            <charset val="134"/>
          </rPr>
          <t>OUT 2PCS 05/24/24 DR#75085 SPC KUYA HACKET
out 2pcs 03/23/24 dr#74737 lipa a
OUT 2PCS 2/26/24 DR# 74689-90 SPC PICK UP MASTER
2PCS 1-12-24 DR#73382 SPC
2PCS 9-20-23 Jo#28339 BEL 
2PCS 9-9-23 JO#27990 MARLO</t>
        </r>
      </text>
    </comment>
    <comment ref="G1003" authorId="0" shapeId="0" xr:uid="{BA35BA14-64B3-8348-81AE-2675F9D6E968}">
      <text>
        <r>
          <rPr>
            <sz val="10"/>
            <rFont val="SimSun"/>
            <charset val="134"/>
          </rPr>
          <t>IN 2PCS 01.23.26 DR#80715 LIPA A
IN 4PCS 12.15.25 DR#79742 SPC HACKET
IN 4PCS 11.25.25 DR#79899 SPC HACKET
IN 2PCS 11.16.25 DR#78664 LIPA A
IN 6PCS 9.30.25 DR#79623 SPC RONIE
IN 2PCS 9.26.25 DR#79615 SPC HACKET
IN 2PCS 9.23.25 DR#79607 SPC
IN 8PCS 8.29.25 DR#79056 SPC HACKET
IN 1PC 8.8.2025  DR#75811 STC
IN 4PCS 6.13.25 DR#77216 BINAN HACKET
IN 2PCS 5.27.25 DR#78755 SPC MIKE
IN 4PCS 5.10.25 DR#77721 SPC HACKET
IN 2PCS 5.5.25 DR#78026 LIPA A ROI
IN 2PCS 4.24.25 DR#776979 SPC HACKET
IN 4PCS 3.29.25 DR#77373 SPC mike
IN 4PCS 3.17.25 DR#77427 SPC MIKE
IN 4PCS 2.8.25 DR#77025 SPC
IN 2PCS 1-6-25 DR#76873 SPC
IN 1PC 12-27-24 DR#76157 LIPA A
IN 2PC 12-26-24 DR#76156 LIPA A
IN 4PCS DR#75725 SPC KUYA MIKE
IN 12PCS 10/26/24 SI#64736 SOUTHWAY
IN 20PCS 09/28/24 SI#64680 SOUTHWAY
IN 4PCS 09/16/24 SI#64613 SOUTHWAY
IN 2PCS 09/02/24 DR#76082 LIPA A
IN 8PCS 08/15/24 SI#64396 SOUTHWAY
IN 10PCS 08/15/24 SI#64390 SOUTHWAY (SPC)
IN 4PCS 08/15/24 SI#64391 SOUTHWAY (STC)
IN 2PCS 08/14/24 REF#75676 STC
IN 2PCS 08/14/24 DR# SPC
IN 2PCS 08/08/24 DR#76510 SPC 
IN 4PCS 07/27/24 DR#76066 LIPA A
IN 8PCS 07/06/24 SI#64194 SOUTHWAY
IN 2PCS 06/22/24 DR#75191 SPC KUYA ADWIN
IN 4PCS 05/25/24 SI#64003 SOUTHWAY
3PC 5-17-24 SI#63892  SOUTHWAY
IN 4PCS 2/28/24  SI# 63443 SOUTHWAY
4pcs 2-16-24 si#63416 southway
2PCS 1-17-24 SI#63049 SOUTHWAY
2PCS  12-5-23 SI#62803 SOUTHWAY
2pcs 10-21-23 SI#62445 SOUTHWAY
2PCS 9-8-23 DR#39211 SOUTHWAY
4PCS 6-29-23 SI#61779 SOUTHWAY
2PCS 6-30-23 SPC
4PCS 6-26-23 SPC</t>
        </r>
      </text>
    </comment>
    <comment ref="H1003" authorId="0" shapeId="0" xr:uid="{7DF3BB9E-40C0-BF4C-9948-B50EF5BEE007}">
      <text>
        <r>
          <rPr>
            <sz val="10"/>
            <rFont val="SimSun"/>
            <charset val="134"/>
          </rPr>
          <t xml:space="preserve">01.23.26
54473 4PCS MARLO
01.07.26
53890 2PCS BEL
12-12-25
4 PCS 53174 MARLO
11.16.25
52392 4PCS JARVIS
11-14-25
1 PC 52286 MARIBEL
11-14-25
4 PCS 52298 JARVIS
11.3.25
4 PCS 51966 JARVIS
10-21-25
1 PC 51618 MARLO 
9-15-25
4 PCS 50596 MARIBEL
9-13-25
2 PCS 50524 MARIBEL
8.8.25
49471 2PCS ALY
OUT 4PCS 7.4.25 DR#78345 SPC SERVICE &amp; KUYA MIKE
5-27-25
1 PC 46846 ALY
5-12-25
4 PCS 46276 MARIBEL
5-5-25
4 PCS 46084 JARVIS
4-16-25
4 PCS OUT JO45347 ALY 
3.23.25
44354 4PCS DHALIA
2 PC OUT 2-18-25 JO43039
 JARVIS
2.9.25
42741 2pcs sales dhalia
OUT 2PCS 01-7-24 DR#75549 SPC KUYA HACKET
12-27-24
41130 1PC SALES BEL
12-26-24
41094 4PCS SALES DAHLIA 
2PC 12/16/24 JO40754 JARVIS
11/23/24
40007 4PCS SALES BEL
OUT 11PCS 10/28/24 DR#75442 SPC BRIAN
10/18/2024	38622 4PCS SALES
10/07/24
38262 1PC SALES BEL
OUT 16PCS 10/01/24 DR#75426 SPC KUYA HACKET
08/31/24
37270 4PCS SALES BEL
37292 4PCS SALES BEL
OUT 4PCS 08/27/24 REF#75682 STC KUYA HACKET
OUT 8PCS 08/27/24 DR#75387 SPC KUYA HACKET
08/15/24
36813 4PCS SALES MARLO
08/08/24
36629 2PCS SALES JARVIS
07/27/24
36296 4pcs sales bel
07/26/24
36275 4pcs sales jarvis
07/14/24
35970 4PCS SALES MARLO
OUT 06/25/24 35359 4PCS SALES LEN
OUT 06/19/24 35262 2PCS SALES JARVIS
OUT 06/06/24 34931 4PCS SALES MARLO
OUT 2PCS 04/29/24 DR#75051 SPC KUYA EMMAN
4PCS 4-8-24 33328 JARVIS
OUT 03/15/24 1PCS SALES 32657
2PCS 2-1-24 STA CRUZ 
2PCS 1-14-24 JO#31070 MARLO
2PCS 11-27-23 JO#29807 JAVIS
2PCS 11-18-23 JO#29603 JARVIS
8/10/2023 26303 2PCS SALES
6/26/2023 27413 2PCS SALES
</t>
        </r>
      </text>
    </comment>
    <comment ref="G1004" authorId="0" shapeId="0" xr:uid="{DA263718-C728-B64B-8830-43CE75AABEF8}">
      <text>
        <r>
          <rPr>
            <sz val="10"/>
            <rFont val="SimSun"/>
            <charset val="134"/>
          </rPr>
          <t>IN 3PCS 5.5.25 DR#78026 LIPA A ROI
IN 1PC 1.25.25 DR#77004  SPC KUYA HACKET
IN 2PCS 8-2-24 SI#64323 SOUTHWAY
IN 2PCS 05/25/24 SI#64003 SOUTHWAY
4PC 5-17-24 SI#63892  SOUTHWAY
4pcs 2-22-24 DR#73408 LIPA A
4PCS 11-28-23 SI#62782 SOUTHWAY
4PCS 9-8-23 DR#39211 SOUTHWAY</t>
        </r>
      </text>
    </comment>
    <comment ref="H1004" authorId="0" shapeId="0" xr:uid="{98769AEA-78BD-CB45-8445-54C4F2E38E65}">
      <text>
        <r>
          <rPr>
            <sz val="10"/>
            <rFont val="SimSun"/>
            <charset val="134"/>
          </rPr>
          <t>OUT 4PCS 5.24.25 DR#77977 LIPA A
10/21/2024	38632 2PCS SALES
OUT 4PCS 09/19/24 DR#75409-10 SPC KUYA HACKET
OUT 2/26/24 32252 4PCS SALES
4PCS 1-9-24 DR#73373 SPC
4PCS 10-31-23 DR# SPC</t>
        </r>
      </text>
    </comment>
    <comment ref="G1005" authorId="0" shapeId="0" xr:uid="{C0312F70-36E3-734D-93DA-89DB52DD00EE}">
      <text>
        <r>
          <rPr>
            <sz val="10"/>
            <rFont val="SimSun"/>
            <charset val="134"/>
          </rPr>
          <t>IN 3PCS 01.09.26 DR80470 BIÑAN ROI
IN 7PCS 9.30.25 DR#79624 SPC HACKET
IN 3PCS 8.24.25 DR#78614 LIPA A
IN 3PCS 6.14.25 DR#78792 SPC ADWIN
IN 1PCS 6.9.25 DR#65930 SOUTHWAY
IN 4PCS 4.8.25 DR#75763 STC
IN 4PCS 3.29.25 DR#77375 SPC HACKET 
IN 1PCS 3.11.25 DR#77408 SPC KUYA MIKE
IN 3PCS 3.5.25 DR#77046 SPC HOWARD
IN 1PCS 1-25-25 DR#77004  SPC KUYA HACKET
--------------------------------------------
IN 4PCS 12-14-24 DR# SPC KUYA ALWIN
IN 2PCS 10-22-24 DR#76671 SPC KUYA HACKET
IN 4PCS 10/02/24 SI#64630 SOUTHWAY
1PC WARRANTY REPLACEMENT FROM SOUTHWAY ISS#05942
IN 2PCS 09/12/24 DR#76532 SPC KUYA HACKET
IN 1PC 06/08/24 DR#75179 SPC KUYA MIKE
IN 6PCS 05/25/24 SI#64003 SOUTHWAY
IN 4PCS 04/03/24 SI#63546 SOUTHWAY
 IN 4PCS 04/03/24 SI#63548 SOUTHWAY
 IN 4PCS 04/03/24 SI#63547 SOUTHWAY
4PCS 2-16-24 SI#63416 SOUTHWAY</t>
        </r>
      </text>
    </comment>
    <comment ref="H1005" authorId="0" shapeId="0" xr:uid="{51819168-9286-B04B-ABDF-23AA8AC4661F}">
      <text>
        <r>
          <rPr>
            <sz val="10"/>
            <rFont val="SimSun"/>
            <charset val="134"/>
          </rPr>
          <t>02.07.26
54881 1PC MARLO
OUT 4PCS 01.28.26 DR80225 SPC SERVICE
12.21.25
53450 2PCS ALY
OUT 4PCS 11.7.25 DR#80006 SPC HACKET
8-24-25
3 PCS 48268 HANNA
8-23-25
1 PC 48267 HANNA
7-23-25
1 PC 48955 MARIBEL
6-25-25
1 PC 47968 MARLO
4-9-25
4 PCS OUT JO45130 JARVIS
4-8-25
4 PCS OUT JO44948 ALY
4 PCS OUT 3-11-25 JO43916 ALY
4 PC OUT 2-13-25 JO42828 ALY
12-27-24
41079 2PCS SALES ALY
out  4pcs 12/11/24 jo40564 dalia
OUT 4PCS 11/25/24 JO40038 MARLO
OUT 4PCS 10/05/24 DR#75434 SPC KUYA HACKET
1PC FOR WARRANTY
09/08/24
37468 2PCS SALES MARLO
OUT 4PCS 07/16/24 DR#75146 SPC KUYA ADWIN
OUT 06/07/24 34927 1PCS SALES  LEN
2PCS 5-11-24 DR#75063 LIPA A
4pcs 4-6-24 DR#74757 SPC
OUT 4PCS 04/02/24 DR#74752 LIPA A
OUT 2/26/24 32252 4PCS SALES
4PCS 2-16-24 MARLO</t>
        </r>
      </text>
    </comment>
    <comment ref="G1006" authorId="0" shapeId="0" xr:uid="{C81C1F30-317F-E74A-A2E3-90FE3A1755E1}">
      <text>
        <r>
          <rPr>
            <sz val="10"/>
            <rFont val="SimSun"/>
            <charset val="134"/>
          </rPr>
          <t>4pcs 10-12-23 SI#62402 SOUTHWAY</t>
        </r>
      </text>
    </comment>
    <comment ref="H1006" authorId="0" shapeId="0" xr:uid="{DFAA2A4A-8385-114A-B9B4-AA12F13BBA69}">
      <text>
        <r>
          <rPr>
            <sz val="10"/>
            <rFont val="SimSun"/>
            <charset val="134"/>
          </rPr>
          <t xml:space="preserve">
4PCS OUT 12/19/24 JO40863 JARVIS</t>
        </r>
      </text>
    </comment>
    <comment ref="G1007" authorId="0" shapeId="0" xr:uid="{050957D5-E504-EE41-81AD-24A3B1E3DF6C}">
      <text>
        <r>
          <rPr>
            <sz val="10"/>
            <rFont val="SimSun"/>
            <charset val="134"/>
          </rPr>
          <t>4PCS 11-28-23 SI#62708  SOUTHWAY</t>
        </r>
      </text>
    </comment>
    <comment ref="H1007" authorId="0" shapeId="0" xr:uid="{210BC033-8848-A141-8441-FF56531C9C40}">
      <text>
        <r>
          <rPr>
            <sz val="10"/>
            <rFont val="SimSun"/>
            <charset val="134"/>
          </rPr>
          <t>4PCS 11-30-23 DR#74299 SPC</t>
        </r>
      </text>
    </comment>
    <comment ref="G1008" authorId="0" shapeId="0" xr:uid="{53FBB67E-F374-E749-A756-BF3065EF680A}">
      <text>
        <r>
          <rPr>
            <sz val="10"/>
            <rFont val="SimSun"/>
            <charset val="134"/>
          </rPr>
          <t xml:space="preserve">IN 4PCS 9.30.25 DR#79624 SPC HACKET
IN 4PCS 8.8.25 DR#78846 SPC EMMAN
IN 4PCS 7.10.25 DR#78857 SPC RONNIE
IN 1PCS 4.15.25 DR#65683 SOUTHWAY 
IN 4PCS 4.11.25 DR#77658 SPC HACKET
</t>
        </r>
      </text>
    </comment>
    <comment ref="H1008" authorId="0" shapeId="0" xr:uid="{82FF530B-E996-2C4B-8BF3-773EC739E67D}">
      <text>
        <r>
          <rPr>
            <sz val="10"/>
            <rFont val="SimSun"/>
            <charset val="134"/>
          </rPr>
          <t>OUT 4PCS 11.25.25 DR#80031 SPC
OUT 4PCS 8.20.25 DR#78420 SPC BRY
7.29.25
49115 4PCS MARLO
OUT 1PCS 5.20.25 DR#77972 SPC ALWIN
4-25-25
2 PCS 45523 DALIA
4-12-25
4 PCS OUT JO45223 MARLO</t>
        </r>
      </text>
    </comment>
    <comment ref="G1009" authorId="0" shapeId="0" xr:uid="{7911BF3E-2CE6-3C43-BE51-78E4C7704B5A}">
      <text>
        <r>
          <rPr>
            <sz val="10"/>
            <rFont val="SimSun"/>
            <charset val="134"/>
          </rPr>
          <t>2PCS 1-27-24 SI#63096 SOUTHWAY
4PCS 12-5-23 SI#62730 SOUTHWAY</t>
        </r>
      </text>
    </comment>
    <comment ref="H1009" authorId="0" shapeId="0" xr:uid="{38A98E93-1FB4-2649-8E47-B9B7470A6715}">
      <text>
        <r>
          <rPr>
            <sz val="10"/>
            <rFont val="SimSun"/>
            <charset val="134"/>
          </rPr>
          <t>4PCS 12-7-23 dr#73958 spc</t>
        </r>
      </text>
    </comment>
    <comment ref="G1010" authorId="0" shapeId="0" xr:uid="{F45B541F-1BB2-814F-A541-53AE8063E5B8}">
      <text>
        <r>
          <rPr>
            <sz val="10"/>
            <rFont val="SimSun"/>
            <charset val="134"/>
          </rPr>
          <t xml:space="preserve">IN 4PCS 7.7.25 SI#0047082 SOUTHWAY
</t>
        </r>
      </text>
    </comment>
    <comment ref="H1010" authorId="0" shapeId="0" xr:uid="{675AB14B-37CC-9448-A3F2-694FB1F5FD92}">
      <text>
        <r>
          <rPr>
            <sz val="10"/>
            <rFont val="SimSun"/>
            <charset val="134"/>
          </rPr>
          <t xml:space="preserve">7-8-25
4 PCS 48464 JARVIS
</t>
        </r>
      </text>
    </comment>
    <comment ref="G1011" authorId="0" shapeId="0" xr:uid="{3C3C778E-3DD9-B14E-835C-C45409317DC7}">
      <text>
        <r>
          <rPr>
            <sz val="10"/>
            <rFont val="SimSun"/>
            <charset val="134"/>
          </rPr>
          <t xml:space="preserve">IN 4PCS 11.15.25 DR#0049047 SOUTHWAY
IN 4PCS 9.30.25 DR#79624 SPC HACKET
IN 2PCS 9.2.25 DR#79068 SPC HACKET
IN 4PCS 7.10.25 DR#78857 SPC RONNIE
</t>
        </r>
      </text>
    </comment>
    <comment ref="H1011" authorId="0" shapeId="0" xr:uid="{A0FC8D96-ED88-1B46-82C7-95E614B82945}">
      <text>
        <r>
          <rPr>
            <sz val="10"/>
            <rFont val="SimSun"/>
            <charset val="134"/>
          </rPr>
          <t xml:space="preserve">OUT 4PCS 01.14.26 DR80099 LIPA A
OUT 4PCS 11.19.25 DR#80022 SPC ROBIN
10-28-25
2 PCS 51815 MARLO
OUT 2PCS 10.18.25 DR#79770 SPC BRY
8-22-25
2 PCS 49874 ALY
</t>
        </r>
      </text>
    </comment>
    <comment ref="G1012" authorId="0" shapeId="0" xr:uid="{CA091ACC-919F-E645-841B-EB6D5FFCF492}">
      <text>
        <r>
          <rPr>
            <sz val="10"/>
            <rFont val="SimSun"/>
            <charset val="134"/>
          </rPr>
          <t>IN 2PCS 10/26/24 SI#64736 SOUTHWAY</t>
        </r>
      </text>
    </comment>
    <comment ref="H1012" authorId="0" shapeId="0" xr:uid="{7D3E317E-F9DC-2943-804A-975455B8F33D}">
      <text>
        <r>
          <rPr>
            <sz val="10"/>
            <rFont val="SimSun"/>
            <charset val="134"/>
          </rPr>
          <t xml:space="preserve">
OUT 2PCS 10/28/24 DR#75442 SPC BRIAN</t>
        </r>
      </text>
    </comment>
    <comment ref="G1013" authorId="0" shapeId="0" xr:uid="{9A7070E4-8B68-3F4D-8691-761C98C7B5BA}">
      <text>
        <r>
          <rPr>
            <sz val="10"/>
            <rFont val="SimSun"/>
            <charset val="134"/>
          </rPr>
          <t>IN 4PCS 9.30.25 DR#79624 SPC HACKET
IN 4PCS 7.7.25 SI#0047082 SOUTHWAY
IN 4PCS 3.16.25 DR#77245 SPC</t>
        </r>
      </text>
    </comment>
    <comment ref="H1013" authorId="0" shapeId="0" xr:uid="{FFCC4584-5245-BA41-B95C-A004A59B9E49}">
      <text>
        <r>
          <rPr>
            <sz val="10"/>
            <rFont val="SimSun"/>
            <charset val="134"/>
          </rPr>
          <t xml:space="preserve">10-1-25
4 PCS 50896 JARVIS
7-8-25
4 PCS 48464 JARVIS
3.16.25
43974 4PCS ALY
</t>
        </r>
      </text>
    </comment>
    <comment ref="G1014" authorId="0" shapeId="0" xr:uid="{9AD530EE-CF27-F94A-BA31-E6535538F312}">
      <text>
        <r>
          <rPr>
            <sz val="10"/>
            <rFont val="SimSun"/>
            <charset val="134"/>
          </rPr>
          <t>IN 3PCS 12.15.25 DR#79742 SPC HACKET
IN 2PCS 10.6.25 DR#0048427 SOUTHWAY
IN 4PCS 7.17.25 DR#78871 SPC HACKET
IN 4PCS 6.21.25 DR#77762 SPC HACKET
IN 8PCS 06/15/24 SI#64082 SOUTHWAY
IN 4PCS 04/24/24 SI#63855 SOUTHWAY
IN 4PCS 04/24/24 SI#63853 SOUTHWAY
4PCS 10-12-23 SI#64409 SOUTHWAY</t>
        </r>
      </text>
    </comment>
    <comment ref="H1014" authorId="0" shapeId="0" xr:uid="{118868CA-E899-1B47-AD3A-2C9FF7A027F7}">
      <text>
        <r>
          <rPr>
            <sz val="10"/>
            <rFont val="SimSun"/>
            <charset val="134"/>
          </rPr>
          <t>OUT 4PCS 02.18.26 DR80865-68 SPC HACKET
10-15-25
1 PC 51369 ALY
OUT 2PCS 10.3.25 DR#79287 SPC
8-18-25
2 PCS 49769 JARVIS
7-4-25
4 PCS 48362 JARVIS 
4-10-25
4 PCS OUT JO45176 MARIBEL
09/25/24
37922 2PCS SALES ALY
OUT 4PCS 08/27/24 DR#75387 SPC KUYA HACKET
OUT 05/20/24 34472 4PCS SALES JARVIS
OUT 4PCS 04/25/24 DR#74789 SPC KUYA HACKET
4PCS 12-5-23 JO#29987 NE;</t>
        </r>
      </text>
    </comment>
    <comment ref="G1015" authorId="0" shapeId="0" xr:uid="{CB9A1B87-C66E-4240-A8D2-3BF5FCF8914B}">
      <text>
        <r>
          <rPr>
            <sz val="10"/>
            <rFont val="SimSun"/>
            <charset val="134"/>
          </rPr>
          <t>IN 4PCS 03.03.26 DR80785 SPC HACKET
IN 2PCS 12.3.25 DR#79716 SPPC HACKET
IN 4PCS 11.7.25 DR#79863 SPC HACKET
IN 6PCS 7.5.25 DR#0047051 SOUTHWAY
IN 2PCS 6.25.25 DR#77770 SPC HACKET
IN 2PCS 6.9.25 DR#65930 SOUTHWAY
4pcs 11-12-24 SI#64925 SOUTHWAY
IN 1PC 8-30-24 SI#64602 SOUTHWAY
IN 8PCS 07/13/24 SI#64258 SOUTHWAY
4PCS 12-26-23 DR#74539 SPC
2PCS 12-13-23 SI#62853 SOUTHWAY
4PCS 12-13-23 SI#62852 SOUTHWAY
2pcs 11-10-23 SI#62533 SOUTHWAY
4PCS 9-8-23 DR#39211 SOUTHWAY
8PCS  5-8-23 SI#61377 SOUTHWAY</t>
        </r>
      </text>
    </comment>
    <comment ref="H1015" authorId="0" shapeId="0" xr:uid="{156491B0-A19F-1F46-B3F7-401D6323068A}">
      <text>
        <r>
          <rPr>
            <sz val="10"/>
            <rFont val="SimSun"/>
            <charset val="134"/>
          </rPr>
          <t>01.15.26
54225 4PCS ALY
11-28-25
2 PCS 52679 ALY
OUT 4PCS 10.4.25 DR#79289 LIPA A
OUT 4PCS 7.7.25 DR#78346 SPC BRY
6-26-25
4 PCS 47994 ALY
4-10-25
4 PCS OUT JO45176 MARIBEL
3.7.25 2PCS DR#77138 LIPA A
4PC OUT 1/12/25 JO41711 OFFICE
07/26/24
36305 1pc sales office
07/14/24
35967 4PCS SALES MARLO
OUT 07/05/24 35724 4PCS SALES  BEL
4PCS 1-12-24 DR#73382 SPC
6PCS 12-14-23 DR#73970 SPC
2PCS 10-20-23 JO#28937 ROSE
4PCS 10-4-23 DR#73993 SPC
2PCS 8-11-23 JO#27423 JARVIS
2PCS 5-20-23 JO#25440 JARVUS
4PCS 5-11-23 STF#2450 LIPA A</t>
        </r>
      </text>
    </comment>
    <comment ref="G1016" authorId="0" shapeId="0" xr:uid="{8716D80B-E149-6445-961B-1F292BE739F7}">
      <text>
        <r>
          <rPr>
            <sz val="10"/>
            <rFont val="SimSun"/>
            <charset val="134"/>
          </rPr>
          <t>4-3-25 
2 PCS OUT JO44831 ALY
IN 1PC 08/23/24 DR#76076 LIPA A
IN 2PCS 07/06/24 SI#64194 SOUTHWAY
IN 4PCS 05/06/24 DR# SPC MASTER
IN 4PCS 2/27/24  SI# 63417 SOUTHWAY
4pcs 2-5-24 DR#74647 SPC
8PCS 1-17-24 SI#63043 SOUTHWAY
1PC 12-30-23 DR#73321 LIPA A
4PCS 11-28-23 SI#62782 SOUTHWAY\
4PCS 10-12-23 SI#62402 SOUTHWAY
4pcs 5-22-23 STF#8141 SPC</t>
        </r>
      </text>
    </comment>
    <comment ref="H1016" authorId="0" shapeId="0" xr:uid="{F32F8137-93AB-4F44-9663-B46432092808}">
      <text>
        <r>
          <rPr>
            <sz val="10"/>
            <rFont val="SimSun"/>
            <charset val="134"/>
          </rPr>
          <t>08/23/24
37024 4PCS SALES DAHLIA
08/21/24
36987 1PC SALES MARLO
07/14/24
35979 4PCS SALES BEL
OUT 06/27/27 35474 1PCS SALES  LEN
OUT 06/17/24 35180 1PCS SALES BEL
OUT 05/01/24 33898 4PCS SALES
JHONLY
OUT 02-17-2024
JO#32000 4PCS MARIBEL SALES
OUT 2-8-24 DR#74664-65 4PCS  SPC
4PCS 12-30-23 JO#30676 JACKO
2PCS 12-29-23 DR#73990 LIPA A
4PCS 10-13-23 DR#73919 LIPA A
4PCS 10-11-23 JO#28720 MARLO</t>
        </r>
      </text>
    </comment>
    <comment ref="G1017" authorId="0" shapeId="0" xr:uid="{DF1C109F-1A10-494C-B416-5150BE5C5C28}">
      <text>
        <r>
          <rPr>
            <sz val="10"/>
            <rFont val="SimSun"/>
            <charset val="134"/>
          </rPr>
          <t>IN 31PCS 01.30.26 DR#0049899 SOUTHWAY
IN 2PCS 01.09.26 DR79951-53 SPC HACKET
IN 4PCS 12.3.25 DR78678 LIPA A
IN 3PCS 11.25.25 DR#79899 SPC HACKET
IN 8PCS 11.4.25 DR#78654 LIPA A BRY
IN 8PCS 10.5.25 DR#79642 SPC RONNIE
IN 9PCS 9.13.25 DR#79095 SPC RONNIE
IN 6PCS 9.3.25 DR#79071 SPC KUYA RONNIE
IN 4PCS 8.13.25 DR#79013 SPC HACKET
IN 4PCS 8.8.25 DR#78846 SPC EMMAN
IN 6PCS 8.1.25 DR#78819 SPC EMMAN
IN 20PCS 7.5.25 DR#0047051 SOUTHWAY
IN 4PCS 6.26.25 DR#77775-76 SPC EMMAN
IN 4PCS 6.18.25 DR#77754 SPC HACKET
IN 4PCS 6.9.25 DR#65930 SOUTHWAY
IN 1PCS 5.27.25 DR#78756 SPC ROI
IN 4PCS 5.26.25 DR#78753 SOC BRIAN
IN 3PCS S 5.24.25 DR#77750 SPC MIKE
IN 3PC S 5.24.25 ST002521 BINAN ROI
IN 2PCS 5.17.25 DR#77735 SPC
IN 1PCS 5.16.25 DR#77734 SPC ROI
IN 3PCS 5.16.25 DR#78042 LIPA A
IN 1PC 5.15.25 DR#78041 LIPA A
IN 15+1 4.14.25  SI#65640 SOUTHWAY
IN 4PCS 4.8.25 DR#77399 SPC EMMAN
IN 1PCS 3.22.25 DR#77443 SPC BRY
IN 4PCS 2.13.25 DR#77061 LIPA A
IN 4PCS 6.2.25 DR#77012 SPC KUYA MIKE
IN 4PCS 1-28-25D DR#77077 SPC KUYA MIKE
----------------------------------------------
IN 29PCS 11/22/24 SI#64875 SOUTHWAY
12PCS 11/11/24 DR#75703-04 SPC KUYA HACKET &amp; ROI
IN 4PCS 10/07/24 DR#76644 SPC MASTER
IN 2PCS 9-26-24 Dr#76095 LIPA A
IN 2PCS 09/26/24 DR#76609 SPC KUYA MIKE
IN 12PCS 09/25/24 DR#76094 LIPA A
IN 8PCS 08/02/24 DR# SPC KUYA HACKET
IN 20PCS 8-2-24 SI#64323 SOUTHWAY
IN 8PCS 07/30/24 DR# SPC KUYA EMMAN
2PCS 7-29-24 DR#76067 LIPA A
IN 2PCS 07/18/24 DR#76061 LIPA A
IN 4PCS 07/17/24 DR#75248 SPC KUYA HACKET
IN 4PCS 07/17/24 DR#76060 LIPA A
IN 4PCS 07/13/24 SI#64258 SOUTHWAY
IN 2PCS 06/01/24 SI#63970 SOUTHWAY (for spc)
IN 12PCS 05/31/24 DR#75169 SPC KUYA HACKET
IN 4PCS 5-24-24 DR#75158 SPC
IN 2PCS 05/21/24 DR#75042 SPC KUYA BOYONG
IN 3PCS 03/06/2024 DR#74850 SPC
IN 12PCS 2/26/24 DR# 74838 SPC
8PCS 1-17-24 SI#63043 SOUTHWAY
4PCS 1-8-24 Dr#74604 SPC
4PCS 11-28-23 SI#62709  SOUTHWAY
4PCS 11-28-23 SI#62709 SOUTHWAY
4PCS 10-12-23 SI#62405 SOUTHWAY
8PCS 10-12-23 SI#62402 SOUTHWAY
4PCS 10-12-23 SI#62406 SOUTHWAY
8PCS 9-8-23 DR#39211 SOUTHWAY
4PCS 8-4-23 DR#74061 SPC</t>
        </r>
      </text>
    </comment>
    <comment ref="H1017" authorId="0" shapeId="0" xr:uid="{67A7BCC5-B4F7-5041-B981-3505682AF810}">
      <text>
        <r>
          <rPr>
            <sz val="10"/>
            <rFont val="SimSun"/>
            <charset val="134"/>
          </rPr>
          <t>OUT 4PCS 02.27.26 DR80878 LIPA A
02.23.26
55388 4PCS BEL
02.12.26
55075 4PCS BEL
OUT 16PCS 01.30.26 DR80230 SPC HACKET
OUT 2PCS 01.20.26 DR80211 STC SERVICE
12-3-25
4 PCS 52902 MARIBEL
OUT 2PCS 11.26.25 DR#80032 BINAN LALAMOVE
11.17.25
52378 4PCS MARLO
11-6-25
4 PCS 52053 MARIBEL
11-5-25
4 PCS 52042 JARVIS
11.4.25
4 PCS 51985 MARIBEL
10-27-25
4 PCS 51791 MARIBEL
10-13-25
4 PCS 51383 MARLO
10-8-25
4 PCS 51262 MARIBEL
10-8-25
2 PCS 51228 MARIBEL
10-3-25
4 PCS 51121 MARIBEL
9-22-25
4 PCS 50760 ROSE
9-10-25
1 PC 50420 MARLO
8-29-25
2 PCS 50073 ALY
8-12-25
4 PCS 49604 MARIBEL
8.8.25
49440 4PCS BEL
7.31.25
49169 4PCS BEL
7.29.25
49122 4PCS ALY
OUT 2PCS 7.26.25 DR#78379 SPC RONNIE
OUT 8PCS 7.10.25 DR#78359 SPC RONNIE
OUT 4PCS 7.7.25 DR#78347 LIPA A BRY
OUT 4PCS 7.7.25 DR#78346 SPC BRY
6-18-25
4 PCS 47670 JARVIS
6.13.25
47502 4PCS ALY
5-27-25
4 PCS 46859 MARIBEL
5-24-25
4 PCS 46805 MARIBEL
5-17-25 
2 PCS 46366 ROSE ANN 
5-16-25
4 PCS 46406 MARIBEL 
5-15-25
2 PCS 45830 OFFICE 
5-7-25
2 pcs 46137 ROSE
4.30.25
45898 4PCS ROSE
OUT 6PCS 4.30.25 DR#77628 SPC KUYA HACKET
OUT 4PCS 4.16.25 DR#77602 LIPA A
OUT 4PCS 4.15.25 DR#77589 SPC DANCRIS
OUT 4PCS 3.20.25 DR#77178 LIPA A
2 PCS OUT 3-11-25 JO43935  JARVIS
4 PCS OUT 2-13-25 JO42893
MARIBEL
4PC OUT 2/5/25 JO42497 MARIBEL 
OUT 1-18-25 4PCS JO#41888 DAHLIA SALES
2PC OUT 1/16/25 JO41730 ROSE
4pc out 1/6/25 jo41451 maribel
OUT 2PCS 11/30/24 DR#75481 LIPA A KUYA JOEL
OUT 4PCS 11/28/24 JO40137 ALY
OUT 8PCS 11/28/24 DR#75477 SPC KUYA ALWIN
11/25/24
40045 4PCS SALES ALY
4PCS 11/19/24 JO39745 ROSE ANN
10/26/24
38790 4PCS SALES ALY
10/25/24
38744 4PCS SALES JARVIS
09/27/24
37918 12PCS SALES MADAM JEN
09/26/24
37930 4PCS SALES
09/21/24
37848 2PCS SALES BEL
09/20/24
37740.1 2PCS SALES ROSE
OUT 4PCS 09/19/24 DR#75409-10 SPC KUYA HACKET
OUT 4PCS 09/01/24 DR#75394 SPC KUYA HACKET
08/22/24
36959 2PCS SALES BEL
08/13/24
36774 4PCS SALES DAHLIA
08/12/24
36751 4PCS SALES ROSE
08/09/24
36646 4PCS SALES BEL
07/29/24
36353 2PCS SALES DAHLIA
07/25/24
36282 4PCS SALES DHALIA
07/24/24
36207 12PCS SALES MAM JEN
07/17/24
36033 2PCS SALES ROSE
OUT 07/02/24 35622 2PCS SALES LEN 
OUT 06/16/24 35144.1 4PCS SALES ROSE
OUT 06/04/24 34769 2PCS SALES ROSE
OUT 06/01/24 34676 4PCS SALES MARLO
OUT 05/31/24 34650 2PCS SALES ROSE
OUT 05/23/24 34543 4PCS SALES LEN
OUT 05/18/24 34367 12PCS SALES BOSS JUN 
OUT 3PCS 05/09/24 DR#75062 SPC MASTER
OUT 03/05/2024 32474 4PCS SALES MARLO
2PCS 2-17-24 DR#74676 SPC
OUT 01-27-2024
31404 4PCS SALES
1PC 12-18-23 DR#73976 LIPA A
4PCS 12-14-23 DR#73970 SPC
4PCS 12-12-23 DR#73967 SPC
2PCS 11-9-23 DR#74261 SPC
6pcs 11-8-23 DR#74258 SPC
4PCS 10-14-23 DR#73921 LIPA A
4PCS 10-4-23 DR#73993 SPC
4PCS 10-3-23 JO#28530 JARVIS
4PCS 8-21-23 JO#27653 JARVIS</t>
        </r>
      </text>
    </comment>
    <comment ref="G1018" authorId="0" shapeId="0" xr:uid="{4C5D9476-81BC-E147-987C-EA24D35CAB6B}">
      <text>
        <r>
          <rPr>
            <sz val="10"/>
            <rFont val="SimSun"/>
            <charset val="134"/>
          </rPr>
          <t>IN 2PCS 11.14.25 DR#79878 SPC HACKET
IN 4PCS 7.5.25 DR#0047051 SOUTHWAY
IN 4PCS 2.14.25 DR#77026 SPC
IN 2PCS 1-28-25D DR#77077 SPC KUYA MIKE
---------------------------------------------
2PCS 12-17-24 SI#65051 SOUTHWAY
IN 4PCS 12-10-24 DR#75746 SPC KUYA HACKET
IN 4PCS 09/16/24 SI#64545 SOUTHWAY
IN 4PCS 08/15/24 DR#76521 SPC KUYA HACKET
4PCS 5-2-24 SI#63777 SOUTHWAY
IN 4PCS 04/10/24 DR#73448
4PCS 2-17-24 SI#63298 SOUTHWAY
4PCS 1-17-24 SI#63043 SOUTHWAY
4PCS 12-19-23 SI#62885 SOUTHWAY
4PCS 9-27-23 DR#73728 SPC</t>
        </r>
      </text>
    </comment>
    <comment ref="H1018" authorId="0" shapeId="0" xr:uid="{5818B047-4317-924A-80C1-68903598EDC6}">
      <text>
        <r>
          <rPr>
            <sz val="10"/>
            <rFont val="SimSun"/>
            <charset val="134"/>
          </rPr>
          <t>OUT 1PC 12.30.25 DR80081 SPC LIPA A
11.12.25
52214 2pcs bel
OUT 4PCS 11.7.25 DR#80006 SPC HACKET
1-31-25
42329 4PCS JARVIS
4PC OUT 12/15/24 JO40707 JARVIS
11/23/24
39977 4PCS SALES ALY
OUT 4PCS SALES 11/11/24
JO39608 JARVIS
OUT 4PCS SALES 09/04/24 37340
JARVIS
OUT 04/18/24 33536 4PCS SALES JARVIS
OUT 03/23/24 32930 4PCS SALES BEL
4PCS 1-31-24 DR#74654 LIPA A
4PCS 12-27-23 JO#30505 JARVIS
4PCS 12-15-23 JO#30281 LEN</t>
        </r>
      </text>
    </comment>
    <comment ref="G1020" authorId="0" shapeId="0" xr:uid="{2A6A63A6-9410-BA4B-8296-66B494893150}">
      <text>
        <r>
          <rPr>
            <sz val="10"/>
            <rFont val="SimSun"/>
            <charset val="134"/>
          </rPr>
          <t>IN 2PCS 2.22.25 SI#65336 SOUTHWAY
1PC 12-17-24 SI#06015 SOUTHWAY
7PCS 12-17-24 SI#64997 SOUTHWAY
4PCS 12-17-24 SI#64996 SOUTHWAY
IN 2PCS 10/13/24 DR#76646-48 SPC KUYA HACKET
IN 4PCS 8-30-24 SI#64602 SOUTHWAY
IN 4PCS 07/06/24 SI#64194 SOUTHWAY
IN 2PCS 04/14/24  DR#73451 LIPA A
IN 2PCS 04/05/24 DR#73444
LIPA A
4PCS 1-27-24 SI#63099 SOUTHWAY
2PCS 12-13-23 SI#62852 SOUTHWAY
4pcs 11-10-23 SI#62533 SOUTHWAY
2PCS 11-6-23 DR#72691 LIPA A
2PCS 10-16-23 DR#74238 SPC
8PCS 9-8-23 DR#39211 SOUTHWAY
4PCS 6-14-23 SPC
4PCS 6-9-23 SI#61575 SOUTHWAY
4pcs 5-19-23 STF#8126 SPC
4PCS 5-17-23 STF#8118 SPC</t>
        </r>
      </text>
    </comment>
    <comment ref="H1020" authorId="0" shapeId="0" xr:uid="{593B5AA7-F491-7E4D-8257-FD192AA695B1}">
      <text>
        <r>
          <rPr>
            <sz val="10"/>
            <rFont val="SimSun"/>
            <charset val="134"/>
          </rPr>
          <t>4.19.25
45394 4PCS ROSE
2-3-25
42417 4pcs sales jarvis
OUT 1-22-25 5pcs DR#76931 SPC KUYA MIKE
12-26-24
41071 1PC SALES ALY
10/27/24
38838 4PCS SALES ALY
09/24/24
37876 2PCS SALES ALY
OUT 4PCS 07/30/24 DR#75360 LIPA A
OUT 04/15/24 33512 2PCS SALES JARVIS
OUT 04/04/24 33217 4PC SALES JARVIS
2PCS 2-2-24 JO#31587 LEN
2PCS 12-9-23 30141 ROSE
2PCS 11-6-23 JO#29312 OFFICE
4PCS 11-5-23 JO#29321 BEL
2PCS 10-13-23 JO#28770 MARLO
4PCS 10-4-23 DR#73993 SPC
2PCS 8-5-23 DR#72206 LIPA A
2pcs 8-5-23 DR#72204 LIPA A
4PCS 6-12-23 STF#2501 LIPA A
4pcs 5-30-23 STF#2483 SPC
4PCS 5-16-23 JO#25335 JARVIS</t>
        </r>
      </text>
    </comment>
    <comment ref="G1021" authorId="0" shapeId="0" xr:uid="{0A350023-59A8-5349-9021-26007C65557F}">
      <text>
        <r>
          <rPr>
            <sz val="10"/>
            <rFont val="SimSun"/>
            <charset val="134"/>
          </rPr>
          <t>IN 2PCS 01.10.26 DR80164 LIPA A
IN 3PCS 01.12.26 DR79961 SPC HACKET
IN 2PCS 01.09.26 DR79951-53 SPC HACKET
IN 1PC 01.07.26 DR80161 LIPA A
IN 2PCS 12.4.25 DR#79723 SPC BRY
IN 4PCS 10.17.25 DR#79671 SPC ROBIN/ALWIN
IN 4PCS 8.8.25 DR#78846 SPC EMMAN
IN 4PCS 7.17.25 DR#78871 SPC HACKET
IN 6PCS 9.7.25 DR#78855 SPC BRY
IN 4PCS 6.26.25 DR#77775-76 SPC EMMAN
IN 1PCS 5.28.25 DR#78758 SPC HACKET
IN 1PCS 5.23.25 DR#77749 SPC HACKET
IN 2PCS 5-2-25 DR#77699 SPC HACKET
IN 2PCS 4.16.25 DR#77543 LIPA A
IN 1PCS 4.8.25 DR#77398 HACKET
IN 5PCS 3.22.25 DR#77443 SPC BRY
IN 7PCS 1-17-25 SI#65202 SOUTHWAY
IN 4PCS 1-16-25 DR#76890 SPC KUYA EMMAN
----------------------------------------------
8PCS 12-20-24 SOUTHWAY SI#65110
IN 4PCS 11/30/24 DR#75729 SPC KUYA HACKET
IN 8PCS 10/13/24 DR#76646-48 SPC KUYA HACKET
IN 2PCS 08/15/24 SI#64396 SOUTHWAY
IN 2PCS 08/02/24 DR# SPC KUYA HACKET
IN 7-26-24 SI#64311 1PC SOUTHWAY
IN 7PCS 07/18/24 DR# SPC KUYA HACKET
IN 4PCS 07/15/24 DR#76059 LIPA A
IN 2PCS 06/28/24 SI#64212 SOUTHWAY
IN 4PCS 06/06/24 DR#75177 SPC KUYA HACKET
12PCS 5/11/2024 SI#63903 SOUTHWAY
10PCS 5/11/2024 SI#63874 SOUTHWAY
12PCS 5/11/2024 SI#63873 SOUTHWAY
4pcs 2-14-24 DR# sPCsS
4PCS 1-17-24 SI#63043 SOUTHWAY
2PCS 12-19-23 SI#62885 SOUTHWAY
4PCS 12-13-23 SI#62853 SOUTHWAY
3PCS 12-13-23 SI#62852 SOUTHWAY
8PCS 12-5-23 SI#62803 SOUTHWAY
12PCS 10-12-23 SI#62402 SOUTHWAY
4PCS 10-6-23 DR#73745 SPC
4PCS 9-8-23 DR#39211 SOUTHWAY
4PCS 8-4-23 DR#74061 SPC
4PCS 6-9-23 SPC</t>
        </r>
      </text>
    </comment>
    <comment ref="H1021" authorId="0" shapeId="0" xr:uid="{A0F02BE2-8423-0543-B6B4-945E461EEC26}">
      <text>
        <r>
          <rPr>
            <sz val="10"/>
            <rFont val="SimSun"/>
            <charset val="134"/>
          </rPr>
          <t>1-10-26
4PCS 54091 JARVIS
01.07.26
53945 4PCS JARVIS
12-3-25
2 PCS 52867 ALY
11-21-25
2 PCS 52534 MARIBEL
11-10-25
4 PCS 52138 MARLO
10-16-25
4 PCS JO#51471, 51449 JARVIS
10-2-25
2 PCS 51066 ALY
9-21-25
1 PC 50768 JARVIS
7-13-25
4 PCS 48626 ALY
7.6.25
48431 2PCS JARVIS
6.21.25
47883 4PCS BEL
5.21.25
46437 2PCS HANAH
4-26-25
4 PCS 45794 MARIBEL
4-10-25
2 PCS OUT JO45179 MARIBEL 
4-2-25
1 PC OUT JO44796 MARIBEL
3.25.25
44445 4PCS BEL
2 PCS OUT 3-20-25 JO44147 JARVIS
OUT 2PCS 2.20.25 DR#77117 BIÑAN HACKET
4 PCS PUT 2-12-25 JO42840 MARIBEL 
4PC OUT 1/16/25 JO41820 MARIBEL 
4PC OUT 1/9/25 JO41589 MARIBEL
4PC OUT 1/4/25 JO41335 ALY
----------------------------------------------
12-26-24
41086 4pcs sales JARVIS
12-26-24
41088 4PCS SALES JARVIS
4PCS OUT 11/25/24 JO40072 DALIA
10/01/24
38114 4PCS SALES BEL
08/10/24
36697 2PCS SALES DAHLIA
2PCS 7-31-24 JO#36447 DAHLIA
07/19/24
36101 4PCS SALES BEL
07/13/24
35942 4PC SALES DAHLIA
07/11/24 
35880 4pc salesl marlo
OUT 06/17/24 35185 4PCS SALES MARLO
OUT 4PCS 06/02/24 REF# STC KUYA HACKET
OUT 05/23/24 34534 4PCS SALES BEL
OUT 05/23/24 34524 4PCS SALES MARLO
OUT 8PC 05/21/24 DR#75076 SPC KUYA HACKET
OUT 4PSC 5-21-24 DR#75073 SPC BOYONG
OUT 4PCS 05/16/24 REF# STC
4pcs 2-21-24 DR#74683 SPC
OUT 2-1-24 DR#74655 4PCS SALES
OUT 1-28-24 JO#31463 4PCS SALES
OUT 12-23-23 JO#30466 4PCS LEN
5PCS 12-14-23 DR#73970 SPC
4PCS 12-8-23 JO#30058 MARLO
4PCS 11-24-23 DR#74286 LIPA A
2PCS 11-15-23 29468 MARLO
2PCS 11-14-23 JO#29495 BEL
4pcs 11-8-23 DR#74258 SPC
4PCS 10-14-23 DR#73921 LIPA A
4PC 9-20-23 JO#28296 MARLO
4PCS 9-3-23 JO#27923 BEL
4PCS 7-16-23 DR#73871 LIPA A</t>
        </r>
      </text>
    </comment>
    <comment ref="G1022" authorId="0" shapeId="0" xr:uid="{40C38CE1-3A55-D14F-97BF-6EB9EE358645}">
      <text>
        <r>
          <rPr>
            <sz val="10"/>
            <rFont val="SimSun"/>
            <charset val="134"/>
          </rPr>
          <t>IN 2PCS 11.14.25 DR#79879 SPC HACKET
IN 4PCS 9.30.25 DR#79624 SPC HACKET
IN 8PCS 9.3.25 DR#79071 SPC KUYA RONNIE
IN 10PCS 8.19.25 DR#00467671 SOUTHWAY
IN 1PCS 9.7.25 DR#78855 SPC BRY
IN 15+1 4.14.25  SI#65640 SOUTHWAY
IN 4PCS 2.22.25 SI#65336 SOUTHWAY
IN 3PCS 2.20.25 DR#77030 SPC ALWIN
IN 1PC 1-22-25 DR#76899 SPC KUYA EMMAN
----------------------------------------------
8PCS 12-20-24 SOUTHWAY SI#65110
4PCS 12-06-24 SI#64973 SOUTHWAY
IN 4PCS 10/26/24 DR#76680 SPC KUYA HACKET
IN 8PCS 09/18/24 SI#64586 SOUTHWAY
IN 4PCS 2/26/24 DR# 74838 SPC
4PCS 1-2-23 DR#74546 SPC
4PCS 12-26-23 DR#74539 SPC
4PCS 12-19-23 SI#62885 SOUTHWAY
4pcs 12-20-23 DR#74596 SPC
4PCS 12-13-23 SI#62853 SOUTHWAY
4PCS 11-28-23 SI#62709  SOUTHWAY
4PCS 11-28-23 SI#62709 SOUTHWAY
4pcs 11-10-23 SI#62533 SOUTHWAY
4PCS 10-21-23 Dr#72679 LIPA A
4PCS 10-2-23 DR#7378 SPC
4PCS 9-27-23 DR#73728 SPC</t>
        </r>
      </text>
    </comment>
    <comment ref="H1022" authorId="0" shapeId="0" xr:uid="{33BBD70C-3BD9-D74C-BB0F-70149A2A9DCD}">
      <text>
        <r>
          <rPr>
            <sz val="10"/>
            <rFont val="SimSun"/>
            <charset val="134"/>
          </rPr>
          <t>12-6-25
4 PCS 53012 JARVIS
11-14-25
2 PCS 52283 MARIBEL
10-29-25
4 PCS OUT 51824 MARIBEL
OUT 4PCS 8.28.25 DR#78434 LIPA A
OUT 4PCS 8.20.25 DR#78419 SPC HACKET
6-30-25
4 PCS 48084 MARIBEL 
OUT 4PCS 5.5.25 DR#77638 SPC EMMAN
OUT 4PCS 4.15.25 DR#77588 SPC HACKET
OUT 4PCS 4.15.25 DR#77589 SPC DANCRIS
OUT 4PCS 4.7.25 DR#77562 SPC SERVICE
3-27-25
2 PCS OUT JO44616 MARLO 
4 PC  OUT 1/26/25 JO41717 OFFICE 
OUT 2PCS 1-18-25 DR#76922 SPC KUYA ALWIN
4PC OUT 1/4/25 JO41350 MARLO 
12-26-24
41066 4PCS SALES JARVIS
11/09/24
39378 dahlia
10/27/24
38735 4PCS SALES MARLO
10/15/24
38485 4PCS SALES BEL
4PCS 2-14-24 31876 SAELS
2PCS 1-30-24 JO#31489 LEN
4PCS 12-26-23 JO#30569 MARLO
4pcs 12-19-2023 jo#30349 jarvis (no dr from spc transferred 12-19-23)
4PCS 12-14-23 JO#30247  MARLO
4PCS 12-12-23 JO#30120 LEN
4PCS 11-23-23 JO#29743 BEL
4pc 11-09-23 jo#29358 marlo
4PCS 10-17-23 JO#28891 BEL
4PCS 9-29-23 JO#28484 JARVIS</t>
        </r>
      </text>
    </comment>
    <comment ref="G1024" authorId="0" shapeId="0" xr:uid="{07A64041-8EC5-094A-88E8-AF08E9B93669}">
      <text>
        <r>
          <rPr>
            <sz val="10"/>
            <rFont val="SimSun"/>
            <charset val="134"/>
          </rPr>
          <t>5PCS 12-12-22 STF#7369 SPC
4PCS 12-7-22 STF#7348 SPC</t>
        </r>
      </text>
    </comment>
    <comment ref="H1024" authorId="0" shapeId="0" xr:uid="{2FC41A93-D421-6A44-A7BB-5E20AA9DC70D}">
      <text>
        <r>
          <rPr>
            <sz val="10"/>
            <rFont val="SimSun"/>
            <charset val="134"/>
          </rPr>
          <t>4PCS 2-11-23 JO#21648 JARVIS
1PC 1-5-23 STF#2192 SPC
4PCS 12-12-22 STF#2139 SPC</t>
        </r>
      </text>
    </comment>
    <comment ref="G1026" authorId="0" shapeId="0" xr:uid="{D498EDC5-ADD8-2349-B781-CEE620E9E231}">
      <text>
        <r>
          <rPr>
            <sz val="10"/>
            <rFont val="SimSun"/>
            <charset val="134"/>
          </rPr>
          <t>IN 4PCS 7.17.25 DR#000902 ROADWIZARD (6,920)</t>
        </r>
      </text>
    </comment>
    <comment ref="H1026" authorId="0" shapeId="0" xr:uid="{6AC0C377-19A3-BF43-B5A1-0656BEFF6573}">
      <text>
        <r>
          <rPr>
            <sz val="10"/>
            <rFont val="SimSun"/>
            <charset val="134"/>
          </rPr>
          <t>7.17.25
48785 4PCS ALY</t>
        </r>
      </text>
    </comment>
    <comment ref="G1032" authorId="0" shapeId="0" xr:uid="{B3E91156-A04F-8041-86A5-61EFFAD97580}">
      <text>
        <r>
          <rPr>
            <sz val="10"/>
            <rFont val="SimSun"/>
            <charset val="134"/>
          </rPr>
          <t>IN 2PCS 08/29/24 DR#76558 SPC</t>
        </r>
      </text>
    </comment>
    <comment ref="H1032" authorId="0" shapeId="0" xr:uid="{6B106EBE-87FB-5349-BBC8-E9B116D30A8D}">
      <text>
        <r>
          <rPr>
            <sz val="10"/>
            <rFont val="SimSun"/>
            <charset val="134"/>
          </rPr>
          <t xml:space="preserve">08/30/24
37026 2PCS SALES DAHLIA
</t>
        </r>
      </text>
    </comment>
    <comment ref="G1038" authorId="0" shapeId="0" xr:uid="{27CC6D77-3FD3-4647-A158-74C53770590D}">
      <text>
        <r>
          <rPr>
            <sz val="10"/>
            <rFont val="SimSun"/>
            <charset val="134"/>
          </rPr>
          <t>IN 4PCS 8.11.25 DR#37593 SVB (RESERVED ATE ALY)</t>
        </r>
      </text>
    </comment>
    <comment ref="H1038" authorId="0" shapeId="0" xr:uid="{72FB9BC6-3844-AD49-B0FF-E707E91BB66C}">
      <text>
        <r>
          <rPr>
            <sz val="10"/>
            <rFont val="SimSun"/>
            <charset val="134"/>
          </rPr>
          <t xml:space="preserve">8-16-25
4 PCS 49692 ALY
</t>
        </r>
      </text>
    </comment>
    <comment ref="G1042" authorId="0" shapeId="0" xr:uid="{FD4A5114-E58F-DA41-9C55-BF2E353B52CF}">
      <text>
        <r>
          <rPr>
            <sz val="10"/>
            <rFont val="SimSun"/>
            <charset val="134"/>
          </rPr>
          <t>IN 4PCS 11.19.25 DR#79889 SPC ROBIN
IN 2PCS 9.26.25 DR#79615 SPC HACKET
IN 2PCS 8.22.25 DR#31728 COMPLETION OF DR#09687 DONG AH
IN 10PCS 8.15.25 DR#09687 DONG AH</t>
        </r>
      </text>
    </comment>
    <comment ref="H1042" authorId="0" shapeId="0" xr:uid="{003A94C2-159A-A24B-BFAF-1E888061F040}">
      <text>
        <r>
          <rPr>
            <sz val="10"/>
            <rFont val="SimSun"/>
            <charset val="134"/>
          </rPr>
          <t>OUT 4PCS 02.18.26 DR80865-68 SPC HACKET
OUT 4PCS 9.23.25 DR#79280 LIPA A
9-10-25
2 PCS 50387 MARIBEL 
OUT 2PCS 8.23.25 DR#78426 SPC HACKET
OUT 6PCS 8.19.25DR#78416 SPC HACKET</t>
        </r>
      </text>
    </comment>
    <comment ref="G1043" authorId="0" shapeId="0" xr:uid="{F71CF431-84BC-6048-96BE-DC2ADEC9BA20}">
      <text>
        <r>
          <rPr>
            <sz val="10"/>
            <rFont val="SimSun"/>
            <charset val="134"/>
          </rPr>
          <t>IN 2PCS 8.22.25 DR#31728 COMPLETION OF DR#09687 DONG AH
IN 10PCS 8.15.25 DR#09687 DONG AH</t>
        </r>
      </text>
    </comment>
    <comment ref="H1043" authorId="0" shapeId="0" xr:uid="{B4BAB254-FEBE-C74D-B494-79A21A86F71C}">
      <text>
        <r>
          <rPr>
            <sz val="10"/>
            <rFont val="SimSun"/>
            <charset val="134"/>
          </rPr>
          <t>OUT 4PCS 11.29.25 DR#80036 SPC 
OUT 2PCS 8.23.25 DR#78426 SPC HACKET
OUT 6PCS 8.20.25 DR#78419 SPC HACKET</t>
        </r>
      </text>
    </comment>
    <comment ref="G1044" authorId="0" shapeId="0" xr:uid="{E6910FD6-34FF-B742-83B3-68FA084C0A14}">
      <text>
        <r>
          <rPr>
            <sz val="10"/>
            <rFont val="SimSun"/>
            <charset val="134"/>
          </rPr>
          <t>IN 2PCS 8.22.25 DR#31728 COMPLETION OF DR#09687 DONG AH
IN 10PCS 8.15.25 DR#09687 DONG AH</t>
        </r>
      </text>
    </comment>
    <comment ref="H1044" authorId="0" shapeId="0" xr:uid="{3014D400-D303-784A-B7A4-06CB22DE394A}">
      <text>
        <r>
          <rPr>
            <sz val="10"/>
            <rFont val="SimSun"/>
            <charset val="134"/>
          </rPr>
          <t>OUT 2PCS 8.23.25 DR#78426 SPC HACKET
OUT 6PCS 8.20.25 DR#78419 SPC HACKET</t>
        </r>
      </text>
    </comment>
    <comment ref="G1045" authorId="0" shapeId="0" xr:uid="{110AF1BA-08F7-7343-A8F2-91FC59FAD47C}">
      <text>
        <r>
          <rPr>
            <sz val="10"/>
            <rFont val="SimSun"/>
            <charset val="134"/>
          </rPr>
          <t>IN 2PCS 8.22.25 DR#31728 COMPLETION OF DR#09687 DONG AH
IN 10PCS 8.15.25 DR#09687 DONG AH</t>
        </r>
      </text>
    </comment>
    <comment ref="H1045" authorId="0" shapeId="0" xr:uid="{F9983678-09B2-D445-BC83-3C3990F93D7E}">
      <text>
        <r>
          <rPr>
            <sz val="10"/>
            <rFont val="SimSun"/>
            <charset val="134"/>
          </rPr>
          <t>OUT 4PCS 11.6.25 DR#79800 LIPA A
OUT 2PCS 8.23.25 DR#78426 SPC HACKET
OUT 2PCS 8.20.25 DR#78419 SPC HACKET
OUT 4PCS 8.19.25DR#78416 SPC HACKET</t>
        </r>
      </text>
    </comment>
    <comment ref="G1046" authorId="0" shapeId="0" xr:uid="{5B502922-93A5-0C43-8FBA-A6EC6CB65613}">
      <text>
        <r>
          <rPr>
            <sz val="10"/>
            <rFont val="SimSun"/>
            <charset val="134"/>
          </rPr>
          <t>IN 4PCS 11.19.25 DR#79889 SPC ROBIN
IN 2PCS 8.22.25 DR#31728 COMPLETION OF DR#09687 DONG AH
IN 10PCS 8.15.25 DR#09687 DONG AH</t>
        </r>
      </text>
    </comment>
    <comment ref="H1046" authorId="0" shapeId="0" xr:uid="{947FAC6C-C5AE-7948-9B3D-6AF4419D4D53}">
      <text>
        <r>
          <rPr>
            <sz val="10"/>
            <rFont val="SimSun"/>
            <charset val="134"/>
          </rPr>
          <t>OUT 4PCS 10.20.25 DR#79774 LIPA A
OUT 2PCS 8.23.25 DR#78426 SPC HACKET
OUT 6PCS 8.20.25 DR#78419 SPC HACKET</t>
        </r>
      </text>
    </comment>
    <comment ref="G1047" authorId="0" shapeId="0" xr:uid="{9C8ECB08-7906-5446-A7AE-8A36AFD6698C}">
      <text>
        <r>
          <rPr>
            <sz val="10"/>
            <rFont val="SimSun"/>
            <charset val="134"/>
          </rPr>
          <t>IN 4PCS 06.02.26 DR80726-27 SPC HACKET</t>
        </r>
      </text>
    </comment>
    <comment ref="G1048" authorId="0" shapeId="0" xr:uid="{BD929A83-8453-6B47-B463-0D3B7B347943}">
      <text>
        <r>
          <rPr>
            <sz val="10"/>
            <rFont val="SimSun"/>
            <charset val="134"/>
          </rPr>
          <t>IN 2PCS 8.22.25 DR#31728 COMPLETION OF DR#09687 DONG AH
IN 10PCS 8.15.25 DR#09687 DONG AH</t>
        </r>
      </text>
    </comment>
    <comment ref="H1048" authorId="0" shapeId="0" xr:uid="{63A642A0-278A-F74E-9DEA-DD1D5D3D31E9}">
      <text>
        <r>
          <rPr>
            <sz val="10"/>
            <rFont val="SimSun"/>
            <charset val="134"/>
          </rPr>
          <t>OUT 2PCS 8.23.25 DR#78426 SPC HACKET
OUT 6PCS 8.19.25DR#78416 SPC HACKET</t>
        </r>
      </text>
    </comment>
    <comment ref="G1049" authorId="0" shapeId="0" xr:uid="{DBA7639C-21EB-C24E-A973-90A596B4C7A0}">
      <text>
        <r>
          <rPr>
            <sz val="10"/>
            <rFont val="SimSun"/>
            <charset val="134"/>
          </rPr>
          <t>IN 1PCS 11.19.25 DR#79889 SPC ROBIN
IN 2PCS 8.22.25 DR#31728 COMPLETION OF DR#09687 DONG AH
IN 10PCS 8.15.25 DR#09687 DONG AH</t>
        </r>
      </text>
    </comment>
    <comment ref="H1049" authorId="0" shapeId="0" xr:uid="{A11F300F-E603-4340-A392-411382A7EC0B}">
      <text>
        <r>
          <rPr>
            <sz val="10"/>
            <rFont val="SimSun"/>
            <charset val="134"/>
          </rPr>
          <t>OUT 4PCS 02.18.26 DR80865-68 SPC HACKET
10-25-25
1 PC 51736 ALY
OUT 2PCS 8.23.25 DR#78426 SPC HACKET
OUT 6PCS 8.19.25DR#78416 SPC HACKET</t>
        </r>
      </text>
    </comment>
    <comment ref="G1050" authorId="0" shapeId="0" xr:uid="{3410F432-BD0C-AE42-8087-C70A07AC5727}">
      <text>
        <r>
          <rPr>
            <sz val="10"/>
            <rFont val="SimSun"/>
            <charset val="134"/>
          </rPr>
          <t>IN 2PCS 8.22.25 DR#31728 COMPLETION OF DR#09687 DONG AH
IN 10PCS 8.15.25 DR#09687 DONG AH</t>
        </r>
      </text>
    </comment>
    <comment ref="H1050" authorId="0" shapeId="0" xr:uid="{9A8ADB36-D35F-114F-AC02-E0DCA0B30B9F}">
      <text>
        <r>
          <rPr>
            <sz val="10"/>
            <rFont val="SimSun"/>
            <charset val="134"/>
          </rPr>
          <t>OUT 4PCS 02.18.26 DR80865-68 SPC HACKET
OUT 2PCS 8.23.25 DR#78426 SPC HACKET
OUT 6PCS 8.19.25DR#78416 SPC HACKET</t>
        </r>
      </text>
    </comment>
    <comment ref="G1051" authorId="0" shapeId="0" xr:uid="{529CBEEA-63B2-BC4B-B65F-9F386A2D4631}">
      <text>
        <r>
          <rPr>
            <sz val="10"/>
            <rFont val="SimSun"/>
            <charset val="134"/>
          </rPr>
          <t>IN 4PCS 06.02.26 DR80726-27 SPC HACKET</t>
        </r>
      </text>
    </comment>
    <comment ref="G1052" authorId="0" shapeId="0" xr:uid="{B6F52387-EDE2-2A4E-8BB9-1BCFA4ACF9CC}">
      <text>
        <r>
          <rPr>
            <sz val="10"/>
            <rFont val="SimSun"/>
            <charset val="134"/>
          </rPr>
          <t>IN 2PCS 8.22.25 DR#31728 COMPLETION OF DR#09687 DONG AH
IN 10PCS 8.15.25 DR#09687 DONG AH</t>
        </r>
      </text>
    </comment>
    <comment ref="H1052" authorId="0" shapeId="0" xr:uid="{CE16D0E9-70CB-5C49-9FBB-6AD9E9220BE8}">
      <text>
        <r>
          <rPr>
            <sz val="10"/>
            <rFont val="SimSun"/>
            <charset val="134"/>
          </rPr>
          <t>OUT 2PCS 8.23.25 DR#78426 SPC HACKET
OUT 6PCS 8.20.25 DR#78419 SPC HACKET</t>
        </r>
      </text>
    </comment>
    <comment ref="G1053" authorId="0" shapeId="0" xr:uid="{AE415FB7-67EC-ED4B-8A58-C8EA9CE92F36}">
      <text>
        <r>
          <rPr>
            <sz val="10"/>
            <rFont val="SimSun"/>
            <charset val="134"/>
          </rPr>
          <t>IN 2PCS 8.22.25 DR#31728 COMPLETION OF DR#09687 DONG AH
IN 10PCS 8.15.25 DR#09687 DONG AH</t>
        </r>
      </text>
    </comment>
    <comment ref="H1053" authorId="0" shapeId="0" xr:uid="{BEC9056B-255C-4F4A-BA3D-A218745F6B60}">
      <text>
        <r>
          <rPr>
            <sz val="10"/>
            <rFont val="SimSun"/>
            <charset val="134"/>
          </rPr>
          <t>OUT 2PCS 8.23.25 DR#78426 SPC HACKET
OUT 6PCS 8.19.25DR#78416 SPC HACKET</t>
        </r>
      </text>
    </comment>
    <comment ref="G1054" authorId="0" shapeId="0" xr:uid="{9B343676-A450-CB49-80CA-E114AD8164B7}">
      <text>
        <r>
          <rPr>
            <sz val="10"/>
            <rFont val="SimSun"/>
            <charset val="134"/>
          </rPr>
          <t>IN 2PCS 12.3.25 DR#79717 SPPC HACKET
IN 4PCS 9.30.25 DR#79624 SPC HACKET</t>
        </r>
      </text>
    </comment>
    <comment ref="H1054" authorId="0" shapeId="0" xr:uid="{69C4E9C3-7320-AF44-B6EE-4B077E134ABE}">
      <text>
        <r>
          <rPr>
            <sz val="10"/>
            <rFont val="SimSun"/>
            <charset val="134"/>
          </rPr>
          <t xml:space="preserve">12.01.25
42831 2PCS MARLO
</t>
        </r>
      </text>
    </comment>
    <comment ref="G1055" authorId="0" shapeId="0" xr:uid="{D2F0F450-9C3B-8040-9C72-612425CB2029}">
      <text>
        <r>
          <rPr>
            <sz val="10"/>
            <rFont val="SimSun"/>
            <charset val="134"/>
          </rPr>
          <t xml:space="preserve">IN 4PCS 01.29.26 DR80710 SPC ROBIN
</t>
        </r>
      </text>
    </comment>
    <comment ref="G1056" authorId="0" shapeId="0" xr:uid="{D9C28F27-830A-744F-8DB4-0ABF5DCAD1E7}">
      <text>
        <r>
          <rPr>
            <sz val="10"/>
            <rFont val="SimSun"/>
            <charset val="134"/>
          </rPr>
          <t>IN 4PCS 11.19.25 DR#79889 SPC ROBIN</t>
        </r>
      </text>
    </comment>
    <comment ref="G1057" authorId="0" shapeId="0" xr:uid="{80EB67A4-7B07-C74C-A5F1-90884CA15042}">
      <text>
        <r>
          <rPr>
            <sz val="10"/>
            <rFont val="SimSun"/>
            <charset val="134"/>
          </rPr>
          <t>IN 4PCS 11.19.25 DR#79889 SPC ROBIN</t>
        </r>
      </text>
    </comment>
    <comment ref="G1058" authorId="0" shapeId="0" xr:uid="{45DA111B-29A9-6D44-842D-022B998DCF0F}">
      <text>
        <r>
          <rPr>
            <sz val="10"/>
            <rFont val="SimSun"/>
            <charset val="134"/>
          </rPr>
          <t>IN 4PCS 11.19.25 DR#79889 SPC ROBIN</t>
        </r>
      </text>
    </comment>
    <comment ref="G1064" authorId="0" shapeId="0" xr:uid="{86EB9792-0C38-B240-A77E-EA0BD2FA4736}">
      <text>
        <r>
          <rPr>
            <sz val="10"/>
            <rFont val="SimSun"/>
            <charset val="134"/>
          </rPr>
          <t>1PC 12-20-22 STF#7415 SPC</t>
        </r>
      </text>
    </comment>
    <comment ref="H1064" authorId="0" shapeId="0" xr:uid="{3979E588-192F-D843-856C-6F9600BE257B}">
      <text>
        <r>
          <rPr>
            <sz val="10"/>
            <rFont val="SimSun"/>
            <charset val="134"/>
          </rPr>
          <t>1PC 12-26-22 JO20376 COMPANY USE</t>
        </r>
      </text>
    </comment>
    <comment ref="G1066" authorId="0" shapeId="0" xr:uid="{04532091-F64B-3B46-98FC-C1EB3D3B6FEC}">
      <text>
        <r>
          <rPr>
            <sz val="10"/>
            <rFont val="SimSun"/>
            <charset val="134"/>
          </rPr>
          <t>IN 4PCS 03.03.26 DR80785 SPC HACKET
IN 3PCS 11.11.25 DR#79873 SPC HACKET
IN 4PCS 10.1.25 DR#77825 BIÑAN
IN 4PCS 8.23.25 DR#79044 SPC HACKET
IN 4PCS 7.27.25 DR#78899 SPC RONNIE
IN 8PCS 6.15.25 DR#78793 SPC
IN 4PCS 5.19.25 DR#77738 SPC
IN 2PCS 5.01.25 DR#77696 SPC SERVICE
IN 2PCS 4.3.25 DR#77387 SPC HACKET
IN 2PCS 3.29.25 DR#77381 SPC haxket
iN 6PCS 3.1325 DR#77414 SPC
IN 1-30-25 4PCS  DR#77009 SPC HACKET
IN 1PCS 1-28-25D DR#77077 SPC KUYA MIKE
IN 4PCS 1-19-25 DR#76892 SPC SERVICE
IN 4PCS 1-8-25 DR#76876 SPC KUYA HACKET
----------------------------------------------
IN 2PCS 12-10-24 DR#83873 DRAKESTER
IN 4PCS 11/05/24 DR#76584 SPC KUYA HACKET
IN 2PCS 10/28/24 DR#76682 SPC BRIAN
IN 4PCS 10-18-24 DR#76665 SPC KUYA HACKET
IN 8PCS 08/28/24 DR#68708 DRAKESTER
IN 2PCS 08/11/24 DR#76519 SPC MASTER
IN 8PCS 07/29/24 DR#064463 DRAKESTER
IN 4PCS 07/29/24 DR#064460 DRAKESTER (STC)
IN 8PCS 04/25/24 DR#75005 SPC KUYA HACKET
2PCS 2-16-24 DR#74826 SPC
4PC 1-12-24 DR# SPC
4PCS 12-26-23 DR#74539 SPC
4PCS 11-26-23 DR#74447 SPC
4PCS 10-26-23 DR# SPC
4PCS 9-30-23 DR#72664 LIPA A
4PCS 9-14-23 DR#74209 SPC
4PCS 8-4-23 DR#73266 LIPA A
4PCS 7-12-23 DR#73244 SPC</t>
        </r>
      </text>
    </comment>
    <comment ref="H1066" authorId="0" shapeId="0" xr:uid="{030D9592-FF84-634F-BFD8-4ACDAFFF1530}">
      <text>
        <r>
          <rPr>
            <sz val="10"/>
            <rFont val="SimSun"/>
            <charset val="134"/>
          </rPr>
          <t>02.09.26
54992 4PCS MARLO
12-5-25
4 PCS 52953 MARIBEL
10-15-25
1 PCS 51410 MARIBEL
OUT 2PCS 9.11.25 DR#79255 LIPA A
OUT 4PCS 8.22.25 DR#78427 LIPA A
OUT 4PCS 7.12.25 DR#78363 SPC ROI
OUT 6.24.25 DR#78335 4PCS LIPA A
5-24-25
4 PCS 46802 MARIBEL 
5-2-25
45969 2PCS JARVIS
OUT 2PCS 4.22.25 DR#77607 LIPA A
4.17.25
45392 4PCS MADAM
4PCS OUT 3-3-25 JO43727 HANNA
OUT 4PCS 1.29.25 DR#76956 LIPA A
1 PC OUT 1/19/25 JO41929 ALY
OUT 1-18-25 4PCS JO#41694 ALY SALES
4PC OIT 1/10/25 JO41633 MARLO 
OUT 12-14-2024
40704 JARVIS 4PCS 
11/24/24
39998 2PCS SALES JARVIS
OUT 4PCS 10/30/24
JO38925 JARVIS
09/16/24
37693 4PCS SALES BEL
09/14/24
37620 2PCS SALES JARVIS
08/17/24
36901 4PCS SALES BEL
OUT 2PCS 08/10/24
DR#75369 LIPA A
OUT 4PCS 07/30/24 REF#75671 STC MASTER
07/31/24
75250 2pcs sales jarvis
36429 2pcs sales dahlia
OUT 4PCS 07/02/24 DR#75127 LIPA A
OUT 06/03/24 34802 4PCS SALES JARVIS
OUT 1PC 03/30/24 DR#74745-46 SPC KUYA HACKET 
OUT 03/19/24 32779 2PCS SALES JARVIS
OUT 03/06/24 32399 4PCS SALES JHONLY
2pcs 2-7-24 31715 sales
4PCS 12-3-23 JO#$29945 MARLO
4PCS 11-3-23 JO#29253 LEN
4PCS 9-30-23 JO#28497 JARVIS
4PCS 9-30-23 JO#28502 BEL
4PCS 9-15-23 JO#28192 JARVIS
4PCS 8-4-23 JO#27218 MARLO
4PCS 8-3-23 JO# 27189 JARVIS</t>
        </r>
      </text>
    </comment>
    <comment ref="G1067" authorId="0" shapeId="0" xr:uid="{CAAFF904-3487-224D-BAB3-DF9AA1E4B252}">
      <text>
        <r>
          <rPr>
            <sz val="10"/>
            <rFont val="SimSun"/>
            <charset val="134"/>
          </rPr>
          <t>IN 4PCS 10-18-24 DR#76665 SPC KUYA HACKET
4pcs 12-9-223 DR#73306 LIPA A
4PCS 6-9-23 SPC
4PCS 3-11-23 STF# SPC</t>
        </r>
      </text>
    </comment>
    <comment ref="H1067" authorId="0" shapeId="0" xr:uid="{D4ACAA79-9A24-9E43-923C-0DCA1117B2D2}">
      <text>
        <r>
          <rPr>
            <sz val="10"/>
            <rFont val="SimSun"/>
            <charset val="134"/>
          </rPr>
          <t>4PCS 1-9-24 DR#73371 SPC OLD DOT
2PCS 10-23-23 JO#29010 JARVIS
4PCS 3-11-23 JO#22233 HANNA</t>
        </r>
      </text>
    </comment>
    <comment ref="G1068" authorId="0" shapeId="0" xr:uid="{A1262C7A-19BA-3446-A0C8-08DAAF5DB7D5}">
      <text>
        <r>
          <rPr>
            <sz val="10"/>
            <rFont val="SimSun"/>
            <charset val="134"/>
          </rPr>
          <t>IN 4PCS 07/29/24 DR#064463 DRAKESTER
IN 4PCS 06/13/24 DR#73492 LIPA A
2PCS 11-13-23 DR#74403 SPC
4PCS 3-21-23 STF#7879 SPC</t>
        </r>
      </text>
    </comment>
    <comment ref="H1068" authorId="0" shapeId="0" xr:uid="{531D4CC1-8A19-3342-A04A-8B42BC522787}">
      <text>
        <r>
          <rPr>
            <sz val="10"/>
            <rFont val="SimSun"/>
            <charset val="134"/>
          </rPr>
          <t>OUT 4PCS 2.5.25 DR#76961 BIÑAN
OUT 06/13/24 35111 4PCS SALES MARLO
4PCS 1-9-24 DR#73371 SPC OLD DOT
2PCS 11-6-23 DR#74253 SPC
2PCS 7-15-23 JO#26761 JARVIS</t>
        </r>
      </text>
    </comment>
    <comment ref="G1069" authorId="0" shapeId="0" xr:uid="{223D6385-B20D-4C46-BEBA-3652E1EE786F}">
      <text>
        <r>
          <rPr>
            <sz val="10"/>
            <rFont val="SimSun"/>
            <charset val="134"/>
          </rPr>
          <t>IN 6PCS 10.31.25 DR#79853-54  HACKET
IN 2PCS 7.10.25 DR#78857 SPC RONNIE
IN 4PCS 4.3.25 DR#77387 SPC HACKET
IN 1PCS 1-8-25 DR#76876 SPC KUYA HACKET
IN 2PCS 10/28/24 DR#76682 SPC BRIAN
IN 2PCS 08/28/24 DR#68708 DRAKESTER
IN 2PCS 08/27/24 DR#76555 SPC KUYA HACKET
IN 4PCS 05/06/24 DR# SPC MASTER
IN 4PCS 03/27/24 DR# LIPA A
IN 4PCS 03/06/24 DR#74850 SPC
4PCS 11-26-23 DR#74447 SPC
2PCS 11-17-23 DR#74415 SPC
4PCS 9-14-23 DR#74209 SPC
4PCS 3-21-23 STF#7879 SPC</t>
        </r>
      </text>
    </comment>
    <comment ref="H1069" authorId="0" shapeId="0" xr:uid="{74C0E9D1-A7D0-084A-8B1A-8DC62BA833B5}">
      <text>
        <r>
          <rPr>
            <sz val="10"/>
            <rFont val="SimSun"/>
            <charset val="134"/>
          </rPr>
          <t>OUT 2PCS 12.18.25 DR#80068 SPC HACKET
10-29-25
2 PCS 51820 MARLO
6-29-25
21 PCS 48117 JARVIS
5-24-25
2 PCS 46816 JARVIS
2.16.25
42974 4PCS JARVIS
OUT 4PCS 2.5.25 DR#76960 BIÑAN
1PC OUT 12/23/24 JO41013 MARLO
OUT 2PCS 07/20/24 DR#75352 SPC KUYA ROI
OUT 4PCS 3/29/24 DR#74752 SPC
OUT 03/14/24 4PCS SALES 32705
4PCS 1-5-24 JO#30831 LEN
2PCS 11-17-23 JO#29573 JOHNLY
4PCS 11-6-23 DR#74254 SPC
4PCS 4-23-23 JO#24804 BEL</t>
        </r>
      </text>
    </comment>
    <comment ref="G1071" authorId="0" shapeId="0" xr:uid="{157ABB92-A8EE-3741-AA01-D3A5F988B35C}">
      <text>
        <r>
          <rPr>
            <sz val="10"/>
            <rFont val="SimSun"/>
            <charset val="134"/>
          </rPr>
          <t>IN 6PCS 02.28.26 DR168721 DRAKESTER (4,446.80) LESS 250 ON NET PROMO 
IN 1PCS 01.03.26 DR79941 SPC HACKET
IN 2PCS 9.22.25 DR#135389 DRAKESTER
IN 6PCS 6.19.25 DR#116606 DRAKESTER
IN 4PCS 3.22.25 DR#77443 SPC BRY
IN 2PCS 3.14.25 DR#77148 SPC
IN 1PCS 3.3.28 DR#77079 LIPA A
IN 4PCS 12-10-24 DR#83873 DRAKESTER
IN 2PCS 11/21/24 DR#75716 SPC
7PCS 11/11/24 DR#75703-04 SPC KUYA HACKET &amp; ROI
IN 8PCS 08/28/24 DR#68708 DRAKESTER
IN 2PCS 07/29/24 DR#064463 DRAKESTER
IN 2PCS 04/29/24 DR#75010 SPC KUYA EMMAN
4PCS 2-2-24 DR#74640 SPC
2PCS 12-11-23 DR#74520 SPC
2PCS 11-13-23 DR#74403 SPC
2PCS 10-26-23 DR# SPC
8PCS 6-9-23 SPC
4pcs 3-3-23 STF#7783 SPC</t>
        </r>
      </text>
    </comment>
    <comment ref="H1071" authorId="0" shapeId="0" xr:uid="{F47F7A55-4FFB-924C-B267-F669900018E2}">
      <text>
        <r>
          <rPr>
            <sz val="10"/>
            <rFont val="SimSun"/>
            <charset val="134"/>
          </rPr>
          <t>02.16.26
55182 2PCS BEL
12-26-25
2 PCS OUT 53569 ALY
12-13-25
2 PCS 53154 MARIBEL
OUT 1PC 9.15.25 DR#79263 SPC ALWIN
OUT 2PCS 7.17.25 DR#78367 SPC HACKET
6-4-25
2 PCS 47134 MARLO
2 PCS OUT 3-14-25 JO43987 MARIBEL
3-3-25
1 PC OUT JO43584 MARIBEL
4PCS 2.26.25 DR#77129 STC HACKET
OUT 4PCS 2.14.25 DR#76991 SPC
OUT 4PCS 2.5.25 DR#76960 BIÑAN
OUT 2PCS 11/19/24 JO39709 MARLO
10/20/2024	38656 1PC SALES
09/25/24
37938 2PCS SALES JARVIS
09/24/24
37934 4PCS SALES JARVIS
08/07/24
36575 2PCS SALES ROSE
OUT 2PCS 08/04/24 DR#75363 LIPA A
OUT 05/06/24 34081 2PCS SALES MARLO
OUT 04/09/24 33343 2PCS SALES BEL</t>
        </r>
      </text>
    </comment>
    <comment ref="G1072" authorId="0" shapeId="0" xr:uid="{920B087C-1CB8-A14B-BDEF-291F7A7C6DC2}">
      <text>
        <r>
          <rPr>
            <sz val="10"/>
            <rFont val="SimSun"/>
            <charset val="134"/>
          </rPr>
          <t>IN 4PCS 10.22.25 DR#79682 SPC ROBIN
IN 4PCS 6.19.25 DR#77756 SPC ALWIN
2PCS 12-19-24 DR085384 DRAKESTER
IN 6PCS 07/08/24 DR#75229 SPC KUYA DANCRIS
2PCS 12-26-23 DR#74539 SPC
4pcs 3-3-23 STF#7783 SPC</t>
        </r>
      </text>
    </comment>
    <comment ref="H1072" authorId="0" shapeId="0" xr:uid="{960CDD09-9C7B-744B-BE60-C2F61528DFFE}">
      <text>
        <r>
          <rPr>
            <sz val="10"/>
            <rFont val="SimSun"/>
            <charset val="134"/>
          </rPr>
          <t>OUT 4PCS 10.10.25 DR#79756 STC
OUT 2PCS 3.20.25 DR#77175 STC RONNIE
out 2pcs 3.18.25 dr#77162 stc hacket
OUT 2PCS 2.8.25 DR#76978 STC
OUT 4PCS 08/05/24 DR#75364 SPC SERVICE
2pcs 1-10-24 DR#73374 SPC
2PCS 1-9-24 DR#73371 SPC OLD DOT
2PCS 12-5-23 JO#29979 JARVIS</t>
        </r>
      </text>
    </comment>
    <comment ref="G1073" authorId="0" shapeId="0" xr:uid="{FFC7947D-73D6-B943-BC29-D6A81B6D5F89}">
      <text>
        <r>
          <rPr>
            <sz val="10"/>
            <rFont val="SimSun"/>
            <charset val="134"/>
          </rPr>
          <t>IN 4PCS 8-24-25 DR#79051 SPC
2PCS 2-7-24 DR#74650;74801 SPC
4PCS 10-26-23 DR# SPC
4PCS 9-14-23 DR#74209 SPC
4PCS 3-21-23 STF#7879 SPC</t>
        </r>
      </text>
    </comment>
    <comment ref="H1073" authorId="0" shapeId="0" xr:uid="{F62CA915-F9F3-9E49-9B7F-BECAE216B78C}">
      <text>
        <r>
          <rPr>
            <sz val="10"/>
            <rFont val="SimSun"/>
            <charset val="134"/>
          </rPr>
          <t>8-24-25
2 PCS 49920 ALY
OUT 2PCS 4.16.25 DR#77601 SPC HACKET
08/30/24
37207 2PCS SALES BEL
2PCS 1-12-24 DR#73382 SPC
4PCS 7-31-23 JO#27131 ROSE</t>
        </r>
      </text>
    </comment>
    <comment ref="G1074" authorId="0" shapeId="0" xr:uid="{6D1021E0-7AAA-C74E-9B5C-0A7CA74A4F05}">
      <text>
        <r>
          <rPr>
            <sz val="10"/>
            <rFont val="SimSun"/>
            <charset val="134"/>
          </rPr>
          <t>IN 4PCS 10.22.25 DR#79682 SPC ROBIN
IN 2PCS 9.4.25 DR#79076 SPC HACKET
IN 4PCS 7.27.25 DR#78899 SPC RONNIE
IN 4PCS 6.16.25 DR#78078 LIPA A
IN 3PC 5.9.25 DR#77717 SPC ROI
IN 1PC 4.19.25 DR#77545 LIPA A
IN 2PCS 3.5.25 DR#77046 SPC HOWARD
IN 4PCS 12-04-24 DR#75738 SPC BRIAN
IN 4PCS 10-18-24 DR#76665 SPC KUYA HACKET
IN 4PCS 08/15/24 DR#76521 SPC KUYA HACKET
IN 2PCS 08/07/24 DR#76510 SPC KUYA HACKET
IN 4PCS 7/06/24 REF#75639 STC
IN 4PCS 05/15/24 DR#75041 SPC
2pcs 2-10-24 DR#73401 LIPA A
2PCS 2-10-24 DR# SPC
4PCS 11-13-23 DR#74403 SPC
2PCS 10-26-23 DR# SPC
4PCS 10-13-23 DR#74234 SPC
4PCS 9-14-23 DR#74209 SPC
4PCS 7-6-23 SPC
4PCS 6-23-23 SPC
4PCS 4-5-23 STf#2380 SPC</t>
        </r>
      </text>
    </comment>
    <comment ref="H1074" authorId="0" shapeId="0" xr:uid="{2348D286-5AE8-FD4E-BB62-F97ABFDE6D24}">
      <text>
        <r>
          <rPr>
            <sz val="10"/>
            <rFont val="SimSun"/>
            <charset val="134"/>
          </rPr>
          <t>10-5-25
4 PCS 51178 ALY
OUT 1PC 8.23.25 DR#78429 LIPA A
OUT 1PC 8.9.25 DR#78398 LIPA A
6-16-25
4 PCS 47614 MARLO
OUT 4PCS 5.14.25 DR#77954 LIPA A
4.19.25
45328 2PCS MARLO
2 PCS OUT 3-20-25 JO44292 DALIA
2 PCS OUT 2-15-25 JO42969 MARIBEL 
OUT 4PCS 2.5.25 DR#76961 BIÑAN
OUT 4PCS 11/21/24 JO39932 DALIA
09/16/24
37646 4PCS SALES DAHLIA
OUT 2PCS 07/18/24 DR#75149 SPC KUYA HACKET
OUT 06/26/24 35415 2PCS SALES  JARVIS
OUT 06/24/24 35378S 2PCS SALES  JARVIS
OUT 05/07/24 34111 2PCS SALES BEL
OUT 4PCS 04/27/24 DR#74798 LIPA A KUYA HACKET
2PCS 2-21-24 DR#74684 SPC KUYA ADWIN
4PCS 11-3-23 DR#73949 LIPA A
2PCS 10-14-23 JO#28832 JARVIS
2PCS 9-29-23 JO#28473 BEL
2PCS 9-26-23 JO#28349 MARLO
4PCS 8-15-23 JO#27496 MARLO
4PCS 7-8-23 JO#26588 BEL
4PCS  4-20-23 JO#24698 ROSE</t>
        </r>
      </text>
    </comment>
    <comment ref="G1075" authorId="0" shapeId="0" xr:uid="{9EE0EBEA-ACF6-EB46-B2B7-C0CA03EBFA19}">
      <text>
        <r>
          <rPr>
            <sz val="10"/>
            <rFont val="SimSun"/>
            <charset val="134"/>
          </rPr>
          <t xml:space="preserve">
4PCS 3-21-23 STF#7879 SPC</t>
        </r>
      </text>
    </comment>
    <comment ref="H1075" authorId="0" shapeId="0" xr:uid="{456AF77E-18DB-B34D-B046-D6F1730F5AD7}">
      <text>
        <r>
          <rPr>
            <sz val="10"/>
            <rFont val="SimSun"/>
            <charset val="134"/>
          </rPr>
          <t>4PCS 4-11-23 ST002394 LIPA A</t>
        </r>
      </text>
    </comment>
    <comment ref="G1076" authorId="0" shapeId="0" xr:uid="{F257F776-6D11-E345-989F-3B171FDC40BF}">
      <text>
        <r>
          <rPr>
            <sz val="10"/>
            <rFont val="SimSun"/>
            <charset val="134"/>
          </rPr>
          <t>IN 4PCS 01.03.26 DR79941 SPC HACKET
IN 4PCS 12.14.25 DR#79740 SPC
IN 2PCS 9.4.25 DR#79076 SPC HACKET
IN 4PCS 4.30.25 DR#78020 LIPA A ROI
4PCS 12-19-24 DR085384 DRAKESTER
IN 1PCS 12-04-24 DR#75738 SPC BRIAN
IN 1PCS 11/02/24 DR#76697 SPC KUYA HACKET
IN 1PCS 09/09/24 DR#76527 SPC KUYA MIKE 
IN 4PCS 07/29/24 DR#064461 DRAKESTER (LIPA A)
IN 4PCS 06/06/24 DR#75177 SPC KUYA HACKET
4PCS 11-13-23 DR#74403 SPC
4PCS 9-14-23 DR#74209 SPC</t>
        </r>
      </text>
    </comment>
    <comment ref="H1076" authorId="0" shapeId="0" xr:uid="{3910B64A-F85F-774D-913B-3E8B5763D19E}">
      <text>
        <r>
          <rPr>
            <sz val="10"/>
            <rFont val="SimSun"/>
            <charset val="134"/>
          </rPr>
          <t>12.14.25
53250 4PCS ALY
11.15.25
52361 4PCS ATE ALY
OUT 2PCS 8.17.25 DR#78417 LIPA A
OUT 1PCS 6.18.25 DR#78324 SPC HACKET
OUT 4PCS 4.24.25 DR#77611 BIÑAN
OUT 4PCS 2.5.25 DR#76960 BIÑAN
10/26/24
38779 1PC SALES
09/02/24
37286 1PC SALES DAHLIA
OUT 4PCS 07/30/24 DR#75358-59 LIPA A
OUT 06/01/24 34755 4PCS SALES BEL
4pcs 11-16-23 JO#29562 LEN
2PC 12-06-2021 ST001526 SPC
2PCS 11/01/2021 JO#11405 ELRICK</t>
        </r>
      </text>
    </comment>
    <comment ref="G1077" authorId="0" shapeId="0" xr:uid="{7B8C5E7A-DB8B-B94D-A3CF-14F63AE6D898}">
      <text>
        <r>
          <rPr>
            <sz val="10"/>
            <rFont val="SimSun"/>
            <charset val="134"/>
          </rPr>
          <t>IN 6PCS 11.21.25 DR#147971 DRAKESTER (25)
IN 3PCS 11.4.25 DR#144210 DRAKESTER
IN 4PCS 10.22.25 DR#79682 SPC ROBIN
IN 3PCS 10.18.25 DR#79675 SPC BRY
IN 4PCS 9.22.25 DR#135389 DRAKESTER
IN 1PC 9.19.25 DR#78935 S.V
IN 1PC 9.18.25 DR#79604 SPC HACKET
IN 7PCS 6.19.25 DR#116606 DRAKESTER
IN 1PCS 5.29.25 DR#78761 SPC HACKET
IN 2PCS 5.21.25 DR#78049 LIPA A
IN 4PCS 5.21.25 DR#77742 SPC HACKET
IN 4PC 5.9.25 DR#77717 SPC ROI
IN 4PCS 3.28.25 DR#77371 SPC HACKET
in 1pc 3.4.25DR#1935 GUDA
2PCS 1-30-25 DR#091389 DRAKESTER 
----------------------------------------------
2PCS 12-19-24 DR085384 DRAKESTER
IN 2PCS 12-05-24 DR#75741 SPC KUYA MIKE
IN 2PCS 12-04-24 DR#75737 SPC KUYA MIKE
IN 2PCS 11/21/24 DR#75716 SPC
IN 4PCS 09/30/24 DR#76618 SPC KUYA MIKE
IN 2PCS 09/29/24 DR#76097 LIPA A
IN 8PCS 08/27/24 DR#76555 SPC KUYA HACKET
IN 2PCS 08/24/24 DR#76077 LIPA A
IN 4PCS 06/26/24 DR# SPC MASTER
IN 4PCS 06/15/24 DR#75210 SPC KUYA MIKE
IN 4PCS 06/06/24 DR#75177 SPC KUYA HACKET
IN 2PCS 03/20/24 DR#73434 LIPA A
1PC  2-3-24 DR#74646 SPC
4pcs 1-29-24 DR#74633 SPC
1PC 1-22-24 DR#7337 LIPA A
3pcs 1-22-24 DR#74620 SPC
5PC 1-12-24 DR# SPC
1PC 12-27-23 DR#73319 LIPA A
4PCS 11-26-23 DR#74447 SPC
3PCS 11-23-23 DR# LIPA A
1pc 11-23-23 DR#74439 SPC
1PC 11-10-23 DR#72693 LIPA A
4PCS 10-26-23 DR# SPC
4PCS 9-14-23 DR#74209 SPC
2PCS 8-22-23 DR#74100 SPC
2PCS 7-12-23 DR#73245 SPC
4PCS 7-6-23 SPC
4PCS 4-5-23 STf#2380 SPC</t>
        </r>
      </text>
    </comment>
    <comment ref="H1077" authorId="0" shapeId="0" xr:uid="{6D6CD064-19E0-984B-85E4-F3B9C083C919}">
      <text>
        <r>
          <rPr>
            <sz val="10"/>
            <rFont val="SimSun"/>
            <charset val="134"/>
          </rPr>
          <t>01.30.26
54443 2PCS HANNAH
12-15-25
4 PCS OUT 53301 MARIBEL
12.14.25
53255 1PC JARVIS
11-4-25
2 PCS 51959 ALY
10-25-25
4 PCS 51731 ALY
OUT 4PCS 10.7.25 DR#79296 A
9.18.25
50637 4PCS JARVIS
8-3-25
4 PCS 49340 JARVIS
OUT 1PCS 7.10.25 DR#78360 SPC RONNIE
6-2-25
2 PCS 47092 MARLO
5-22-25
 4PCS 46627 JARVIS
5-11-25
4 PCS 46244 ALY
5-1-25
4 PCS 45962 JARVIS
2 PC OUT 3-4-25 JO43606 MARLO
5 PCS OUT 3-1-25 JO43552  JARVIS
2PC OUT 1/13/25 JO41677 MARIBEL 
OUT 2PCS 01-02-25 DR#75540 LIPA A
OUT 11-19-24 DR#75470 2PCS LIPA A
11/09/24
39571 2pcs sales marlo
09/29/24
38065 4PCS SALES BEL
09/22/24
37864 2PCS SALES BEL
08/31/24
37276 4PCS SALES JARVIS
08/24/24
37033 4PCS SALES MARLO
08/23/24
37056 2PCS SALES JARVIS
08/18/24
36880 2PCS SALES JARVIS
OUT 2PCS 08/08/24 REF#75672 STC SERVICE
OUT 06/20/24 35278 4PCS SALES 
MARLO
OUT 03/20/24 32829 2PCS SALES OFFICE
OUT 03/04/2024 32413 4PCS SALES LEN
1PC 2-16-24 31958 BEL
2PCS 1-22-24 JO#31261 BEL
4PCS 1-18-24 JO#31165 LEN
2PCS 12-27-23 JO#30507 JARVIS
3PCS 12-22-23 JO#30458 JARVIS
4PCS 11-23-23 JO#29717 LEN
2PCS 11-12-23 29433 LEN
3PCS 11-8-23 DR#74264 SPC
4PC 9-20-23 JO#28308 JARVIS
\4PCS 9-11-23 JO#28088 JARVIS
4PCS 8-14-23 JO#27495 MARLO
2PCS 7-16-23 JO#26768 JARVIS</t>
        </r>
      </text>
    </comment>
    <comment ref="G1078" authorId="0" shapeId="0" xr:uid="{2D37962A-474A-EB4A-B43C-759DBAD6D2F4}">
      <text>
        <r>
          <rPr>
            <sz val="10"/>
            <rFont val="SimSun"/>
            <charset val="134"/>
          </rPr>
          <t>4PCS 12-8-23 DR#34222 DRAKESTER
4PCS 3-21-23 STF#7879 SPC</t>
        </r>
      </text>
    </comment>
    <comment ref="H1078" authorId="0" shapeId="0" xr:uid="{BA41B0CF-ECEC-1B47-B7CA-5164D7BB68DC}">
      <text>
        <r>
          <rPr>
            <sz val="10"/>
            <rFont val="SimSun"/>
            <charset val="134"/>
          </rPr>
          <t>4PCS 12-27-23 JO#30604 JACKO
4PCS 10-30-23 DR# SPC
4PCS 10-18-23 DR#73925 LIPA A</t>
        </r>
      </text>
    </comment>
    <comment ref="G1080" authorId="0" shapeId="0" xr:uid="{BA11710D-64C8-D44E-9102-BFFF4F367F30}">
      <text>
        <r>
          <rPr>
            <sz val="10"/>
            <rFont val="SimSun"/>
            <charset val="134"/>
          </rPr>
          <t>IN 1PCS 01.09.26 DR79951-53 SPC HACKET
IN 2PCS 12.29.25 DR#79921-22 SPC HACKET
IN 2PCS 9.26.25 DR#79615 SPC HACKET
IN 1PCS 7.9.25 DR#79082 SPC RONNIE
IN 3PCS 9.4.25 DR#79076 SPC HACKET
IN 4PCS 6.15.25 DR#78793 SPC
IN 4PCS 6.7.25 DR#78068 LIPA A
IN 2PCS 4.3.25 DR#77387 SPC HACKET
IN 2PCS 3.29.25 DR#77381 SPC MIKE
IN 2PCS 10-18-24 DR#76665 SPC KUYA HACKET
IN 3PCS 07/21/24 DR#75242 SPC MASTER
IN 2PCS 07/06/24 DR#75226 SPC MASTER
IN 8PCS 04/29/24 DR#75010 SPC KUYA EMMAN
2pcs 1-22-24 DR#74620 SPC
1PC 12-10-23 DR# SPC
1PC 11-26-23 DR#74447 SPC
4PCS 9-14-23 DR#74209 SPC
4PCS 3-21-23 STF#7879 SPC</t>
        </r>
      </text>
    </comment>
    <comment ref="H1080" authorId="0" shapeId="0" xr:uid="{19DFA42A-3415-FD4E-8451-E16958E535A3}">
      <text>
        <r>
          <rPr>
            <sz val="10"/>
            <rFont val="SimSun"/>
            <charset val="134"/>
          </rPr>
          <t>1-6-26
1 PC OUT 53910 JARVIS
12-26-25
2 PCS OUT 53596 ALY
OUT 2PCS 9.6.25 DR#78447 LIPA A HACKET
7-23-25
4 PCS 48919 ALY
6.7.25
47224 4PCS BEL
OUT 4PCS 5.28.25 DR#77990 SPC HACKET
OUT 2PCS 5.6.25 DR#77640 SPC ALWIN
3.24.25
44317 1pPC BEL
3-3-25
1 PC OUT JO43587 MARIBEL
1-31-25
42373 4PCS SALES BEL
07/29/24
36338 2PCS SALES BEL
OUT 07/03/24 35646 3PCS SALES LEN 
OUT 06/02/24 34801 2PCS SALES JARVIS 
OUT 04/12/24 33359 4PCS SALES LEN
2PCS 12-13-23 JO#30202 JOHNLY
2PCS 12-9-23 30101 JOHNLY
1pc 11-18-23 JO#29567 LEN
4PCS 4-8-23 STF#2386 LIPA A</t>
        </r>
      </text>
    </comment>
    <comment ref="G1081" authorId="0" shapeId="0" xr:uid="{D65607E0-9D84-8A42-8C9A-E49EA3F21C89}">
      <text>
        <r>
          <rPr>
            <sz val="10"/>
            <rFont val="SimSun"/>
            <charset val="134"/>
          </rPr>
          <t>IN 2PCS 12.29.25 DR#79921-22 SPC HACKET
IN 2PCS 11.14.25 DR#79878 SPC HACKET
IN 4PCS 10.18.25 DR#79675 SPC BRY
IN 1PC 5.9.25 DR#77717 SPC ROI
IN 2PCS 1-8-25 DR#76876 SPC KUYA HACKET
IN 4PCS 12-03-24 DR#75734 SPC KUYA ALWIN
IN 4PCS 11/09/24 DR#76594 SPC
IN 3PCS 08/28/24 DR#68708 DRAKESTER
IN 4PCS 07/29/24 DR#064460 DRAKESTER (STC)
IN 4PCS 04/05/24 DR#31665 SVB
IN 4PCS 03/14/24 DR#74868 SPC
IN 1PC 03/11/24 DR#73424 LIPA A
4pcs 2-13-24 74815 spc
4PCS 2-2-24 DR#74640 SPC
2pcs 1-27-24 DR#74630 SPC
4PC 1-12-24 DR# SPC
2PCS 10-26-23 DR# SPC
4PCS 7-6-23 SPC
4PCS 3-21-23 STF#7879 SPC</t>
        </r>
      </text>
    </comment>
    <comment ref="H1081" authorId="0" shapeId="0" xr:uid="{27213795-DE33-B849-B665-97A45BEAF2F8}">
      <text>
        <r>
          <rPr>
            <sz val="10"/>
            <rFont val="SimSun"/>
            <charset val="134"/>
          </rPr>
          <t>12-17-25
2 PCS 53181 JARVIS
11-11-25
2 PCS  52016  ROSE
OUT 4PCS 5.28.25 DR#77990 SPC HACKET
4-21-25
 1 PC JO45488 MARLO
3-3-25
2 PCS OUT JO43588 MARIBEL
2-21-25 2PCS OUT  JO43252 MARIBEL 
2pc out 1/6/25 jo41465 dalia
12-01-2024
4pcs out sales jo#40237 aly
10/20/2024	38669 4PCS SALES
OUT 3PCS 08/22/24 DR#75381 SPC KUYA EMMAN (OLD DOT)
OUT 4PCS 04/22/24 DR#74785 SPC SIR ADWIN
OUT 04/06/24 33132 4PCS SALES BEL
4pcs 2-23-24 DR#74686 LIPA A
OUT 2-3-24 DR#74658-59 1PC SPC
OUT 01-27-2024
31415 2PCS SALES MARIBEL (1PC FROM SPC NO IN)
2PCS 12-13-23 JO#30202 JOHNLY
2PCS 12-9-23 30101 JOHNLY
1pc 11-18-23 JO#29567 LEN
4PCS 4-8-23 STF#2386 LIPA A</t>
        </r>
      </text>
    </comment>
    <comment ref="G1082" authorId="0" shapeId="0" xr:uid="{1DC10773-AB18-234D-A975-0870635045D6}">
      <text>
        <r>
          <rPr>
            <sz val="10"/>
            <rFont val="SimSun"/>
            <charset val="134"/>
          </rPr>
          <t>IN 4PCS 10-18-24 DR#76665 SPC KUYA HACKET
4PCS 12-15-23 DR#74531 SPC
4PCS 9-30-23 SPC
4PCS 9-14-23 DR#74209 SPC
4PCS 3-21-23 STF#7879 SPC</t>
        </r>
      </text>
    </comment>
    <comment ref="H1082" authorId="0" shapeId="0" xr:uid="{88B12688-84E1-1942-83AE-7183FD558938}">
      <text>
        <r>
          <rPr>
            <sz val="10"/>
            <rFont val="SimSun"/>
            <charset val="134"/>
          </rPr>
          <t>3-2-25 
1 PC OUT JO43561 ALY
11/16/2024	39894 1PC SALES
4PCS 12-15-23 JOI#30321 ROSE
4PCS 9-30-23 JO#28448 MARLO
4PCS 9-21-23 JO#28300 MARLO
4PCS 4-21-23 JO#24762 BEL</t>
        </r>
      </text>
    </comment>
    <comment ref="G1083" authorId="0" shapeId="0" xr:uid="{3B2F08ED-439F-2F43-B692-7A527C0FCD54}">
      <text>
        <r>
          <rPr>
            <sz val="10"/>
            <rFont val="SimSun"/>
            <charset val="134"/>
          </rPr>
          <t xml:space="preserve">
IN 4PCS 09/09/24 DR#76529 SPC MASTER
IN 4PCS 06/29/24 DR# SPC KUYA HACKET 
IN 4PCS 06/15/24 DR#75210 SPC KUYA MIKE
1pc 8-22-23 STA CRUZ
3PCS 8-22-23 DR#73284 LIPA A
1PC 8-6-23 DR#73267 LIPA A
4PCS 6-9-23 SPC</t>
        </r>
      </text>
    </comment>
    <comment ref="H1083" authorId="0" shapeId="0" xr:uid="{7730310A-8C0E-A64E-8BA1-53C5B8D2A156}">
      <text>
        <r>
          <rPr>
            <sz val="10"/>
            <rFont val="SimSun"/>
            <charset val="134"/>
          </rPr>
          <t>OUT 07/10/24 35870 4PCS SALES LEN
4PCS 10-5-23 JO#28603 JARVIS
2PCS 8-5-23 JO#27276 BEL
3PCS 7-29-23 JO#27084 JARVIS</t>
        </r>
      </text>
    </comment>
    <comment ref="G1084" authorId="0" shapeId="0" xr:uid="{33569A23-9F67-BC45-ACFD-549EED578ECD}">
      <text>
        <r>
          <rPr>
            <sz val="10"/>
            <rFont val="SimSun"/>
            <charset val="134"/>
          </rPr>
          <t>IN 4PCS 01.06.26 DR79948-49 SPC ROBIN
IN 4PCS 01.03.26 DR79941 SPC HACKET
IN 4PCS 12.11.25 DR#80301 SNV BRY
IN 8PCS 8.11.25 DR#79006-07 SPC EMMAN
IN 4PCS 7.27.25 DR#78900 SPC RONNIE
IN 2PCS 7.27.25 DR#78899 SPC RONNIE
IN 2PCS 7.26.25 DR#78572 LIPA A
IN 1PCS 6.15.25 DR#78793 SPC
IN 4PCS 6.13.25 DR#78075 LIPA A
IN 3PCS 2.20.25 DR#77030 SPC ALWIN
IN 1-30-25 4PCS  DR#77009 SPC HACKET
---------------------------------------------
IN 4PCS 12-03-24 DR#75734 SPC KUYA ALWIN
IN 4PCS 10/23/24 DR#76677 SPC BOSS SAM
IN 1PC 10-18-24 DR#76665 SPC KUYA HACKET
IN 4PCS 09/09/24 DR#76529 SPC MASTER
IN 2PCS 08/31/24 DR#76561 SPC SERVICE
IN 4PCS 06/26/24 DR#75197 SPC MASTER
IN 4PCS 06/15/24 DR#75210 SPC KUYA MIKE
IN 2PCS 05/06/24 DR# SPC MASTER
IN 6PCS 03/30/31 DR#74886 SPC KUYA HACKET
4pcs 1-29-24 DR#74633 SPC
1PC  11-26-23 DR#74447 SPC
4PCS 11-13-23 DR#74403 SPC
4PCS 10-26-23 DR# SPC
4PCS 9-14-23 DR#74209 SPC</t>
        </r>
      </text>
    </comment>
    <comment ref="H1084" authorId="0" shapeId="0" xr:uid="{7104957E-1AB3-0749-A32C-178111FE9FE0}">
      <text>
        <r>
          <rPr>
            <sz val="10"/>
            <rFont val="SimSun"/>
            <charset val="134"/>
          </rPr>
          <t>OUT 2PCS 03.03.26 DR80885 SPC HACKET
01.16.26
54273 2PCS BEL
OUT 4PCS 12.29.25 DR80079 LIPA A jerome
11.16.25
52300 4PCS JARVIS
11-15-25
2 PCS 52335 ALY
OUT 4PCS 11.7.25 DR#80006 SPC HACKET
7.27.25
49079 2PCS ALY
7.26.25
48988 4PCS JARVIS
7-3-25
2 PCS 48341  ALY
6.13.25
47380 4PCS JARVIS
4-22-25
2 PCS 45479 MARIBEL 
OUT 1PCS 4.16.25 DR#77601 SPC HACKET
OUT 1PCS 3.18.25 DR#77167 SPC MIKE
4PC OUT 1/20/25 JO41945 DALIA
OUT 1-18-25 4PCS JO#41850 MAM JEN SALES
OUT 4PCS 11/25/24 JO40064 JARVIS
OUT 4PCS 11/02/24 DR#75466 SPC KUYA HACKET
09/24/24
37944 1PC SALES DAHLIA
08/27/24
37125 3PCS SALES BEL
08/26/24
37104 1PC SALES
37090 2PCS SALES
OUT 06/24/24 35393 4PCS SALES  MARLO
OUT 2PCS 05/24/24 DR#75085 SPC KUYA HACKET
OUT 05/11/24 34168 2PCS SALES JOHNLY
OUT 04/29/24 337830 2PCS SALES ROSE
OUT 03/24/24 32934 2PCS SALES MARLO
OUT 03/06/24 32501 4PCS SALES JARVIS
OUT 01-09-2024 
30951 2PCS SALES JARVIS
2PCS 12-21-23 JO#30445 JACKO
1PC 12-16-23 DR#73974 SPC
4PCS 10-5-23 JO#28603 JARVIS
2PCS 8-5-23 JO#27276 BEL
3PCS 7-29-23 JO#27084 JARVIS</t>
        </r>
      </text>
    </comment>
    <comment ref="G1085" authorId="0" shapeId="0" xr:uid="{0FDF38E4-E2CC-674F-ABA6-9DD5DB301603}">
      <text>
        <r>
          <rPr>
            <sz val="10"/>
            <rFont val="SimSun"/>
            <charset val="134"/>
          </rPr>
          <t>4pcs 1-25-22 STF#5810 SPC</t>
        </r>
      </text>
    </comment>
    <comment ref="H1085" authorId="0" shapeId="0" xr:uid="{18593493-CE6B-9241-BA3B-A030F7B4CB0C}">
      <text>
        <r>
          <rPr>
            <sz val="10"/>
            <rFont val="SimSun"/>
            <charset val="134"/>
          </rPr>
          <t>2PCS 10-28-22 STF#2039 SPC
2pcs 2-22-22 stf#1643 SPC
3PCS 12-24-21 STF#1560 SPC</t>
        </r>
      </text>
    </comment>
    <comment ref="G1086" authorId="0" shapeId="0" xr:uid="{CC9CC715-FCE9-7642-829E-C00256095690}">
      <text>
        <r>
          <rPr>
            <sz val="10"/>
            <rFont val="SimSun"/>
            <charset val="134"/>
          </rPr>
          <t>IN 2PCS 02.28.26 DR168721 DRAKESTER (5,267.6) LESS 250 ON NET PROMO 
IN 1PCS 12.29.25 DR#79921-22 SPC HACKET
IN 8PCS 11.29.25 DR#149808 DRAKESTER
IN 4PCS 11.4.25 DR#144210 DRAKESTER
IN 4PCS 9.13.25 DR#78637 LIPA A
IN 3PCS 3.22.25 DR#77443 SPC BRY
IN 4PCS 3.16.25 DR#77099 LIPA A
IN 1PCS 2.26.25 DR#77037 SPC HACKET
IN 1PC 2.26.25 DR#95834 DRAKESTER
IN 2PCS 10/23/24 DR#76677 SPC BOSS SAM
IN 2PCS 08/28/24 DR#68708 DRAKESTER
IN 4PCS 07/29/24 DR#064461 DRAKESTER (LIPA A)
IN 2PCS 4/17/24 DR#SP0025 SPC 
IN 3PCS 03/16/24 DR#74870 SPC
4PCS 2-2-24 DR#74640 SPC
2PCS 1-27-24 DR#73343 LIPA A
2PCS 7-12-23 DR#73245 SPC
4PCS 6-9-23 SPC</t>
        </r>
      </text>
    </comment>
    <comment ref="H1086" authorId="0" shapeId="0" xr:uid="{79EE6917-4246-3C48-86E7-AACB56E9C775}">
      <text>
        <r>
          <rPr>
            <sz val="10"/>
            <rFont val="SimSun"/>
            <charset val="134"/>
          </rPr>
          <t>01.28.26
54651 2PCS MARLO
OUT 4PCS 12.26.25 DR#80077 SPC HACKET
12-26-25
3 PCS OUT 53609 MARIBEL
12-9-25
2 PCS 52935 ALY
10-14-25
4 PCS 51402 MARIBEL
9-9-25
4 PCS 50190 ROSE
3.16.25
44170 4PCS DHALIA
2-27-25 
4PCS OUT JO43384 DALIA
2.3.25
42462 1PC JARVIS
---------------------------------------------
09/16/24
37702 2PCS SALES JARVIS
OUT 2PCS 08/17/24 DR#75373 SPC (OLD DOT)
OUT 4PCS 07/30/24 DR#75358-59 LIPA A
OUT 03/16/24 32744 2PCS SALES JHONLY
OUT 3/09/24 32558 4PCS SALES JARVIS
OUT 01-27-2024
31417 2PCS SALES MARIBEL (FROM LIPA A NO IN 4PCS)
4PCS 1-9-24 DR#73371 SPC OLD DOT
2PCS 7-7-23 JO#26575 HANNAH</t>
        </r>
      </text>
    </comment>
    <comment ref="G1087" authorId="0" shapeId="0" xr:uid="{385D3EC0-94BB-2944-A384-E9652C6BACAB}">
      <text>
        <r>
          <rPr>
            <sz val="10"/>
            <rFont val="SimSun"/>
            <charset val="134"/>
          </rPr>
          <t>2PCS 3-15-23 STF#7843 SPC</t>
        </r>
      </text>
    </comment>
    <comment ref="H1087" authorId="0" shapeId="0" xr:uid="{4AF295B8-AFB5-2241-8B15-4735C2A7A0AD}">
      <text>
        <r>
          <rPr>
            <sz val="10"/>
            <rFont val="SimSun"/>
            <charset val="134"/>
          </rPr>
          <t>2PCS 3-18-23 JO#22721 MARLO</t>
        </r>
      </text>
    </comment>
    <comment ref="G1088" authorId="0" shapeId="0" xr:uid="{DEBE1B14-5EDC-734A-9483-F3AD6CD35B05}">
      <text>
        <r>
          <rPr>
            <sz val="10"/>
            <rFont val="SimSun"/>
            <charset val="134"/>
          </rPr>
          <t>IN 8PCS 11.29.25 DR#149808 DRAKESTER
IN 4PCS 9.22.25 DR#135389 DRAKESTER
IN 4PCS 6.7.25 DR#78779 SPC HACKET
IN 4PCS 5.14.25 DR#77728 SPC HACKET
IN 4PCS 3.18.25 DR#77434 SPC HACKET
IN 4PCS 09/09/24 DR#76527 SPC KUYA MIKE 
IN 4PCS 07/08/24 DR#75229 SPC KUYA DANCRIS
IN 1PCS 04/25/24 DR#73460 LIPA A
4PCS 10-26-23 DR# SPC
4PCS 7-6-23 SPC
4PCS 6-9-23 SPC</t>
        </r>
      </text>
    </comment>
    <comment ref="H1088" authorId="0" shapeId="0" xr:uid="{40FB1189-DB0A-6840-8E95-72CF43E02920}">
      <text>
        <r>
          <rPr>
            <sz val="10"/>
            <rFont val="SimSun"/>
            <charset val="134"/>
          </rPr>
          <t>OUT 4PCS 02.11.26 DR80246 SPC HACKET
OUT 6PCS 12.3.25 DR#80047 SPC HACKET
OUT 4PCS 5.28.25 DR#77989 STC
3.31.25
44724 4PCS DHALIA
02-08-2025 OUT
4PCS JO42707 MARIBEL
OUT 4PCS 08/29/24 DR#75389 SPC KUYA HACKET
OUT 04/25/24 33774 1PCS SALES
JARVIS
OUT 03/18/24 32769 4PCS SALES ROSE
4PCS 10-10-23 JO#28704 ROSE
4pcs 6-15-23 stf#2506 spc</t>
        </r>
      </text>
    </comment>
    <comment ref="G1089" authorId="0" shapeId="0" xr:uid="{7E456747-DA38-C744-9CBF-EC5313E64E70}">
      <text>
        <r>
          <rPr>
            <sz val="10"/>
            <rFont val="SimSun"/>
            <charset val="134"/>
          </rPr>
          <t>IN 3PCS 02.28.26 DR168721 DRAKESTER (6111.20) LESS 250 ON NET PROMO 
IN 8PCS 11.29.25 DR#149808 DRAKESTER
IN 4PCS 11.4.25 DR#144210 DRAKESTER
IN 2PCS 9.22.25 DR#135389 DRAKESTER
IN 14PCS 8.13.25 DR#127335 DRAKESTER
IN 2PCS 8.6.25 DR#126084 DRAKESTER
IN 4PCS 4.30.25 DR#78020 LIPA A ROI
IN 4PCS 2.26.25 DR#95834 DRAKESTER
IN 2PCS 2.19.25 DR#77065 LIPA A
IN 2PCS 07/29/24 DR#064463 DRAKESTER
IN 2PCS 07/29/24 DR#064460 DRAKESTER (STC)
IN 4PCS 07/06/24 DR#75226 SPC MASTER
IN 2PCS 05/06/24 DR# SPC MASTER
IN 4PCS 4/17/24 DR#SP0025 SPC
4PCS 1-27-24 DR#74630 SPC
4PCS 11-26-23 DR#74447 SPC
4PCS 10-26-23 DR# SPC</t>
        </r>
      </text>
    </comment>
    <comment ref="H1089" authorId="0" shapeId="0" xr:uid="{0F6ADE5D-D921-BE49-B7A6-CDB86D90F778}">
      <text>
        <r>
          <rPr>
            <sz val="10"/>
            <rFont val="SimSun"/>
            <charset val="134"/>
          </rPr>
          <t>OUT 4PCS 02.14.26 DR80859 SPC ROI
12.28.25
53646 3PCS ALY
OUT 4PCS 12.2.25 DR#80045 LIPA A ROI
10-18-25
4 PCS 51509 JARVIS
9-2-25
2 PCS 50139 ALY 
OUT 10PCS 8.18.25 DR#78414 SPC EMMAN
OUT 4PCS 8.9.25 DR#78399 SPC C/O S.V
OUT 2PCS 8.7.25 DR#78395 SPC HACKET
OUT 2PC 5.5.25 DR#77638 SPC EMMAN
2 PCS OUT 3-14-25 JO43987 MARIBEL
2 PCS OUT 2-20-25 JO43077 ALY
1 PC OUT 2-15-25 JO42943 ALY
4PC OUT 1/25/25 JO42133 JARVIS
OUT 2PCS 07/30/24 REF#75671 STC MASTER
OUT 2PCS 07/15/24 REF#75651 STC KUYA EMAN
OUT 4PCS 06/29/24 DR#75123 SPC KUYA HACKET
OUT 05/03/24 34012 2PCS SALES ROSE 
4pcs 2-8-24 dr#74668 SPC
4PCS 1-9-24 DR#73372 SPC OLD DOT
4PCS 11-10-23 DR#74263 SPC</t>
        </r>
      </text>
    </comment>
    <comment ref="G1090" authorId="0" shapeId="0" xr:uid="{4C91BF7D-10C6-C143-A71E-E65385631249}">
      <text>
        <r>
          <rPr>
            <sz val="10"/>
            <rFont val="SimSun"/>
            <charset val="134"/>
          </rPr>
          <t>IN 12PCS 11.29.25 DR#149809 DRAKESTER (5,945)
IN 2PCS 10.31.25 DR#79853-54  HACKET
IN 4PCS 10.29.25 DR#78747 LIPA A
IN 8PCS 9.26.25 DR#136274 DRAKESER  (5,945.63)
IN 4PCS 7.9.25 DR#79082 SPC RONNIE
IN 4PCS 6.26.25 DR#77775-76 SPC EMMAN
IN 4PCS 6.12.25 DR#77214 BINAN BRY
IN 2PCS 5.26.25 DR#78753 SOC BRIAN
IN 4PCS 5.5.25 DR#77711 SPC ROI
IN 2PCS 4.15.25 DR#77541 LIPA A
IN 9PCS 4.2.25 DR#77385 SPC HACKET
IN 1PCS 2.26.25 DR#77037 SPC HACKET
IN 1-30-25 4PCS  DR#77009 SPC HACKET
----------------------------------------------
IN 4PCS 10/30/24 DR#76691 SPC
IN 2PCS 09/16/24 DR#76577 SPC KUYA EMMAN
IN 4PCS 08/27/24 DR#76555 SPC KUYA HACKET
IN 2PCS 07/29/24 DR#064461 DRAKESTER (LIPA A)
IN 2PCS 07/29/24 DR#064460 DRAKESTER (STC)
IN 8PCS 4/17/24 DR#SP0025 SPC
IN 4PCS 04/14/24 DR#734151 LIPA A
IN 2PCS 04/10/24 DR#SP0020 SPC
4PCS 2-14-24 74817 SPC
4pcs 2-13-24 74815 spc
2PCS 2-8-24 STA CRUZ
4PCS 12-26-23 DR#74539 SPC
4PCS 11-13-23 DR#74403 SPC
4PCS 7-6-23 SPC</t>
        </r>
      </text>
    </comment>
    <comment ref="H1090" authorId="0" shapeId="0" xr:uid="{FF96E29C-95CC-784B-B61F-A9BF0D53EEA3}">
      <text>
        <r>
          <rPr>
            <sz val="10"/>
            <rFont val="SimSun"/>
            <charset val="134"/>
          </rPr>
          <t>OUT 3PCS 02.11.26 DR80246 SPC HACKET
12-12-25
5 PCS OUT 53109 ALY
11-21-25
4 PCS 52521 ALY
10-30-25
4 PCS 51860 JARVIS
10-29-25
2 PCS 51854 JARVIS
OUT 4PCS 9.30.25 DR#79282 SPC HACKET
9-25-25
4 PCS 50883 ALY
8-28-25
4 PCS 50029 MARIBEL
OUT 2PCS 8.7.25 DR#78395 SPC HACKET
OUT 2PCS 6.12.25 DR#77921 SPC 
5-27-25
4 PCS 46879 MARLO
OUT 2PCS 5.20.25 DR#77972 SPC ALWIN
4-15-25
4 PCS OUT JO45361 MARIBEL
4-9-25
2 PCS OUT JO45116 MARIBEL
4 PCS OUT 3-10-25 JO43820 ROSE
4PC OUT 1/20/25 JO41937 ALY
OUT 2PCS 10/12/24 DR#75440 SPC 
09/23/24
37827 2PCS SALES MARIA
09/11/24
37557 2PCS SALES ROSE
OUT 2PCS 07/30/24 DR#75358-59 LIPA A
OUT 2PCS 07/30/24 REF#75671  STC MASTER
07/27/24
36298 4pcs sales bel
OUT 05/29/24 34694 4PCS SALES JARVIS
OUT 4PCS 04/25/24 DR#74791 SPC MASTER
OUT 2PCS 04/10/24 STC
OUT 2PCS 04/05/24 DR#74758 SPC  
OUT 03/14/24 2PCS SALES 32550
4pcs 2-23-24 DR#74686 LIPA A
4PCS 2-8-24 31762 SALES
OUT 01-24-2024
31306 2PCS SALES JARVIS
4PCS 12-9-23 JO#30133 MARLO
2pc 10-24-23 DR#73936 SPC
2pcs 10-11-23 dr#73916 spc</t>
        </r>
      </text>
    </comment>
    <comment ref="G1092" authorId="0" shapeId="0" xr:uid="{EB6764BD-C77A-2641-BB65-561F9EEBA660}">
      <text>
        <r>
          <rPr>
            <sz val="10"/>
            <rFont val="SimSun"/>
            <charset val="134"/>
          </rPr>
          <t>IN 4PCS 5-24-24 DR#75158 SPC</t>
        </r>
      </text>
    </comment>
    <comment ref="H1092" authorId="0" shapeId="0" xr:uid="{4A40E7CD-B919-0341-A99E-1213209003BB}">
      <text>
        <r>
          <rPr>
            <sz val="10"/>
            <rFont val="SimSun"/>
            <charset val="134"/>
          </rPr>
          <t>OUT 4PCS 07/04/24 DR#75130 SPC SERVICE</t>
        </r>
      </text>
    </comment>
    <comment ref="G1094" authorId="0" shapeId="0" xr:uid="{BBD7495F-FA5A-B043-A077-721C1CCB2B6E}">
      <text>
        <r>
          <rPr>
            <sz val="10"/>
            <rFont val="SimSun"/>
            <charset val="134"/>
          </rPr>
          <t>IN 4PCS 02.28.26 DR168721 DRAKESTER (4,971.20) LESS 250 ON NET PROMO 
IN 2PCS 02.19.26 DR80255 LIPA B
IN 2PCS 01.30.26 DR162088 DRAKESTER
IN 4PCS 01.09.26 DR80470 BIÑAN ROI
IN 4PCS 12.4.25 DR#79723 SPC BRY
IN 4PCS 10.22.25 DR#79684 SPC
IN 4PCS 10.22.25 DR#78737 LIPA A
IN 2PCS 8.30.25 DR#130916 DRAKESTER
IN 2PC 5.9.25 DR#77717 SPC ROI
IN 2PCS 4.16.25 DR#77543 LIPA A
IN 2PCS 4.5.25 DR#77521 LIPA A
IN 2PCS 3.22.25 DR#77444 SPC HACKET
8PCS 12-19-24 DR085384 DRAKESTER
IN 2PCS 12/11/24 DR#75747 SPC
IN 4PCS 12-10-24 DR#76143 LIPA A
IN 2PCS 12-10-24 DR#83873 DRAKESTER
IN 2PCS 12-03-24 DR#75733 SPC KUYA mike
IN 4PCS 11/05/24 DR#76584 SPC KUYA HACKET
IN 8PCS 10-21-24 DR#76669 SPC BRIAN
IN 4PCS 08/28/24 DR#68708 DRAKESTER
IN 2PCS 07/04/24 DR#75223 SPC KUYA HACKET
IN 4PCS 05/09/24 DR#75031 SPC MASTER
4pcs 3-3-23 STF#7783 SPC</t>
        </r>
      </text>
    </comment>
    <comment ref="H1094" authorId="0" shapeId="0" xr:uid="{4D2425FD-352C-0B45-8184-2407993FD163}">
      <text>
        <r>
          <rPr>
            <sz val="10"/>
            <rFont val="SimSun"/>
            <charset val="134"/>
          </rPr>
          <t>02.19.26
55298 2PCS JARVIS
55282 4PCS BEL
1-14-26
2PCS 54170 ALY
12-29-25
4 PCS 53707 JARVIS
12.1.25
52836 4PCS MARLO
10-21-25
4 PCS 51580 JARVIS
10-13-25
4 PCS 51327 JARVIS
7.29.25
49148 2PCS JARVIS
4 PCS OUT 3-19-25 JO44281
 MARIBEL
2PC OUT 2/6/25 JO42449 DALIA
OUT 4PCS 1.28.25 DR#76954 SPC
2PC OUT 1/11/25 JO41642 JARVIS
4pcs 12/10/24 jo40509 aly
4PCS 12/9/24 JO40514 DALIA
12-02-24
40279 2pcs sales dahlia
OUT 2PCS SALES 11/13/2024
JO39658 JARVIS
11/09/24
39407 2pcs sales jarvis
10/28/24
38848 4PCS SALES BEL
09/11/24
37519 2PCS SALES DAHLIA
37564 2PCS SALES DAHLIA
08/18/24
36875 4PCS SALES JARVIS
OUT 07/02/24 35635 2PCS SALES BEL
2PCS 1-9-24 DR#73372 SPC OLD DOT
2PCS 11-30-23 STA CRUZ</t>
        </r>
      </text>
    </comment>
    <comment ref="G1095" authorId="0" shapeId="0" xr:uid="{6CE67365-E5C1-A846-B645-0C8BC37BC4BE}">
      <text>
        <r>
          <rPr>
            <sz val="10"/>
            <rFont val="SimSun"/>
            <charset val="134"/>
          </rPr>
          <t>IN 2PCS 01.06.26 DR79948-49 SPC ROBIN
IN 4PCS 11.8.25 DR#79867 SPC ROI
IN 2PCS 10.9.25 DR#79653 SPC BRY
IN 4PCS 8.12.25 DR#79010 SPC SERVICE
IN 1PCS 11/27/24 DR#75728 SPC KUYA HACKET
IN 4PCS 11/02/24 DR#76697 SPC KUYA HACKET
4PCS 11-13-23 DR#74403 SPC
4PCS 10-26-23 DR# SPC
4PCS 3-21-23 STF#7879 SPC</t>
        </r>
      </text>
    </comment>
    <comment ref="H1095" authorId="0" shapeId="0" xr:uid="{B69437CA-F18C-4043-A35F-1D9F21A30841}">
      <text>
        <r>
          <rPr>
            <sz val="10"/>
            <rFont val="SimSun"/>
            <charset val="134"/>
          </rPr>
          <t>11-11-25
2 PCS 52191 JARVIS
OUT 4PCS 10.20.25 DR#79772 LIPA A
OUT 2PCS 8.21.25 DR#78424 SPC LALAMOVE
4-5-25
4 PCS OUT JO44908 ROSE
4PC OUT 1/3/25 JO41318 
11-04-2024
38897 4PCS SALES MARIBEL
OUT 04/12/24 33336 4PCS SALES OFFICE
4PCS 11-4-23 JO#29303 LEN
4PCS 5-11-23 JO#25230 JARVIS</t>
        </r>
      </text>
    </comment>
    <comment ref="G1096" authorId="0" shapeId="0" xr:uid="{F7C59849-4DD6-FE40-AF05-A158B1CC0D10}">
      <text>
        <r>
          <rPr>
            <sz val="10"/>
            <rFont val="SimSun"/>
            <charset val="134"/>
          </rPr>
          <t>IN 4PCS 02.11.26 DR80739-40 SPC HACKKET
IN 1PCS 01.22.26 DR79993 SPC RONNIE
IN 4PCS 12.26.25 DR79915-17 SPC HACKET
IN 4PCS 12.18.25 DR#78693 LIPA A
IN 2PCS 11.8.25 DR#79867 SPC ROI
IN 4PCS 10.18.25 DR#79675 SPC BRY
IN 4PCS 7.28.25 DR#78802 SPC BRY
IN 2PCS 6.19.25 DR#77756 SPC ALWIN
IN 4PCS 2.26.25 DR#77037 SPC MIKE
IN 2PCS 1-14-25 DR#76885 SPC KUYA MIKE
----------------------------------------------
1PCS 12-19-24 DR085384 DRAKESTER
IN 2PCS 12-14-24 DR#76852 SPC KUYA ALWIN
IN 1PCS 09/09/24 DR#76529 SPC MASTER
IN 4PCS 08/07/24 DR#76510 SPC KUYA HACKET
IN 2PCS 07/20/24 DR#76063 LIPA A
IN 4PCS 05/08/24 DR#73476 LIPA A
IN 2PCS 4/17/24 DR#SP0025 SPC
4pcs 1-29-24 DR#74633 SPC
2PCS 11-17-23 DR#74414 SPC
1PC 11/11/2023 DR# SPC
4PCS 9-14-23 DR#74209 SPC
4PCS 4-5-23 STf#2380 SPC
4PCS 3-23 STF#7896 SPC
4PCS 3-21-23 STF#7879 SPC</t>
        </r>
      </text>
    </comment>
    <comment ref="H1096" authorId="0" shapeId="0" xr:uid="{A81A8D27-B29A-9A49-8059-07AA6BD21566}">
      <text>
        <r>
          <rPr>
            <sz val="10"/>
            <rFont val="SimSun"/>
            <charset val="134"/>
          </rPr>
          <t>01.18.26
54342 2PCS ALY
12.18.25
53392 4PCS JARVIS
OUT 2PCS 11.29.25 DR#80035 LIPA A
11-6-25
3 PCS 52027 MARLO
OUT 4PCS 8.22.25 DR#78427 LIPA A
7-8-25
4 PCS 48487 ALY
OUT 2PCS 5.30.25 DR#77995 LIPA A
OUT 4PCS 4.30.25 DR#77628 SPC KUYA HACKET
4PC OUT 1/28/25 JO42209 DALIA
2PC OUT 1/13/25 JO41731 MARLO
11/23/24
40013 4PCS SALES DAHLIA
 OUT 2 PCS 11/02/2024
JO38985 ALY SALES
09/18/24
37757 1PC SALES MARLO
07/20/24
36108 4PCS SALES BEL
07/18/24
36093 2PCS SALES
OUT 04/24/24 33707 4PCS SALES JARVIS
OUT 4PCS 04/02/24 DR#74889 SPC
OUT 03/24/24 32888 2PCS SALES OFFICE
2PCS 11-17-23 JO#29529 JOHNLY
11/11/2023 29375 5PCS SALES
4PCS 8-11-23 JO#27421 JARVIS
4PCS 3-24-23 JO#23094 MARIBEL
4PCS 3-24-23 JO#23068 JARVIS</t>
        </r>
      </text>
    </comment>
    <comment ref="G1097" authorId="0" shapeId="0" xr:uid="{CA3C8FA7-6062-A848-AF9F-22F5CC2A7B28}">
      <text>
        <r>
          <rPr>
            <sz val="10"/>
            <rFont val="SimSun"/>
            <charset val="134"/>
          </rPr>
          <t>IN 4PCS 02.26.26 DR80262 LIPA A
IN 16PCS 11.29.25 DR#149808 DRAKESTER
IN 4PCS 11.8.25 DR#79867 SPC ROI
IN 2PCS 10.30.25 DR#78748 LIPA A
IN 5PCS 9.22.25 DR#78705 LIPA A
IN 2PCS 9.16.25 DR#79100 SPC HACKET
IN 2PCS 8.23.25 DR#79044 SPC HACKET
IN 4PCS 8.11.25 DR#79006-07 SPC EMMAN
IN 4PCS 7.27.25 DR#78899 SPC RONNIE
IN 2PCS 6.4.25 DR#78772 SPC HACKET
(2PCS ACTUAL 5.14.25)
IN 2PCS 4.2.25 DR#77385 SPC HACKET
IN 2PCS 3.29.25 DR#77381 SPC MIKE
IN 2PCS 3.13.25 DR#77093 LIPA A
2PCS 3-2-25 DR#77077  LIPA A
IN 2PCS 2.12.25 DR#77016 SPC
IN 2PCS 2.6.25 DR#77055 LIPA A
IN 4PCS 1-8-25 DR#76876 SPC KUYA HACKET
IN 2PCs 1-06-25 DR#76164 LIPA A
IN 2PCS 12-30-24 DR#76862 SPC KUYA RONNIE
IN 4PCS 12-04-24 DR#75738 SPC BRIAN
4PCS 12-02-24 DR#75732 SPC KUYA MIKE
IN 3PCS 11/27/24 DR#75728 SPC KUYA HACKET
IN 2PCS 205/55 R16 DR#76131 LIPA A
IN 2PCS 11/05/24 DR#76584 SPC KUYA HACKET
IN4PCS 10-21-24 DR#76669 SPC BRIAN
IN 4PCS 10-18-24 DR#76665 SPC KUYA HACKET
IN 4PCS 09/16/24 DR#76577 SPC KUYA EMMAN
IN 4PCS 09/03/24 DR#76562 SPC MASTER
IN 2PCS 07/29/24 DR#064460 DRAKESTER (STC)
IN 2PCS 07/08/24 DR#75229 SPC KUYA DANCRIS
IN 4PCS 06/15/24 DR#75210 SPC KUYA MIKE
IN 4PCS 06/08/24 DR#75179 SPC KUYA MIKE
IN 4PCS 05/15/24 DR#75041 SPC
IN 8PCS 03/30/31 DR#74886 SPC KUYA HACKET
2pcs 1-22-24 DR#74620 SPC
2pcs 1-6-24 dr#74603 SPC
4PCS 11-13-23 DR#74403 SPC
4pcs 9-15-23 DR# SPC
4PCS 9-14-23 DR#74209 SPC
4PCS 9-5-23 COMETS
2PCS 8-2-23 DR#73264 LIPA A
4PCS 7-6-23 SPC
4PCS 3-21-23 STF#7879 SPC</t>
        </r>
      </text>
    </comment>
    <comment ref="H1097" authorId="0" shapeId="0" xr:uid="{9A0CCBEF-28D4-2B40-A6C8-2CF9A94DF6A6}">
      <text>
        <r>
          <rPr>
            <sz val="10"/>
            <rFont val="SimSun"/>
            <charset val="134"/>
          </rPr>
          <t>02.26.26
55490 4PCS BEL
01.31.26
54688 4PCS ALY
OUT 4PCS 12.18.25 DR#80068 SPC HACKET
OUT 8PCS 12.3.25 DR#80047 SPC HACKET
OUT 4PCS 12.2.25 DR#80045 LIPA A ROI
OUT 2PCS 11.3.25 DR#79796 LIPA A
OUT 4PCS 10.28.25 DR#79786 SPC
9-22-25
4 PCS 50821 ROSE
9-14-25
2 PCS 50540 ALY
9-4-25
4 PCS 50246 MARIBEL
8.21.25
4PCS 49809 MARLO
8-16-25
2 PCS 49691 ALY
8-13-25
4 PCS 49613 JARVIS
7-25-25
4 PCS 49017 ALY
OUT 2PCS 5.10.25 DR#77646 SPC SERVICE
OUT 4PCS 4.12.25 DR#77579 LIPA A
4 PCS OUT 3-1-25 JO43495 MAM JEN 
4 PC OUT 2/6/25 JO42652 ALY
4PC OUT 1/9/25 JO41520 DALIA
4pc out 1/6/25 jo41478 jarvis
12-28-24
39947 2PCS SALES OFFICE
12-27-24
41122 2PCS SALES BEL
4PCS OUT 11/29/24 JO40213 JARVIS
11/26/24
40078 5pcs sales dahlia
OUT 3PCS 11/15/2024 JO39832 ALY
OUT 1PC 11/02/2024
JO38968 MARIBEL
10/26/24 
38813 4PCS SALES MARLO
09/15/24
37665 4PCS SALES JARVIS
09/03/24
37352 4PCS SALES BEL
08/28/24
37168 4PCS SALES JARVIS
OUT 2PCS 07/30/24 REF#75671  STC MASTER
out 2pcs 06/27/24 dr#75121 spc kuya hacket
OUT 05/25/24 34597 4PCS SALES BEL
OUT 05/02/24 33964 4PCS SALES MARLO
OUT 4/20/24 33649 4PCS SALES BEL
4PCS 2-10-24 31798 SALES
OUT 01-27-2024
31414 4PCS SALES MARIBEL
4PCS 9-18-23 JO#28274 JARVIS
4PCS 9-14-23 JO#28140 BEL
4PCS 9-5-23 JO#27948 BEL
2PCS 8-2-23 JO#27185 JARVIS
4PCS 7-17-23 STA CRUZ
4PCS 3-25-23 JO#23383 MARIBEL</t>
        </r>
      </text>
    </comment>
    <comment ref="G1098" authorId="0" shapeId="0" xr:uid="{92B3874E-8CF8-0B4D-87D0-684F777F39EC}">
      <text>
        <r>
          <rPr>
            <sz val="10"/>
            <rFont val="SimSun"/>
            <charset val="134"/>
          </rPr>
          <t>IN 4PCS 7.27.25 DR#78900 SPC RONNIE
IN 4PCS 6.15.25 DR#78793 SPC
IN 8PCS 07/08/24 DR#75229 SPC KUYA DANCRIS
IN 4PCS 05/18/24 DR#75041 SPC
IN 4PCS 5-17-24 DR#75040 SPC
4PCS 12-8-23 DR#34222 DRAKESTER</t>
        </r>
      </text>
    </comment>
    <comment ref="H1098" authorId="0" shapeId="0" xr:uid="{28A65458-8CED-D144-9C59-0E528162BAFF}">
      <text>
        <r>
          <rPr>
            <sz val="10"/>
            <rFont val="SimSun"/>
            <charset val="134"/>
          </rPr>
          <t>OUT 4PCS 9.24.25 DR#79275 SPC HACKET
6-16-25
4 PCS 47643 MARIBEL
OUT 2PCS 5.15.25 DR#77957 SPC HACKET
(2PCS ACTUAL 5.14.25)
OUT 1PCS 2.16.25 DR#77103 SPC
OUT 2PCS 2.14.25 DR#76992 STC
OUT 1PCS 10/26/24 DR#75441 SPC KUYA HACKET
OUT 06/20/24 35292 4PCS SALES LEN
OUT 5/17/2024 DR#75070 4PCS LIPA A
OUT 3/09/24 32546 4PCS SALES ROSE</t>
        </r>
      </text>
    </comment>
    <comment ref="G1100" authorId="0" shapeId="0" xr:uid="{38235472-491B-0F4B-BC1E-45FF7025555B}">
      <text>
        <r>
          <rPr>
            <sz val="10"/>
            <rFont val="SimSun"/>
            <charset val="134"/>
          </rPr>
          <t>1PCS 1-30-25 DR#091389 DRAKESTER 
IN 2PCS 1-8-25 DR#76876 SPC KUYA HACKET
IN 2PCS 01-04-25 DR#76869 SPC KUYA MIKE
IN 1PCS 12-27-24 DR#76858 SPC KUYA HACKET
IN 2PCS 12-10-24 DR#83873 DRAKESTER
IN 4PCS 07/29/24 DR#064461 DRAKESTER (LIPA A)
IN 1PCS 07/29/24 DR#064460 DRAKESTER (STC)
IN 4PCS 07/08/24 DR#75229 SPC KUYA DANCRIS
IN 4PCS 06/28/24 dr#73499 LIPA A
IN 1PC 04/19/24 REF.74685 STC
1pc 1-6-24 DR#73326 LIPA A
4PCS 11-26-23 DR#74447 SPC</t>
        </r>
      </text>
    </comment>
    <comment ref="H1100" authorId="0" shapeId="0" xr:uid="{D7189001-2B2A-3642-AD8C-F6022C2D382C}">
      <text>
        <r>
          <rPr>
            <sz val="10"/>
            <rFont val="SimSun"/>
            <charset val="134"/>
          </rPr>
          <t>8.21.25
49818 2PCS ALY
OUT 2PCS 6.11.25 DR#78317 SPC BRY
1PC OUT 1/11/25 JO41558 DALIA
4PC OUT 1/3/25 JO41318  MARIBEL
OUT 12-14-2024
40569 DAHLIA 1PC
11/16/2024	39863 1PC SALES
10/12/24 
38356 1PC SALES DAHLIA
OUT 4PCS 07/30/24 DR#75358-59 LIPA A
OUT 1PCS 07/30/24 REF#75671  STC MASTER
OUT 07/01/24 35538 4PCS SALES OFFICE 
OUT 4PCS 05/28/24 DR#75087 LIPA A BRIAN
OUT 1PCS 3/7/24 DR#74701 SPC
1PC 1-4-24 JO#30757 LEN</t>
        </r>
      </text>
    </comment>
    <comment ref="G1102" authorId="0" shapeId="0" xr:uid="{E5C118A9-C31F-F54D-8555-E7B91400C8E8}">
      <text>
        <r>
          <rPr>
            <sz val="10"/>
            <rFont val="SimSun"/>
            <charset val="134"/>
          </rPr>
          <t>IN 2PCS 9.26.25 DR#79615 SPC HACKET
IN 4PCS 7.27.25 DR#78899 SPC RONNIE
IN 4PCS 6.15.25 DR#78793 SPC
IN 4PCS 5.20.25 DR#77802 BINAN HACKET
IN 2PCS 3.5.25 DR#77045 SPC MIKE
IN 2PCS 2.26.25 DR#77037 SPC HACKET
IN 8PCS 1-8-25 DR#76876 SPC KUYA HACKET
IN 2PCS 12-04-24 DR#75738 SPC BRIAN
IN 1PCS 08/28/24 DR#68708 DRAKESTER
IN 4PCS 07/06/24 DR#75226 SPC MASTER
IN 4PCS 06/15/24 DR#75210 SPC KUYA MIKE
IN 2PCS 06/08/24 DR#75179 SPC KUYA MIKE
IN 4PCS 06/06/24 DR#75177 SPC KUYA HACKET
IN 2PCS 03/21/24 DR#74875 SPC
IN 2PCS SALES 2/29/24 DR#74842 SPC
4PC 1-12-24 DR# SPC
4PCS 11-13-23 DR#74404 SPC
4PCS 9-23-23 DR#73720 SPC
3PCS 9-14-23 DR#74209 SPC
4PCS 8-23-23 DR#73285 LI[A A
8PCS 7-6-23 SPC
2PCS 5-11-23 STF#8101 SPC
4PCS 3-21-23 STF#7879 SPC</t>
        </r>
      </text>
    </comment>
    <comment ref="H1102" authorId="0" shapeId="0" xr:uid="{DEE8C362-2FC3-7942-BFBD-92706F08C34A}">
      <text>
        <r>
          <rPr>
            <sz val="10"/>
            <rFont val="SimSun"/>
            <charset val="134"/>
          </rPr>
          <t>9-16-25
2 PCS 50564 ALY
6-28-25
4 PCS 48063 JARVIS
OUT 4PCS 5.29.25 DR#77994 LIPA A
4.26.25
45767 4PCS JARVIS
4 PCS OUT 2-14-25 JO42908 ALY
OUT 4PCS 2-11-25 DR#76983 BIÑAN
4pc sout 12/13/24 jo40652 maribel
11/10/24
39553 2pcs sales dahlia
OUT 2PCS 10/26/24 DR#75441 SPC KUYA HACKET
OUT 2PCS 08/27/24 DR#75387 SPC KUYA HACKET
07/26/24
36303 1pc sales office
OUT 06/13/24 35059 4PCS SALES MARLO 
OUT 06/07/24 34946 2PCS SALES BEL 
OUT 4PCS 05/28/24 DR#75087 LIPA A BRIAN
OUT 03/19/24 32823 4PCS SALES ROSE
1PC 1-4-24 JO#30757 LEN</t>
        </r>
      </text>
    </comment>
    <comment ref="G1107" authorId="0" shapeId="0" xr:uid="{C91C9530-6508-A142-8590-ED60E08BF15C}">
      <text>
        <r>
          <rPr>
            <sz val="10"/>
            <rFont val="SimSun"/>
            <charset val="134"/>
          </rPr>
          <t>IN 8PCS 8.1.25 DR#78581 LIPA A
IN 4PCS 6.26.25 DR#77775-76 SPC EMMAN
IN 4PCS 6.24.25 DR#77765 SPC HACKET
IN 4PCS 3.6.25 DR#78769 SPC EMMAN
IN 8PCS 5.16.25 DR#77734 SPC ROI
IN 4PCS 5.9.25 DR#77716 SPC RO
IN 4PCS 4.3.25 DR#77387 SPC HACKET
IN 2PCS 1-10-25 DR#76880 HACKET
IN 2PCS 1-6-25 DR#76873 SPC
IN 2PCS 12-05-24 DR#75741 SPC KUYA MIKE
IN 4PCS 10/03/24 DR#76630 SPC KUYA HACKET
IN 2PCS 09/09/24 DR#76529 SPC MASTER
IN 6PCS 08/07/24 DR#76510 SPC KUYA HACKET
IN 4PCS 07/25/24 DR#75247 SPC BRIAN
IN 2PCS 07/09/24 DR#76055 LIPA A
IN 7PCS 06/06/24 DR#75177 SPC KUYA HACKET
IN 4PCS 05/15/24 DR#75038 SPC KUYA PING
IN 4PCS 05/13/24 DR#75039 SPC KUYA ADWIN
IN 4PCS 04/29/24 DR#75010 SPC KUYA EMMAN
IN 4PCS 03/30/31 DR#74886 SPC KUYA HACKET
4PCS 2-9-24 STA CRUZ
4pcs 1-22-24 DR#74620 SPC
4pcs 1-8-24 DR#73327 LIPA A
4PCS 12-10-23 DR# SPC
4PCS 11-26-23 DR#74447 SPC
2PCS 11-13-23 DR#74403 SPC
4PCS 10-26-23 DR# SPC
2PCS 10-2-23 STA CRUZ
1PC 9-19-23 DR#73706 SPC
4pcs 9-15-23 DR# SPC
8PCS 7-6-23 SPC
4PCS 3-30-23 STF#7926 SPC</t>
        </r>
      </text>
    </comment>
    <comment ref="H1107" authorId="0" shapeId="0" xr:uid="{34FD1244-63D2-BC46-A862-269D8B2BBE43}">
      <text>
        <r>
          <rPr>
            <sz val="10"/>
            <rFont val="SimSun"/>
            <charset val="134"/>
          </rPr>
          <t>OUT 1PCS 11.7.25 DR#80006 SPC HACKET
10-29-25
2 PCS 51858 JARVIS
OUT 4PCS 8.13.25 DR#78404 SPC
8-12-25
2 PCS 49586 MARLO
OUT 4PCS 8.1.25 DR#78390 SPC EMMAN
OUT 4PCS 7.26.25 DR#78379 SPC RONNIE
7-17-25
2 PCS 48806 MARLO
6-25-25
4 PCS 47948 JARVIS
6-23-25
4 PCS 47886 MARIBEL
6-2-25
5 PCS 47076 MARIBEL 
5-15-25
2 PCS 46402 MARIBELL
OUT 2PCS 5.14.25 DR#77953 BINAN LALAMOVE
4-3-25
4 PCS OUT JO44852 ALY
2PC OUT 1/10/25 JO41631 MARLO 
01-07-25
41507 2PCS SALES JARVIS
OUT 4PCS 12-11-24 DR#75502 LIPA A
11-30-24
40209 4PCS SALES ALY
OUT 2PCS 11/25/24 JO40066 JARVIS
09/13/24
37618 4PCS SALES JARVIS
08/23/24
37052 2PCS SALES JARVIS
08/03/24
36501 2pcs sales bel
OUT 07/09/24 35833 4PCS SALES BEL
OUT 07/05/24 35708 2PCS SALES  BEL
OUT 06/25/24 35410 4PCS SALES BEL
OUT 06/01/24 34771 2PCS SALES JARVIS
OUT 05/28/24 34681 1PC SALES MARLO
OUT 05/14/24 34209 4PCS SALES ROSE
OUT 4PCS 05/07/24 DR#75059 LIPA A
OUT 2PCS 03/24/24 DR#74738 LIPA A
OUT 4PCS 04/18/24  STC
OUT 4PCS 3/10/24 DR#74703 SPC PICK UP MASTER
OUT 01-23-2024
31312 2PCS SALES MARLO
OUT 01-08-2024
30928 4PCS SALES LEN (FROM LIPA A)
4PCS 12-23-23 JO#30495 ROSE
2PCS 12-8-23 JO#30054 MARLO
2PCS 12-8-23 JO#30064 BEL
4PCS 11-18-23 STA CRUZ
2PCS 11-3-23 JO#29250 BEL
1PC  10-4-23 DR#73992 SPC
2PCS 10-2-23 JO#28542 ROSE
1PC 10-1-23 JO#28496 JARVIS
2PCS 9-25-23 JO#28415 JARVIS
1PC 9-19-23 JO#28276 JARVIS
2PCS 9-14-23 JO#28160 ROSE
1PC 8-11-23 DR#72213 SPC
2CPS 8-4-23 DR#72203 SPC
1PC 7-21-23 JO#26877 BEL
1PC 7-21-23 JO#29877 BEL
4PCS 7-17-23 STA CRUZ
2PCS 3-30-23 JO#23727 ROSE</t>
        </r>
      </text>
    </comment>
    <comment ref="G1108" authorId="0" shapeId="0" xr:uid="{F2198A73-88EB-7A47-83FD-1ADDB7088663}">
      <text>
        <r>
          <rPr>
            <sz val="10"/>
            <rFont val="SimSun"/>
            <charset val="134"/>
          </rPr>
          <t>IN 8PCS 02.28.26 DR168721 DRAKESTER (4,473.36) 
IN 4PCS 06.02.26 DR80726-27 SPC HACKET
IN 3PCS 01.31.26 DR80184 LIPA A
IN 1PC 01.31.26 DR80717 SPC LALAMOVE
IN 1PC 01.15.26 DR80168 LIPA A
IN 1PCS 01.06.26 DR79948-49 SPC ROBIN
IN 4PCS 01.03.26 DR79941 SPC HACKET
IN 2PCS 12.29.25 DR#79921-22 SPC HACKET
IN 4PCS 12.6.25 DR#78997 SNV
IN 4PCS 11.3.25 DR#78652 LIPA A
IN 4PCS 10.22.25 DR#79684 SPC BRY
IN 4PCS 8.18.25 DR#79029 SPC EMMAN
8PCS 08/11/2025 DR#79007 LIPA B</t>
        </r>
      </text>
    </comment>
    <comment ref="H1108" authorId="0" shapeId="0" xr:uid="{4D53A35B-2F71-C74B-9869-E72F033427CC}">
      <text>
        <r>
          <rPr>
            <sz val="10"/>
            <rFont val="SimSun"/>
            <charset val="134"/>
          </rPr>
          <t>02.17.26
55236 2PCS JARVIS
01.31.26
54731 4PCS JARVIS
01.15.26
54233 4PCS JARVIS
1-4-26
2PCS OUT 53846 ALY
1-2-26
4 PCS OUT 53776 MARIBEL
12-12-25
1 PC 53105 ALY
OUT 4PCS 11.14.25 DR#80014 LIPA A
OUT 2PCS 11.03.25 DR#79793 SAN VICENTE ROBIN
9-30-25
4 PCS 51012 JARVIS
8.20.25
49811 4PCS ALY
8.12.25
4PCS</t>
        </r>
      </text>
    </comment>
    <comment ref="G1109" authorId="0" shapeId="0" xr:uid="{1F1E76ED-E1FF-B843-8706-6B462EBD16E2}">
      <text>
        <r>
          <rPr>
            <sz val="10"/>
            <rFont val="SimSun"/>
            <charset val="134"/>
          </rPr>
          <t>IN 2PCS 02.18.26 DR80762 SPC HACKET
IN 4PCS 01.22.26 DR79993 SPC RONNIE
IN 4PCS 01.09.26 DR79951-53 SPC HACKET
IN 3PCS 11.14.25 DR#79878 SPC HACKET
IN 4PCS 10.31.25 DR# 79853-54 HACKET
IN 4PCS 6.15.25 DR#78793 SPC
IN 4PCS 4.2.25 DR#77385 SPC HACKET
IN 4PCS 3.29.25 DR#77381 SPC MIKE
IN 4PCS 3.4.25 DR# SPC
IN 1-30-25 4PCS  DR#77009 SPC HACKET
-----------------------------------------------
IN 4PCS 08/28/24 DR#68708 DRAKESTER
IN 2PC 08/23/24 DR#76076 LIPA A
4PCS 11-13-23 DR#74403 SPC
2PCS 10-14-23 DR#72672 LIPA A
4PCS 9-14-23 DR#74209 SPC
4PCS 7-6-23 SPC
4PCS 3-21-23 STF#7879 SPC</t>
        </r>
      </text>
    </comment>
    <comment ref="H1109" authorId="0" shapeId="0" xr:uid="{CEA3CD52-2DDB-8C46-B117-D529581C3036}">
      <text>
        <r>
          <rPr>
            <sz val="10"/>
            <rFont val="SimSun"/>
            <charset val="134"/>
          </rPr>
          <t>02.16.26
55203 2PCS JARVIS
1-21-26
4 PCS 54401 ALY
1-3-25
4PCS OUT 53820 ALY
OUT 5PCS 12.19.25 DR#80070 SPC BOYONG
OUT 4PCS 11.14.25 DR#80014 LIPA A
10-25-25
2 PCS 51746 MARIBEL
OUT 1PC 10.8.25 DR#79298 LIPA A
OUT 4PCS 6.9.25 DR#77919 LIPA A
4-15-25
4 PCS OUT JO45355 JARVIS
4 PCS OUT 3-4-25 JO43640 MARIBEL 
OUT 4PCS 2.5.25 DR#76961 BIÑAN
4PC OUT 1/10/25 JO41613
 ALY
08/23/24
37064 2PCS SALES BEL
2PCS 7-31-24 JO#36432 JARVIS
07/26/24
36290 2pcs sales dahlia
2PCS 10-25-23 DR#73937 SPC
4PCS 10-13-23 JO#28793 JARVIS
4pcs 7-26-23 JO#26985 JARVIS
4PCS 5-2-23 JO#25005 JARVIS</t>
        </r>
      </text>
    </comment>
    <comment ref="G1110" authorId="0" shapeId="0" xr:uid="{035AC724-117C-9443-8AF0-06F29B20DE77}">
      <text>
        <r>
          <rPr>
            <sz val="10"/>
            <rFont val="SimSun"/>
            <charset val="134"/>
          </rPr>
          <t>IN 8PCS 11.29.25 DR#149808 DRAKESTER
IN 4PCS 9.22.25 DR#135389 DRAKESTER
IN 2PCS 6.19.25 DR#116582 DRAKESTER
IN 4PCS 1-15-25 DR#88642 DRAKESTER
IN 4PCS 1-8-25 DR#76876 SPC KUYA HACKET
---------------------------------------------
IN 2PCS 12-30-24 DR#76862 SPC KUYA RONNIE
8PCS 11/11/24 DR#75703-04 SPC KUYA HACKET &amp; ROI
IN 1PCS 11/02/24 DR#76697 SPC KUYA HACKET
IN 8PCS 08/28/24 DR#68708 DRAKESTER
IN 2PCS 07/29/24 DR#064463 DRAKESTER
IN 1PC 07/22/24 DR#75244 SPC KUYA HACKET
IN 4PCS 05/25/24 DR#75162 SPC KUYA HACKET
IN 4PCS 05/21/24 DR#32176 SVB
IN 4PCS 5-21-24 DR#32173 SVB 2023 DOT
IN 4PCS 05/18/24 DR#73480 LIPA A
IN 4PCS 2/26/24 DR# 74838 SPC
4PCS 12-8-23 DR#34222 DRAKESTER
4PCS 9-14-23 DR#74209 SPC
4PCS 8-29-23 DR#74167 SPC
4PCS 7-6-23 SPC
4PCS 3-29-23 STF#7920 SPC</t>
        </r>
      </text>
    </comment>
    <comment ref="H1110" authorId="0" shapeId="0" xr:uid="{41D8765B-4357-134A-B806-32423FAF9A80}">
      <text>
        <r>
          <rPr>
            <sz val="10"/>
            <rFont val="SimSun"/>
            <charset val="134"/>
          </rPr>
          <t>OUT 2PCS 12.26.25 DR#80077 SPC HACKET
OUT 2PCS 12.18.25 DR#80068 SPC HACKET
OUT 2PCS 12.12.25 DR#80064 SPC ROBIN
11.16.25
52383 2PCS ALY
9.11.25
50469 4PCS JARVIS
IN 1PCS 4.26.25 DR#77685 SPC HACKET
4.21.25
45419 2PCS BEL
OUT 4PCS 2-11-25 DR#76983 BIÑAN
2/2/25 4 PC OUT JO42415 JARVIS
4PC OUT 12/16/24 JO40742 ALY
11-30-24
40230 2PCS SALES ALY
OUT SALES 2PC 11/02/24
JO 38984 ALY
OUT 5PCS 11/02/24 REF#75745 STC
OUT 2PCS 09/04/24 DR#75398 SPC MEET UP BRIAN
OUT 2PCS 08/22/24 DR#75362 SPC SERVICE
OUT 4PCS 08/17/24 DR#75373 SPC (OLD DOT)
07/25/24
36272 3PCS SALES JARVIS
07/16/24
36007 2PC SALES BEL
OUT 2PCS 05/24/24 DR#75085 SPC KUYA HACKET
OUT 05/21/24 34492 4PCS SALES MARLO
OUT 05/21/24 34486 4PCS SALES BEL
OUT 04/17/24 33582 2PCS SALES MARLO
OUT 01-09-2024
30953 2PCS SALES JARVIS
4PCS 8-30-23 JO#27837 JARVIS
4PCS 7-17-23 DR#73873 LIPA A
4PCS 4-12-23 ST002396 LIPA A
4pcs 8-12-22 stf#1918 spc
1PC - 11/4/2021 SPC</t>
        </r>
      </text>
    </comment>
    <comment ref="G1111" authorId="0" shapeId="0" xr:uid="{3E2D3616-9356-D146-90DC-DE4F2C75BA88}">
      <text>
        <r>
          <rPr>
            <sz val="10"/>
            <rFont val="SimSun"/>
            <charset val="134"/>
          </rPr>
          <t>2pcs 9-26-23 dr#73725 SPC
4PCS 9-25-23 STA CRUZ</t>
        </r>
      </text>
    </comment>
    <comment ref="H1111" authorId="0" shapeId="0" xr:uid="{42469074-EA2B-2A4B-9015-260252F4CE28}">
      <text>
        <r>
          <rPr>
            <sz val="10"/>
            <rFont val="SimSun"/>
            <charset val="134"/>
          </rPr>
          <t>1PC  10-4-23 DR#73992 SPC
5PCS 9-26-23 JO#28369 ROSE</t>
        </r>
      </text>
    </comment>
    <comment ref="G1112" authorId="0" shapeId="0" xr:uid="{7FBDDCA9-232A-7F4A-B30B-E813EC21A866}">
      <text>
        <r>
          <rPr>
            <sz val="10"/>
            <rFont val="SimSun"/>
            <charset val="134"/>
          </rPr>
          <t>IN 4PCS 02.13.26 DR80483 BIÑAN
IN 12PCS 11.29.25 DR#149808 DRAKESTER
IN 2PCS 9.22.25 DR#135389 DRAKESTER
IN 2PCS 7.2.25 DR#77758 SPC BRY
IN 4PCS 6.15.25 DR#78793 SPC
IN 4PCS 3.22.25 DR#77444 SPC HACKET
IN 2PCS 2.24.25 DR#35251 SVB
IN 2PCS 2.14.25 DR#77027 SPC
IN 4PCS 2.06.25 DR#77055 LIPA A
4PCS 1-30-25 DR#091389 DRAKESTER 
----------------------------------------------
IN 4PCS 10/28/24 DR#76682 SPC BRIAN
IN 8PCS 06/06/24 DR#75177 SPC KUYA HACKET
IN 2PCS 04/04/24 DR#74894 SPC
2PCS 3-1-24 DR#73415 LIPA A
4PCS 2-2-24 DR#74640 SPC
3PCS 01-21-24 DR#74619 SPC
3PCS 12-26-23 DR#74539 SPC
1PC 12-8-23 DR#34222 DRAKESTER
4PCS 11-23-23 DR# SPC
2pcs 11-13-23 DR#74408 SPC
4PCS 9-14-23 DR#74209 SPC
2PCS 8-14-23 DR#74081 SPC
4PCS 7-6-23 SPC
4PCS 2-21-23 STF#7711 SPC</t>
        </r>
      </text>
    </comment>
    <comment ref="H1112" authorId="0" shapeId="0" xr:uid="{57295DE8-CA03-0F4C-A4A3-37FB263CDBF4}">
      <text>
        <r>
          <rPr>
            <sz val="10"/>
            <rFont val="SimSun"/>
            <charset val="134"/>
          </rPr>
          <t>02.11.26
55046 2PCS MARLO
01.28.26
54647 2PCS JARVIS 
OUT 2PCS 1.3.26. DR80084 SPC HACKETs
OUT 4PCS 12.18.25 DR#80068 SPC HACKET
OUT 4PCS 12.3.25 DR#80047 SPC HACKET
OUT 2PCS 12.2.25 DR#80045 LIPA A ROI
9-10-25
2 PCS 50409 JARVIS
7-30-25
2 PCS 49009 ROSE 
5-30-25
4 PCS 46975 JARVIS
2.24.25
43320 2pcs dhalia
2 PCS OUT 2-15-25 JO42917 JARVIS
4 PC OUT 2/6/25 JO42683 JARVIS
OUT 4PCS 2.5.25 DR#76960 BIÑAN
4PC OUT 1/21/25 JO41640 MARLO 
OUT 4PCS 09/25/24 REF#75713 STC SERVICE
OUT 06/15/24 35160 4PCS SALES  BEL
OUT 04/04/24 33215 2PC SALES JARVIS
4PCS 3-1-24 JO# SALES
2PCS 2-25-24 32209 BEL
OUT 01-21-2024
31186 4PCS SALES MARLO
2pcs 1-18-24 JO#31176 BEL
4PCS 11-23-23 JO#29718 BEL
4PCS 11-22-23 JO#29702 ROSE
2PCS 11-16-23 JO#29523 BEL
6PCS 8-14-23 JO#27480 BEL
4PCS 3-11-23 STF#2332 SpC</t>
        </r>
      </text>
    </comment>
    <comment ref="G1114" authorId="0" shapeId="0" xr:uid="{9A7A7383-AD03-824C-867F-C847431313D3}">
      <text>
        <r>
          <rPr>
            <sz val="10"/>
            <rFont val="SimSun"/>
            <charset val="134"/>
          </rPr>
          <t>IN 4PCS 5.14.25 DR#77728 SPC HACKET
IN  4PCS 2.28.25 DR#77039 SPC HACKET
IN 1PC 1-9-25 DR#76879 SPC
IN 4PCS 08/28/24 DR#68708 DRAKESTER
IN 7PCS 05/25/24 DR#75162 SPC KUYA HACKET
IN 4PCS 04/24/24 DR#SP0052 SPC
IN 3PCS 03/30/31 DR#74886 SPC KUYA HACKET
IN 2PCS 2/27/24 DR#74840 SPC 
1PC 01-21-2024 DR#74619 SPC
4PCS 11-26-23 DR#74447 SPC
4pcs 9-15-23 DR# SPC</t>
        </r>
      </text>
    </comment>
    <comment ref="H1114" authorId="0" shapeId="0" xr:uid="{26F2F4EF-D692-5D40-A1C8-70432C1CB9F7}">
      <text>
        <r>
          <rPr>
            <sz val="10"/>
            <rFont val="SimSun"/>
            <charset val="134"/>
          </rPr>
          <t>OUT 2PCS 02.04.26 DR80121 LIPA A
OUT 2PCS 12.7.25 DR#80054 STC LALAMOVE
2-28-25
4 PCS OUT JO43310 ROSE
1pc out  1/10/25 jo41593 rose
10/07/24
38269 4PCS SALES BEL
6/21/2024 35293 2PCS LEN
06/11/24
35003 4pcs sales rose
OUT 05/27/24 34625 2PCS SALES  BEL
OUT 04/25/24 33732 4PCS SALES
ROSE
OUT 03/28/24 33053 4PCS SALES ROSE 
2PCS C/O BATELEC RESERVED
OUT 01-22-2024
31220 1PC SALES OFFICE</t>
        </r>
      </text>
    </comment>
    <comment ref="G1115" authorId="0" shapeId="0" xr:uid="{A2DEBD5C-669F-C54B-9DA9-D847FC7214C5}">
      <text>
        <r>
          <rPr>
            <sz val="10"/>
            <rFont val="SimSun"/>
            <charset val="134"/>
          </rPr>
          <t>IN 4PCS 02.16.26 DR80753 SPC ALWIN
IN 4PCS 12.26.25 DR79915-17 SPC HACKET
IN 4PCS 7.9.25 DR#79082 SPC RONNIE
IN 2PCS 8.11.25 DR#79006-07 SPC EMMAN
IN 4PCS 6.18.25 DR#78800 SPC HACKET
IN 2PCS 4.3.25 DR#77387 SPC HACKET
IN 1PC 3.7.25 DR#77050 SPC HACKET
IN 1PCS 1-16-25 DR#76890 SPC KUYA EMMAN
IN 8PCS 1-8-25 DR#76876 SPC KUYA HACKET
----------------------------------------------
IN 4PCS 10/28/24 DR#76682 SPC BRIAN
IN 2PCS 09/12/24 DR#76532 SPC KUYA HACKET
IN 4PCS 06/06/24 DR#75177 SPC KUYA HACKET
IN 4PCS 04/29/24 DR#75010 SPC KUYA EMMAN
4PCS 11-26-23 DR#74447 SPC
4PCS 10-26-23 DR# SPC</t>
        </r>
      </text>
    </comment>
    <comment ref="H1115" authorId="0" shapeId="0" xr:uid="{1303F919-443A-6849-B7A5-5600E1CA7703}">
      <text>
        <r>
          <rPr>
            <sz val="10"/>
            <rFont val="SimSun"/>
            <charset val="134"/>
          </rPr>
          <t>02.18.26
55200 2PCS ALY
02.01.26
54445 2PCS OFFICE
OUT 2PCS 12.8.25 DR#80055 STC LALAMOVE
OUT 2PCS 11.26.25 DR#80033 STC SERVICE
8-14-25
4 PCS 49671 MARIBEL
8-1-25
2 PCS 49230 JARVIS
OUT 4PCS 6.5.25 DR#78309 SPC MEET UP
1 PC OUT 3-8-25 JO43822 MARLO
2 PCS OUT 2-27-25 JO43427 ALY
1PC OUT 1/15/25 JO41779 MARIBEL
4PC OUT 1/11/25 JO41652 ALY
12-28-2024 SALES 
41182 4PCS JARVIS
09/12/24
37579 4PCS SALES MARLO
09/09/24
37485 4PCS SALES BEL
OUT 06/24/24 35394 2PCS SALES MARLO
4PCS 1-16-24 JO#31100 JARVIS
4pcs 11-6-23 JO#29314 ROSE</t>
        </r>
      </text>
    </comment>
    <comment ref="H1116" authorId="0" shapeId="0" xr:uid="{A0471F1B-E8CA-484E-80D2-67715C62E469}">
      <text>
        <r>
          <rPr>
            <sz val="10"/>
            <rFont val="SimSun"/>
            <charset val="134"/>
          </rPr>
          <t>2PC 01-20-2022 ST001599 SPC</t>
        </r>
      </text>
    </comment>
    <comment ref="G1118" authorId="0" shapeId="0" xr:uid="{4C8E997B-7C44-2346-BFD5-580AB2F5C387}">
      <text>
        <r>
          <rPr>
            <sz val="10"/>
            <rFont val="SimSun"/>
            <charset val="134"/>
          </rPr>
          <t>IN 1PC 09/21/24 DR#76538 SPC KUYA HACKET</t>
        </r>
      </text>
    </comment>
    <comment ref="H1118" authorId="0" shapeId="0" xr:uid="{995B34B3-9B9D-CA42-A0A0-28C34CBC4C13}">
      <text>
        <r>
          <rPr>
            <sz val="10"/>
            <rFont val="SimSun"/>
            <charset val="134"/>
          </rPr>
          <t xml:space="preserve">09/23/24
37826 1PC SALES
</t>
        </r>
      </text>
    </comment>
    <comment ref="G1119" authorId="0" shapeId="0" xr:uid="{22B2764F-581C-6242-9682-AB5B9A3BA4AA}">
      <text>
        <r>
          <rPr>
            <sz val="10"/>
            <rFont val="SimSun"/>
            <charset val="134"/>
          </rPr>
          <t xml:space="preserve">IN 4PCS 11.22.25 DR#148252 DRAK
</t>
        </r>
      </text>
    </comment>
    <comment ref="H1119" authorId="0" shapeId="0" xr:uid="{57B4789A-AF24-864D-A785-D4CB16E07F27}">
      <text>
        <r>
          <rPr>
            <sz val="10"/>
            <rFont val="SimSun"/>
            <charset val="134"/>
          </rPr>
          <t>11.22.25
52529 4PCS ALY</t>
        </r>
      </text>
    </comment>
    <comment ref="G1120" authorId="0" shapeId="0" xr:uid="{89F194F4-794E-F244-87A5-9366B3A6EB5B}">
      <text>
        <r>
          <rPr>
            <sz val="10"/>
            <rFont val="SimSun"/>
            <charset val="134"/>
          </rPr>
          <t>2pcs 1-6-24 DR# STA CRUZ
4PCS 1-2-23 DR#74546 SPC
4PCS 11-26-23 DR#74447 SPC</t>
        </r>
      </text>
    </comment>
    <comment ref="H1120" authorId="0" shapeId="0" xr:uid="{F93A75D3-B11F-5149-BEBC-2F8C41E6FCF8}">
      <text>
        <r>
          <rPr>
            <sz val="10"/>
            <rFont val="SimSun"/>
            <charset val="134"/>
          </rPr>
          <t>2PCS 1-6-24 JO#30850 JARVIS
4PCS 1-5-24 JO#30784 BEL
4PCS 12-29-23 JO#30636 JARVIS</t>
        </r>
      </text>
    </comment>
    <comment ref="G1122" authorId="0" shapeId="0" xr:uid="{9A5D0FA6-3FF4-924E-87E4-419A8615BDE9}">
      <text>
        <r>
          <rPr>
            <sz val="10"/>
            <rFont val="SimSun"/>
            <charset val="134"/>
          </rPr>
          <t>IN 1PCS 07/21/24 DR#75242 SPC MASTER
IN 4PCS 06/04/24 DR#75176 SPC KUYA HACKET
IN 3PCS 05/25/24 DR#73483 LIPA A
IN 1PCS 05/15/24 DR#75038 SPC KUYA PING
 IN 1PCS 05/01/24 DR#73472 LIPA A
IN 4PCS 4/17/24 DR#SP0025 SPC</t>
        </r>
      </text>
    </comment>
    <comment ref="H1122" authorId="0" shapeId="0" xr:uid="{474C9B4A-ADA7-4141-8742-0D77967F9BF8}">
      <text>
        <r>
          <rPr>
            <sz val="10"/>
            <rFont val="SimSun"/>
            <charset val="134"/>
          </rPr>
          <t>out 2pcs 10/25/24 dr#75458 spc service
08/07/24
36577 2PCS SALES OFFICE
OUT 06/04/24 34819 4PCS SALES BEL
OUT 05/29/24 34681 1PCS SALES BEL
OUT 05/01/24 33929 1PCS SALES
MARLO
OUT 04/24/24 33677 4PCS SALES LEN</t>
        </r>
      </text>
    </comment>
    <comment ref="G1123" authorId="0" shapeId="0" xr:uid="{6DCF9DEF-BFC5-7A4E-82F8-E856EEE164C5}">
      <text>
        <r>
          <rPr>
            <sz val="10"/>
            <rFont val="SimSun"/>
            <charset val="134"/>
          </rPr>
          <t>IN 1PC 12.21.25 DR#79122 STC
IN 1PC 10.29.25 DR#75  STC
4PCS 12-19-24 DRAKESTER DR#085384</t>
        </r>
      </text>
    </comment>
    <comment ref="H1123" authorId="0" shapeId="0" xr:uid="{C910D21B-EF6C-974B-8016-CB4C14E8CDAB}">
      <text>
        <r>
          <rPr>
            <sz val="10"/>
            <rFont val="SimSun"/>
            <charset val="134"/>
          </rPr>
          <t xml:space="preserve">12-19-25
2 PCS 53275 HANNA
6-12-25
2 PCS 47374 JARVIS
</t>
        </r>
      </text>
    </comment>
    <comment ref="G1124" authorId="0" shapeId="0" xr:uid="{37A3B4B0-69BD-9949-A8B8-A223E90E4F53}">
      <text>
        <r>
          <rPr>
            <sz val="10"/>
            <rFont val="SimSun"/>
            <charset val="134"/>
          </rPr>
          <t>IN 4PCS 01.09.26 DR79951-53 SPC HACKET
IN 4PCS 12.29.25 DR#79921-22 SPC HACKET
IN 4PCS 12.11.25 DR#79735 SPC BRY
IN 4PCS 9.30.25 DR#79627 SPC HACKET</t>
        </r>
      </text>
    </comment>
    <comment ref="H1124" authorId="0" shapeId="0" xr:uid="{05C48963-C6A7-A746-BEAE-28C67D8739BD}">
      <text>
        <r>
          <rPr>
            <sz val="10"/>
            <rFont val="SimSun"/>
            <charset val="134"/>
          </rPr>
          <t>01.07.26
53952 4PCS ALY
12-11-25
4 PCS 53112 JARVIS
11.27.25
52666 4PCS ALY</t>
        </r>
      </text>
    </comment>
    <comment ref="G1125" authorId="0" shapeId="0" xr:uid="{3AFF6972-F487-6246-BF5C-A8407C9B4133}">
      <text>
        <r>
          <rPr>
            <sz val="10"/>
            <rFont val="SimSun"/>
            <charset val="134"/>
          </rPr>
          <t>IN 4PCS 4.14.25 DR#104443 DRAKESTER
4PC 1-12-24 DR# SPC
2PCS 11-13-23 DR#74403 SPC
4PCS 7-15-23 SPC
4PCS 7-6-23 SPC
4PCS 2-21-23 STF#7711 SPC</t>
        </r>
      </text>
    </comment>
    <comment ref="H1125" authorId="0" shapeId="0" xr:uid="{18E1D784-F360-B648-B70B-1D865D69C588}">
      <text>
        <r>
          <rPr>
            <sz val="10"/>
            <rFont val="SimSun"/>
            <charset val="134"/>
          </rPr>
          <t>4-21-25
4 PCS JO45495 DALIA
2pcs 2-12-24 31823 SALES
2pcs 2-7-24 31629 sales
2PCS 12-18-23 JO#30346 JARVIS
2PCS 12-18-23 STA CRUZ
1PC 8-5-23 DR#27220 LIPA A
2PCS 8-4-23 DR#72202 SPC
2[PCS 7-13-23 JO#26714 JARVIS
6-9-23 STF#2497 SPC</t>
        </r>
      </text>
    </comment>
    <comment ref="G1126" authorId="0" shapeId="0" xr:uid="{F0A7256F-4DD6-5E45-9B38-DDFC10374C56}">
      <text>
        <r>
          <rPr>
            <sz val="10"/>
            <rFont val="SimSun"/>
            <charset val="134"/>
          </rPr>
          <t xml:space="preserve">IN 2PCS 7.16.25 DR#122015 DRAKESTER
</t>
        </r>
      </text>
    </comment>
    <comment ref="H1126" authorId="0" shapeId="0" xr:uid="{237C973A-FF15-C744-8E1F-4C67875F3FFB}">
      <text>
        <r>
          <rPr>
            <sz val="10"/>
            <rFont val="SimSun"/>
            <charset val="134"/>
          </rPr>
          <t>7.17.25
48834 2PCS JARVIS</t>
        </r>
      </text>
    </comment>
    <comment ref="G1127" authorId="0" shapeId="0" xr:uid="{B43F51DA-93ED-4445-9901-4BE44A722563}">
      <text>
        <r>
          <rPr>
            <sz val="10"/>
            <rFont val="SimSun"/>
            <charset val="134"/>
          </rPr>
          <t>IN 4PCS 01.08.25 DR79129 STC
IN 4PCS 01.08.26 DR800705-80318 SNV&amp;SPC
IN 1PC 9.4.25 DR#79073 SPC LALAMOVE
IN 1PCS 8.18.25 DR#79029 SPC EMMAN
IN 1PCS 8.11.25 DR#79006-07 SPC EMMAN
IN 4PCS 6.6.25 DR#78066 LIPA A
IN 4PCS 4.16.25 DR#77543 LIPA A
IN 4PCS 12-03-24 DR#75733 SPC KUYA mike
IN 4PCS 12-03-24 DR#75734 SPC KUYA ALWIN
IN 2PCS 12/01/24 DR#76135 LIPA A
IN 2PCS 09/09/24 DR#76527 SPC KUYA MIKE 
IN 4PCS 06/25/24 DR#75195 SPC KUYA BOYONG
IN 4PCS 06/15/24 DR#75210 SPC KUYA MIKE
IN 4PCS 04/01/24 DR#73440 LIPA A
IN 4PCS 2/26/24 DR# 74838 SPC
2PCS 11-26-23 DR#74447 SPC
4PCS 9-14-23 DR#74209 SPC
4PCS 7-27-23 DR#73256 LIPA A
4PCS 7-6-23 SPC
4PCS 2-27-23 stf#7754 SPC</t>
        </r>
      </text>
    </comment>
    <comment ref="H1127" authorId="0" shapeId="0" xr:uid="{94DF6790-21AD-BB4D-A992-260FDE02742D}">
      <text>
        <r>
          <rPr>
            <sz val="10"/>
            <rFont val="SimSun"/>
            <charset val="134"/>
          </rPr>
          <t>OUT 4PCS 01.30.26 DR80230 SPC HACKET
12-29-25
4 PCS OUT 53655 JEN B
8-26-25
1 PC 49948 ALY
8-6-25
2 PCS 49413 MARLO
6-5-25
4 PCS 47014 HANNA
4-5-25
4 PCS OUT JO44922 MARIBEL
OUT 2PCS 2.14.25 DR#76992 STC
2 PC OUT 1/25/25 JO42010 DALIA
12-01-2024
2pcs out sales jo#40284 aly (from LPA)
11/23/24
39942 4PCS SALES MAM JEN
10/26/24 
38786 1PC ALY
09/06/24
37415 2PCS SALES BEL
OUT 06/22/24 35372 4PCS SALES JARVIS
4PCS 4/6/2024 33220 SALES
OUT 1PCS 03/13/24 DR#74710 SPC
4PCS 2-25-24 32194 OFFICE
2PCS 11-12-23 29444 JARVIS 
4PCS 7-27-23 JO#27028 MARIBEL
4PCS 7-9-23 JO#26608 ROSE
4PCS 3-14-23 JO#22354 BEL</t>
        </r>
      </text>
    </comment>
    <comment ref="G1128" authorId="0" shapeId="0" xr:uid="{18ADF937-E897-D74E-9C76-A3BDB8E048D5}">
      <text>
        <r>
          <rPr>
            <sz val="10"/>
            <rFont val="SimSun"/>
            <charset val="134"/>
          </rPr>
          <t>IN 4PCS 5-24-24 DR#75159 SPC</t>
        </r>
      </text>
    </comment>
    <comment ref="H1128" authorId="0" shapeId="0" xr:uid="{F5F660C6-4AF6-5443-8006-8A42D7DC5252}">
      <text>
        <r>
          <rPr>
            <sz val="10"/>
            <rFont val="SimSun"/>
            <charset val="134"/>
          </rPr>
          <t>4PCS 5/24/2024 34581 JARVIS</t>
        </r>
      </text>
    </comment>
    <comment ref="G1130" authorId="0" shapeId="0" xr:uid="{CAFD7F77-DA43-694A-9310-47D90DFB3E07}">
      <text>
        <r>
          <rPr>
            <sz val="10"/>
            <rFont val="SimSun"/>
            <charset val="134"/>
          </rPr>
          <t>IN 2PCS 6.19.25 DR#116606 DRAKESTER
IN 2PCS 6.7.25 DR#78777 SPC EMMAN
IN 4PC 5.9.25 DR#77717 SPC ROI
IN 4PCS 10/03/24 DR#76630 SPC KUYA HACKET
IN 4PCS 08/28/24 DR#68708 DRAKESTER
N 4PCS 06/15/24 DR#75210 SPC KUYA MIKE
IN 4PCS 04/02/24 DR#74889 SPC</t>
        </r>
      </text>
    </comment>
    <comment ref="H1130" authorId="0" shapeId="0" xr:uid="{3890218B-EABC-DA4F-8BDA-3F9B451A8587}">
      <text>
        <r>
          <rPr>
            <sz val="10"/>
            <rFont val="SimSun"/>
            <charset val="134"/>
          </rPr>
          <t>5-23-25
4 PCS 46766 JARVIS
10/27/24
38809 4PCS SALES BEL
10/02/24
38138 4PCS SALES JARVIS
08/25/24
37084 4PCS SALES JARVIS
OUT 4PCS 04/02/24 33155 JARVIS</t>
        </r>
      </text>
    </comment>
    <comment ref="G1131" authorId="0" shapeId="0" xr:uid="{1242F9A5-D5B7-D049-9FD5-0DD3D5062954}">
      <text>
        <r>
          <rPr>
            <sz val="10"/>
            <rFont val="SimSun"/>
            <charset val="134"/>
          </rPr>
          <t>IN 4PCS 02.10.26 DR80737 SPC ALWIN
IN 4PCS 01.06.26 DR79948-49 SPC ROBIN
IN 4PCS 10.9.25 DR#79653 SPC BRY</t>
        </r>
      </text>
    </comment>
    <comment ref="H1131" authorId="0" shapeId="0" xr:uid="{7B0C55D7-13FB-AC4F-BD39-C8B566C6CF08}">
      <text>
        <r>
          <rPr>
            <sz val="10"/>
            <rFont val="SimSun"/>
            <charset val="134"/>
          </rPr>
          <t xml:space="preserve">1-12-26
4PCS 54097 JARVIS
1-3-26
4 PCS OUT 53794 MARIBEL
</t>
        </r>
      </text>
    </comment>
    <comment ref="G1132" authorId="0" shapeId="0" xr:uid="{DDE73041-9AC4-EC44-8848-F8162C394F98}">
      <text>
        <r>
          <rPr>
            <sz val="10"/>
            <rFont val="SimSun"/>
            <charset val="134"/>
          </rPr>
          <t>4PCS 11-26-23 DR#74447 SPC
2pcs 5-19-23 stf#8130 spc</t>
        </r>
      </text>
    </comment>
    <comment ref="H1132" authorId="0" shapeId="0" xr:uid="{1F8939E1-49C2-FF4A-B80F-CC6ACFDB078B}">
      <text>
        <r>
          <rPr>
            <sz val="10"/>
            <rFont val="SimSun"/>
            <charset val="134"/>
          </rPr>
          <t>4-14-25
4 PCS OUT JO45295 ALY
4PCS 12-28-23 JO#30606 JACKO
1PC 8-31-23 DR#72244 SPC
1PC 5-19-23 JO#25423 BEL</t>
        </r>
      </text>
    </comment>
    <comment ref="G1133" authorId="0" shapeId="0" xr:uid="{9CD4602E-CCF9-F44C-8C1D-365C7E1770A4}">
      <text>
        <r>
          <rPr>
            <sz val="10"/>
            <rFont val="SimSun"/>
            <charset val="134"/>
          </rPr>
          <t>IN 4PCS 7.28.25 DR#78802 SPC BRY
IN 4PCS 4.3.25 DR#77387 SPC HACKET
IN 3.4.25 1PC DR#77080 LIPA A
IN 1PCS 1-28-25D DR#77077 SPC KUYA MIKE
IN 1PCS 1-21-25 DR#76896 SPC HACKET
IN 2PCS 1-19-25 DR# 76175 LIPA A
IN 4PCS 1-8-25 DR#76876 SPC KUYA HACKET
----------------------------------------------
1PCS 12-02-24 DR#75732 SPC KUYA MIKE
IN 4PCS 11/30/24 DR#75731 SPC KUYA HACKET
IN 2PC LIPA A DR#76116 11/7/24
IN 8PCS 07/21/24 DR#75242 SPC MASTER
IN 2PCS 06/06/24 DR#75179 SPC KUYA MIKE (MEET UP)
IN 4PCS 04/25/24 DR#75005 SPC KUYA HACKET</t>
        </r>
      </text>
    </comment>
    <comment ref="H1133" authorId="0" shapeId="0" xr:uid="{2A512504-1E9C-8945-9378-4FDFA5B0E7AF}">
      <text>
        <r>
          <rPr>
            <sz val="10"/>
            <rFont val="SimSun"/>
            <charset val="134"/>
          </rPr>
          <t>7.29.25
49085 4PCS ALY
6-6-25
4 PCS 47177 ALY 
OUT 3PCS 3.29.25 DR#77197 LIPA A
3-5-25 2 PCS OUT JO43614 ALY
4PC OUT 1/19/25 JO41458 MARIBEL 
4PC OUT 1/14/25 JO41766 JARVIS
11-30-24
40244 4PCS SALES JARVIS 
OUT 4 PCS 11/7/2024
JO39337 SALES JARVIS (1 PC SITE A)
09/25/24
37950 1PC SALES DAHLIA
08/20/24
36957 4PCS SALES BEL
OUT 06/06/24 34906 2PCS SALES BEL
OUT 05/18/24 34431 4PCS SALES BEL</t>
        </r>
      </text>
    </comment>
    <comment ref="G1134" authorId="0" shapeId="0" xr:uid="{2C453E46-4D69-6840-8279-5CE6FC087F5F}">
      <text>
        <r>
          <rPr>
            <sz val="10"/>
            <rFont val="SimSun"/>
            <charset val="134"/>
          </rPr>
          <t>IN 7PCS 11.11.25 DR#79873 SPC HACKET
IN 4PCS 10.22.25 DR#79682 SPC ROBIN
IN 4PCS 10.17.25 DR#79673 SPC SERVICE
IN 4PCS 10.14.25 DR#78730 LIPA A
IN 4PCS 8.18.25 DR#79029 SPC EMMAN</t>
        </r>
      </text>
    </comment>
    <comment ref="H1134" authorId="0" shapeId="0" xr:uid="{5CAEE29B-7452-EB4A-96CF-D3AFA6119AF1}">
      <text>
        <r>
          <rPr>
            <sz val="10"/>
            <rFont val="SimSun"/>
            <charset val="134"/>
          </rPr>
          <t xml:space="preserve">OUT 4PCS 02.28.26 DR80880 SPC LALAMOVE
11-20-25
4 PCS 52500 JARVIS
11-8-25
4 PCS 52104 MARIBEL
11-7-25
1 pc 51978 MARLO
10-27-25
1 PC 51794 MARIBEL
10-26-2025
1PC 51739 ALY SALES
10-14-25
4 PCS 51365 ALY
10-8-25
4 PCS 51254 JARVIS
</t>
        </r>
      </text>
    </comment>
    <comment ref="G1135" authorId="0" shapeId="0" xr:uid="{C5387D65-2027-DD4E-AB0E-97910157EC91}">
      <text>
        <r>
          <rPr>
            <sz val="10"/>
            <rFont val="SimSun"/>
            <charset val="134"/>
          </rPr>
          <t>IN 3PCS 01.27.26 DR80707 SPC BRY
IN 2PCS 8.30.25 DR#130916 DRAKESTER
IN 7PCS 6.19.25 DR#116582 DRAKESTER
IN 4PCS 08/28/24 DR#68708 DRAKESTER
IN 2PCS 04/23/24 DR#73458 LIPA A
IN 2PCS 2/27/2024 DR#74840 SPC
2PCS 2-16-24 DR#74826 SPC
2PCS 2-15-24 DR#73404 LIPA A
4pcs 2-13-24 74815 spc
4PCS 11-26-23 DR#74447 SPC
2PCS 7-11-23 SPC
4PCS 7-6-23 SPC
4PCS 3-8-23 STF#7796 SPC</t>
        </r>
      </text>
    </comment>
    <comment ref="H1135" authorId="0" shapeId="0" xr:uid="{2D2AAFD8-AFCE-7243-ADB0-47DF8FBE06A1}">
      <text>
        <r>
          <rPr>
            <sz val="10"/>
            <rFont val="SimSun"/>
            <charset val="134"/>
          </rPr>
          <t>1-27-26
3 PCS 54549 MARLO
12-26-25
4 PCS OUT 53579 JARVIS
8-19-25
2 PCS 49798 ALY
6.21.25
47882 4PCS BEL
1 PC OUT 3-6-25 JO43773 MARIBEL
01-02-25 2PCS DR#75541 SPC KUYA ALWIN
OUT 04/25/24 33680 2PCS SALES LEN
OUT 03/20/24 32861 4PCS SALES MARLO
2PCS 2-16-24 31955 BEL
4PCS 2-15-24 31919 SALES
4PCS 1-2-24 JO#30684 ROSE
4PCS 7-11-23 JO#26646 ROSE
2PCS 7-10-23 JO#26651MARLO
4PCS 3-14-23 STF#2337 SPC</t>
        </r>
      </text>
    </comment>
    <comment ref="G1136" authorId="0" shapeId="0" xr:uid="{ED2FC815-2B66-6E4A-9B4F-7F1D5109E834}">
      <text>
        <r>
          <rPr>
            <sz val="10"/>
            <rFont val="SimSun"/>
            <charset val="134"/>
          </rPr>
          <t>IN 8PCS 11.29.25 DR#149808 DRAKESTER
IN 4PCS 9.1.25 DR#78622 LIPA A
IN 4PCS 8.30.25 DR#130916 DRAKESTER
IN 2PCS 5.14.25 DR#77728 SPC HACKET
IN 4PCS 4.16.25 DR#77543 LIPA A
IN 4PCS 04/27/24 DR#75009 SPC KUYA HACKET
4pcs 1-22-24 DR#74620 SPC
4PC 1-12-24 DR# SPC
4PCS 11-13-23 DR#74403 SPC
4PCS 10-26-23 DR# SPC</t>
        </r>
      </text>
    </comment>
    <comment ref="H1136" authorId="0" shapeId="0" xr:uid="{711073F1-9CAC-294E-A11E-2F4374D85D0A}">
      <text>
        <r>
          <rPr>
            <sz val="10"/>
            <rFont val="SimSun"/>
            <charset val="134"/>
          </rPr>
          <t>12-20-25
1 PC 53277 HANNA
OUT 2PCS 12.12.25 DR#80064 SPC ROBIN
11-21-25
2 PCS 52241 HANA
OUT 4PCS 9.15.25 DR#79264 BIÑAN
8-20-25
4 PCS 49803 MARLO
OUT 2PCS DR#77614 STC MIKE
4-4-25
4 PCS OUT JO44902 MJEN 
OUT 4PCS 2.6.25 DR#76972 BIÑAN
------------------------------------------------
OUT 07/12/24 35916 2PCS SALES JARVIS
OUT 03/22/24 32913 4PCS SALES JARVIS
OUT 12-23-2023
30479 4PCS SALEA MARIBEL
4PCS 10-29-23 JO#29165 BEL</t>
        </r>
      </text>
    </comment>
    <comment ref="G1137" authorId="0" shapeId="0" xr:uid="{AB227786-907D-EB43-A834-5037E4EB2104}">
      <text>
        <r>
          <rPr>
            <sz val="10"/>
            <rFont val="SimSun"/>
            <charset val="134"/>
          </rPr>
          <t>IN 4PCS 01.06.26 DR79948-49 SPC ROBIN
IN 4PCS 12.3.25 DR#79717 SPPC HACKET
IN 2PCS 9.13.25 DR#79093 SPC HACKET
IN 4PCS 7.9.25 DR#79082 SPC RONNIE
IN 4PCS 1-8-25 DR#76876 SPC KUYA HACKET
IN 4PCS 08/28/24 DR#68708 DRAKESTER
IN 4PCS 06/17/24 DR#1514 COMETZ</t>
        </r>
      </text>
    </comment>
    <comment ref="H1137" authorId="0" shapeId="0" xr:uid="{D7FA33EA-D7CB-4F4D-8526-9FE241B3B799}">
      <text>
        <r>
          <rPr>
            <sz val="10"/>
            <rFont val="SimSun"/>
            <charset val="134"/>
          </rPr>
          <t>1-3-26
4PCS OUT 53825 MARLO
12-18-25
4 PCS 53391 JARVIS
9-11-25
2 PCS 50455 MARLO
7-12-25
4 PCS 48592 ALY
OUT 4PCS 11/28/24 DR#75477 SPC KUYA ALWIN
OUT 06/17/24 35192 4PCS SALES JARVIS</t>
        </r>
      </text>
    </comment>
    <comment ref="G1138" authorId="0" shapeId="0" xr:uid="{9E6CA7CB-D455-754B-947B-2ED7BB57A911}">
      <text>
        <r>
          <rPr>
            <sz val="10"/>
            <rFont val="SimSun"/>
            <charset val="134"/>
          </rPr>
          <t>IN 4PCS 04/17/24 DR# SPC KUYA HACKET</t>
        </r>
      </text>
    </comment>
    <comment ref="H1138" authorId="0" shapeId="0" xr:uid="{19DB70BE-F18D-764C-942C-54B8BD6461DB}">
      <text>
        <r>
          <rPr>
            <sz val="10"/>
            <rFont val="SimSun"/>
            <charset val="134"/>
          </rPr>
          <t xml:space="preserve">OUT 4PCS 02/22/24 DR#74787 SPC </t>
        </r>
      </text>
    </comment>
    <comment ref="G1139" authorId="0" shapeId="0" xr:uid="{BC74A2A4-9C62-3C4B-8676-073F229F76D1}">
      <text>
        <r>
          <rPr>
            <sz val="10"/>
            <rFont val="SimSun"/>
            <charset val="134"/>
          </rPr>
          <t>IN 4PCS 01.19.26 DR80706 SPC
IN 2PC 5.9.25 DR#77717 SPC ROI
IN 2PCS 5.9.25 DR#77716 SPC RO
IN 4PCS 5.5.25 DR#77711 SPC ROI
05.01.25 2PCS DR#75774 STC LALAMOVE
IN 4PCS 12/11/24 DR#75747 SPC
IN 4PCS 12-10-24 DR#75746 SPC KUYA HACKET</t>
        </r>
      </text>
    </comment>
    <comment ref="H1139" authorId="0" shapeId="0" xr:uid="{58291FC5-2DE2-B04E-8EFD-DE7C6AEBD318}">
      <text>
        <r>
          <rPr>
            <sz val="10"/>
            <rFont val="SimSun"/>
            <charset val="134"/>
          </rPr>
          <t xml:space="preserve">OUT 4PCS 01.14.26 DR80100 SPC SERVICE
5.6.25
45824 4PCS HANAH
5-1-25
4 PCS 45934 MARIBEL
4-3-25
2 PCS OUT JO44787 DALIA
4pcs out 12/11/24 jo40259 maribel 
</t>
        </r>
      </text>
    </comment>
    <comment ref="G1140" authorId="0" shapeId="0" xr:uid="{B38948DE-1865-8E48-9733-F99FD358D71E}">
      <text>
        <r>
          <rPr>
            <sz val="10"/>
            <rFont val="SimSun"/>
            <charset val="134"/>
          </rPr>
          <t>1pc 3-15-23 STF#7845 SPC</t>
        </r>
      </text>
    </comment>
    <comment ref="H1140" authorId="0" shapeId="0" xr:uid="{07BAB263-C09B-2A4A-81B7-42FFD5CA99B5}">
      <text>
        <r>
          <rPr>
            <sz val="10"/>
            <rFont val="SimSun"/>
            <charset val="134"/>
          </rPr>
          <t>1PC COMPNAY VEHICLE DAK 1067 RANGER</t>
        </r>
      </text>
    </comment>
    <comment ref="G1141" authorId="0" shapeId="0" xr:uid="{53DEF71A-D456-374C-AFB5-C1F846489803}">
      <text>
        <r>
          <rPr>
            <sz val="10"/>
            <rFont val="SimSun"/>
            <charset val="134"/>
          </rPr>
          <t>IN 7PCS 11.21.25 DR#147971 DRAKESTER (25) (7,945.34)
IN 4PCS 7.9.25 DR#79082 SPC RONNIE
IN 8PCS 8.6.25 DR#126084 DRAKESTER
IN 4PCS 7.21.25 DR#123015 DRAKESTER
IN 4PCS 6.19.25 DR#116606 DRAKESTER
IN 2PCS 5.17.25 DR#77736 SPC ROI
IN 4PCS 4.16.25 DR#77543 LIPA A
IN 4PCS 3.10.25 DR#77088 LIPA A
IN 2PCS 10/28/24 DR#76682 SPC BRIAN
IN 4PCS 10-21-24 DR#76669 SPC BRIAN
IN 2PCS 9-26-24 Dr#76095 LIPA A
IN 4PCS 08/28/24 DR#68708 DRAKESTER
IN 4PCS 03/06/24 DR#74862 SPC
IN 2PCS 03/06/2024 DR#74850 SPC
4PCS 12-26-23 DR#74539 SPC
4PCS 12-8-23 DR#34222 DRAKESTER
2PCS 11-13-23 DR#74403 SPC
4pcs 10-27-23 DR#74360 SPC
8PCS 7-21-23 DR#74023 SPC</t>
        </r>
      </text>
    </comment>
    <comment ref="H1141" authorId="0" shapeId="0" xr:uid="{CFCDA861-BBA0-5049-B2D2-B2F65A80F01E}">
      <text>
        <r>
          <rPr>
            <sz val="10"/>
            <rFont val="SimSun"/>
            <charset val="134"/>
          </rPr>
          <t>OUT 2PCS 02.11.26 DR80246 SPC HACKET
12-11-25
1 PC 53138 JARVIS
11-24-25
2 PCS 52602 MARIBEL
OUT 2PCS 11.6.25 DR#79799 LIPA A
8.31.25
50134 4PCS ALY
OUT 8PCS 8.7.25 DR#78395 SPC HACKET
7-15-25
4 PCS 48763 MARIBEL
5-17-25
4 PCS 46430 JARVIS
5-1-25
2 PCS 45861 ALY
4-8-25
4 PCS OUT JO44989 JARVIS
2.24.25
43324 4PCS ALY
4PC OUT 1/15/25 JO41781 JARVIS
09/26/24
37976 4PCS SALES JARVIS
09/11/24
37557 2PC SALES ROSE
08/23/24
37062 4PCS SALES BEL
OUT 03/14/24 2PCS SALES 32549
OUT 2/27/24 32272 4PCS SALES
4PCS 12-11-23 JO#30107 JOHNLY
4PCS 11/14/2023 JO#29493 BEL
11/11/2023 29418 2PCS SALES
4PCS 10-4-23 JO#28572 BEL
4pcs 8-3-23 JO#27193 ROSE</t>
        </r>
      </text>
    </comment>
    <comment ref="G1142" authorId="0" shapeId="0" xr:uid="{D6083B5F-9E91-654F-ACFA-6A6C91155CE0}">
      <text>
        <r>
          <rPr>
            <sz val="10"/>
            <rFont val="SimSun"/>
            <charset val="134"/>
          </rPr>
          <t>4PCS 7-6-23 SPC
8PCS 6-9-23 SPC
4PCS 3-9-23 STF#7808 SPC
4PCS - 11/2/2021 ST001599 LIPA A</t>
        </r>
      </text>
    </comment>
    <comment ref="H1142" authorId="0" shapeId="0" xr:uid="{93E063EB-2A20-DA4B-85D7-37A872AC56CC}">
      <text>
        <r>
          <rPr>
            <sz val="10"/>
            <rFont val="SimSun"/>
            <charset val="134"/>
          </rPr>
          <t xml:space="preserve">
OUT 03/04/2024 32401 2PCS SALES JHONLY
4PCS 10-6-23 JO#28633 ROSE
4PCS 7-31-23 JO#27121 JARVIS
4PCS 7-29-23 JO#27076 MARLO
4PCS 3-27-23 STF#2365 STA CRUZ
4PCS 11-23-21 JO#12069 JARVIS
4PCS - 11/4/2021 STC</t>
        </r>
      </text>
    </comment>
    <comment ref="G1143" authorId="0" shapeId="0" xr:uid="{4868531E-3E89-F149-93C4-F503F33F8D47}">
      <text>
        <r>
          <rPr>
            <sz val="10"/>
            <rFont val="SimSun"/>
            <charset val="134"/>
          </rPr>
          <t>IN 12PCS 02.18.26 DR80762 SPC HACKET
IN 12PCS 06.02.26 DR80726-27 SPC HACKET
IN 9PCS 11.14.25 DR#79879 SPC HACKET
IN 23PCS 8.11.25 DR#79006-07 SPC EMMAN
IN 6PCS 7.20.25 DR#77235 BINAN HACKET
IN 4PCS 6.30.25 DR#77781 SPC ALWIN
IN 4PCS 6.17.25 DR#78079 LIPA A
IN 4PCS 5.28.25 DR#78758 SPC HACKET
IN 3PCS 5.22.25 DR#77747 SPC RONNIE
IN 4PCS 4.8.25 DR#77398 HACKET
IN 4PCS 3.22.25 DR#77444 SPC HACKET
IN 1PC 1-16-25 DR#76890 SPC KUYA EMMAN
----------------------------------------------
IN 4PCS 11/30/24 DR#75731 SPC KUYA HACKET
IN 4PCS DR#75725 SPC KUYA MIKE
4PCS 11/11/24 DR#75703-04 SPC KUYA HACKET &amp; ROI
IN 4PCS 10/12/24 DR376642 SPC BRIAN
IN 1PCS 09/24/24 DR#76550 SPC KUYA HACKET
IN 4PCS 08/11/24 DR#76519 SPC MASTER
IN 4PCS 08/08/24 DR#76513 SPC KUYA HACKET
IN 12PCS 04/25/24 DR#75005 SPC KUYA HACKET
IN 04/10/24 DR#74829 SPC
IN 4PCS 03/30/31 DR#74886 SPC KUYA HACKET
IN 2PCS 03/09/24 DR#73423 LIPA A
IN 2PCS 2/27/24 DR#74840 SPC 
2PCS 2-14-24 74817 SPC
2PCS 12-26-23 DR#74539 SPC
2PCS 12-20-23 DR#73314 LIPA A
2PCS 12-10-23 DR# SPC
4PCS 11-26-23 DR#74447 SPC
4PCS 11-13-23 DR#74403 SPC
4pcs 10-31-23 STA CRUZ
2PCS 10-30-23 DR#74367 SPC
4PCS 10-26-23 DR# SPC
1PC 10-8-23 DR# SPC
4PCS 10-6-23 DR#72667 LIPA A
4PCS 7-6-23 SPC
2PCS 7-12-23 DR#73245 SPC
2PCS 4-28-23 STF#8055 SPC
4PCS 4-5-23 STf#2380 SPC</t>
        </r>
      </text>
    </comment>
    <comment ref="H1143" authorId="0" shapeId="0" xr:uid="{64CE6584-42D5-A247-BAB6-78AA62B824CC}">
      <text>
        <r>
          <rPr>
            <sz val="10"/>
            <rFont val="SimSun"/>
            <charset val="134"/>
          </rPr>
          <t>OUT 4PCS 02.20.26 DR80869 BIÑAN BRY
02.15.26
55164 1PC ALY
02.06.26
54917 4PCS ALY
01.23.26
54442 2PCS HANNAH
1-22-26
2 PCS 54441M HANNA
12.21.25
53278 2PCS HANNAH
12-16-25
2 PCS OUT 53288 JARVIS
11.18.25
52441 4PCS ALY
OUT 1PC 11.11.25 DR#80009 SPC HACKET
OUT 5PCS 10.29.25 DR#79787 SPC
10-23-25
4 PCS 51652 MARIBEL
9-23-25
2 PCS 50826 JEN B
9-22-25
4 PCS 50805 JARVIS
9-19-25
2 PCS 50703 JARVIS
9-10-25
2 PCS 50410 JARVIS
8-1-25
2 PCS 49239 MARIBEL
OUT 4PCS 7.28.25 DR#78381 SPC BRY
OUT 2PCS 7.21.25 DR#78372 LIPA A BRY
6.27.25
48044 4PCS BEL
6-16-25
2 PCS 47602 JARVIS
6-6-25
4 PCS 47015 HANNA
5-26-25
4 PCS 46808 MARIBEL
5-19-25
4 PCS 46511 ROSE
5-15-25
4 PCS 46376 JARVIS
5.3.25
46008 4PCS ALY
3 PCS OUT 3-14-25 JO42728 OFFICE
1pc 12/20/24 jo40897 boss jun
09/24/24
37900 5PCS SALES BEL
09/10/24
37538 4PCS SALES JARVIS
OUT 07/06/24 35750 4PCS SALES BEL
OUT 06/03/24 34799 4PCS SALES BEL
4PCS 5/10/2024 34187 MARIBEL
OUT 04/10/24 4PCS SALES 33402  MARLO
OUT 04/02/24 33171 4PCS SALES  MARLO
OUT 3/09/24 32571 4PCS SALES JHONLY
2PCS 2-23-24 32057 MAM JEN
2PCS 2-9-24 JO#31759 SA;ES
OUT 01-27-2024
31360 2PCS SALES JOHNLY
OUT 12-20-2023
30403 2PCS SALES LEN (FROM A)
4PCS 12-15-23 JO#30312 MARLO
4PCS 12-13-23 JO#30214 ROSE
4PCS 11-17-23 JO#29581 BEL
4PCS 11-4-23 JO#29273 BEL
4PCS 10-29-23 JO#29107 BEL
5pcs 10-8-23 JO#28674 BL
1PC  10-4-23 DR#73992 SPC
2PCS 10-2-23 JO#28524 JARVIS
4PCS 10-1-23 JO#28505 BEL
2PCS 8-1-23 DR#73895 SPC
4PCS 4-28-23 JO#24912 BEL
2PCS 4-27-23 JO#24894 BEL</t>
        </r>
      </text>
    </comment>
    <comment ref="G1147" authorId="0" shapeId="0" xr:uid="{35053BEF-BE35-DD48-BE26-2928922D1808}">
      <text>
        <r>
          <rPr>
            <sz val="10"/>
            <rFont val="SimSun"/>
            <charset val="134"/>
          </rPr>
          <t>IN 4PCS 11.20.25 DR#147906 DRAKESTER
IN 2PCS 8.18.25 DR#128473 DRAKESTER</t>
        </r>
      </text>
    </comment>
    <comment ref="H1147" authorId="0" shapeId="0" xr:uid="{D0D80E28-E398-534E-833F-16BE933DE082}">
      <text>
        <r>
          <rPr>
            <sz val="10"/>
            <rFont val="SimSun"/>
            <charset val="134"/>
          </rPr>
          <t>11-21-25
4 PCS 52513 JARVIS
8.19.25
49753 2PCS BEL</t>
        </r>
      </text>
    </comment>
    <comment ref="G1149" authorId="0" shapeId="0" xr:uid="{B11E476D-D2F3-8947-BA08-A984B5885FD5}">
      <text>
        <r>
          <rPr>
            <sz val="10"/>
            <rFont val="SimSun"/>
            <charset val="134"/>
          </rPr>
          <t>IN 3PCS 03.20.26 DR159952 DRAKESTER
IN 4PCS 10.1.25 DR#137078 DRAKESTER</t>
        </r>
      </text>
    </comment>
    <comment ref="H1149" authorId="0" shapeId="0" xr:uid="{E76B5205-17DB-5E43-885D-79AF96B6CC40}">
      <text>
        <r>
          <rPr>
            <sz val="10"/>
            <rFont val="SimSun"/>
            <charset val="134"/>
          </rPr>
          <t>1-20-26
3PCS OUT 54308 MARIBEL
10.3.25
50860 4PCS MARIA</t>
        </r>
      </text>
    </comment>
    <comment ref="G1151" authorId="0" shapeId="0" xr:uid="{A725073B-42F0-1B49-88B7-6713B8B1706B}">
      <text>
        <r>
          <rPr>
            <sz val="10"/>
            <rFont val="SimSun"/>
            <charset val="134"/>
          </rPr>
          <t>IN 3PCS 04/29/24 DR#75010 SPC KUYA EMMAN
4PCS 11-26-23 DR#74447 SPC</t>
        </r>
      </text>
    </comment>
    <comment ref="H1151" authorId="0" shapeId="0" xr:uid="{9D141C52-C11E-6C49-BB17-53568984D35A}">
      <text>
        <r>
          <rPr>
            <sz val="10"/>
            <rFont val="SimSun"/>
            <charset val="134"/>
          </rPr>
          <t>OUT 4PCS 3.28.25 DR#77195 SPC EMMAN
OUT 3PCS 04/14/24 DR#74773 LIPA A</t>
        </r>
      </text>
    </comment>
    <comment ref="G1152" authorId="0" shapeId="0" xr:uid="{F46CF218-89FC-864A-B617-98E8FC840B67}">
      <text>
        <r>
          <rPr>
            <sz val="10"/>
            <rFont val="SimSun"/>
            <charset val="134"/>
          </rPr>
          <t>IN 4PCS 10/12/24 DR376642 SPC BRIAN</t>
        </r>
      </text>
    </comment>
    <comment ref="H1152" authorId="0" shapeId="0" xr:uid="{E1271344-53B0-BF4C-9B43-68F44BD35D02}">
      <text>
        <r>
          <rPr>
            <sz val="10"/>
            <rFont val="SimSun"/>
            <charset val="134"/>
          </rPr>
          <t>OUT 4PCS 02.11.26 DR80246 SPC HACKET</t>
        </r>
      </text>
    </comment>
    <comment ref="G1153" authorId="0" shapeId="0" xr:uid="{2624EA0E-C74B-2543-8D0F-203DA404D032}">
      <text>
        <r>
          <rPr>
            <sz val="10"/>
            <rFont val="SimSun"/>
            <charset val="134"/>
          </rPr>
          <t>IN 4PCS 6.28.25 DR#118496 DRAKESTER (10,510.80)
4PCS 7-6-23 SPC
2pcs 7-13-22 STF#6631 SPC</t>
        </r>
      </text>
    </comment>
    <comment ref="H1153" authorId="0" shapeId="0" xr:uid="{09375EED-EBC3-D143-AABF-D1AADC7C9556}">
      <text>
        <r>
          <rPr>
            <sz val="10"/>
            <rFont val="SimSun"/>
            <charset val="134"/>
          </rPr>
          <t>6-30-25
4 PCS 48037 ALY
4PCS 9-7-23 STA CRUZ
2PCS 7-9-22 JO# SALES</t>
        </r>
      </text>
    </comment>
    <comment ref="G1157" authorId="0" shapeId="0" xr:uid="{D743720D-8AF7-D84F-AE12-986111AD1575}">
      <text>
        <r>
          <rPr>
            <sz val="10"/>
            <rFont val="SimSun"/>
            <charset val="134"/>
          </rPr>
          <t>IN 1PCS 7.27.25 DR#78899 SPC RONNIE
4PCS 12-19-24 DRAKESTER DR#085384</t>
        </r>
      </text>
    </comment>
    <comment ref="H1157" authorId="0" shapeId="0" xr:uid="{F83F28FA-A2B6-BB46-A076-3D74FEF12CD3}">
      <text>
        <r>
          <rPr>
            <sz val="10"/>
            <rFont val="SimSun"/>
            <charset val="134"/>
          </rPr>
          <t>OUT 4PCS 9.13.25 DR#79260 STC
OUT 1PC 5.27.25 DR#77987 STC</t>
        </r>
      </text>
    </comment>
    <comment ref="G1158" authorId="0" shapeId="0" xr:uid="{594B8AC4-7FE8-A145-B0F3-C8BFA8479F30}">
      <text>
        <r>
          <rPr>
            <sz val="10"/>
            <rFont val="SimSun"/>
            <charset val="134"/>
          </rPr>
          <t>IN 2PCS 12.3.25 DR#150867 DRAKESTER</t>
        </r>
      </text>
    </comment>
    <comment ref="H1158" authorId="0" shapeId="0" xr:uid="{B5832106-9361-094C-9A42-FFDB9292A8D7}">
      <text>
        <r>
          <rPr>
            <sz val="10"/>
            <rFont val="SimSun"/>
            <charset val="134"/>
          </rPr>
          <t xml:space="preserve">12-4-25
2 PCS 52858 MARIBEL
</t>
        </r>
      </text>
    </comment>
    <comment ref="G1159" authorId="0" shapeId="0" xr:uid="{FDE41914-AF20-8E48-9BDA-2603DE4B9C0B}">
      <text>
        <r>
          <rPr>
            <sz val="10"/>
            <rFont val="SimSun"/>
            <charset val="134"/>
          </rPr>
          <t>IN 4PCS 4.3.25 DR#77387 SPC HACKET
IN 1PCS 3.17.25 DR#77431 SPC BRIAN
IN 1PC 1.30.25 DR#76192 LIPA A
IN 1-30-25 3PCS  DR#77009 SPC HACKET
---------------------------------------------
8PCS 12-19-24 DR085384 DRAKESTER
IN 1PC DR#76146 12-11-24 LIPA A
IN 3PCS 11/25/24 DR#75722 SPC KUYA EMMAN
IN 1PC 11/01/24 DR#76698 SPC
IN 7PCS 08/28/24 DR#68708 DRAKESTER
IN 4PCS 08/19/24 DR#76074 LIPA A
IN 4PCS 07/29/24 DR#064460 DRAKESTER (STC)
IN 4PCS 06/20/24 DR#75189 SPC KUYA MIKE 
IN 4PCS 06/08/24 DR#75179 SPC KUYA MIKE
IN 4PC 03/30/31 DR#74886 SPC KUYA HACKET
4PCS 2-14-24 74817 SPC
4PCS 2-10-24 DR# SPC
2PCS 1-31-24 DR#73345 LIPA A
2PCS 12-8-23 DR#34222 DRAKESTER
4PCS 10-26-23 DR# SPC
4PCS 7-6-23 SPC</t>
        </r>
      </text>
    </comment>
    <comment ref="H1159" authorId="0" shapeId="0" xr:uid="{FC38640C-ACFA-A343-9513-B510AE07803A}">
      <text>
        <r>
          <rPr>
            <sz val="10"/>
            <rFont val="SimSun"/>
            <charset val="134"/>
          </rPr>
          <t>5-26-25
4 PCS 46810 MARIBEL
4 PCS OUT 3-17-25 JO44233 DALIA
OUT 1PC 2.17.25 DR#77106 SPC SERVICE
4PC OUT 1/28/25 JO42241 MJEN 
1-17-25
41795 4PCS SALE DAHLIA
out 4pcs 12/11/24 jo40520 dalia
OUT 4PCS 11/1/24
JO38979 JARVIS
(1 PC SITE A)
10/12/24
38360 4PCS SALES DAHLIA
09/19/24
37722 1PC SALES DAHLIA
08/19/24
36937 4PCS SALES BEL
08/16/24
36845 1PC SALES BEL
OUT 4PCS 07/30/24 REF#75671 STC MASTER
07/29/24
36364 2PCS SALES MARLO
OUT 06/19/24 35268 4PCS SALES JARVIS
4PCS 4/6/2024 33252 SALES
OUT 03/26/24 32956 2PCS SALES JHONLY
OUT 03/06/24 32440 4PCS SALES ROSE ANN
4PCS 2-10-24 31813 SAELS
4PCS 1-31-24 JO#31555 LEN
PUT 12-22-2023
30456 2PCS SALES JARVIS
2PCS 10-30-23 JO#29155 JARVIS
4PCS 8-14-23 DJOP#27502 OFFICE
4PCS 3-28-23 JO#23367 MAM JEN</t>
        </r>
      </text>
    </comment>
    <comment ref="G1160" authorId="0" shapeId="0" xr:uid="{92D7E60C-85D8-794D-B0E4-749D623960DA}">
      <text>
        <r>
          <rPr>
            <sz val="10"/>
            <rFont val="SimSun"/>
            <charset val="134"/>
          </rPr>
          <t>IN 4PCS 02.28.26 DR168721 DRAKESTER (7,421.40) 
IN 3PCS 02.26.26 DR80774 SPC RONNIE
IN 2PCS 01.12.26 DR79961 SPC HACKET
IN 4PCS 12.26.25 DR79915-17 SPC HACKET
IN 4PCS 12.12.25 DR#78687 LIPA A
IN 4PCS 11.21.25 DR#147971 DRAKESTER (25)
IN 4PCS 9.26.25 DR#79615 SPC HACKET
IN 2PCS 8.10.25 DR#78600 LIPA A
IN 4PCS 6.30.25 DR#77781 SPC ALWIN</t>
        </r>
      </text>
    </comment>
    <comment ref="H1160" authorId="0" shapeId="0" xr:uid="{524C530B-F941-AC42-9D78-42C2199BC318}">
      <text>
        <r>
          <rPr>
            <sz val="10"/>
            <rFont val="SimSun"/>
            <charset val="134"/>
          </rPr>
          <t>02.25.26
55462 4PCS JARVIS
1-5-26
2PCS 53798 MARIBEL
12.13.25
53185 4PCS JARVIS
12-9-25
4 PCS 52934 ALY
11-28-25
2 PCS 52734 JARVIS
10-25-25
2 PCS 51747 MARIBEL
8-10-25
4 pcs 49510 ALY
8.8.25
49447 2PCS ALY</t>
        </r>
      </text>
    </comment>
    <comment ref="G1161" authorId="0" shapeId="0" xr:uid="{33770CCC-9800-A24D-AFC4-6AEB113ABAFD}">
      <text>
        <r>
          <rPr>
            <sz val="10"/>
            <rFont val="SimSun"/>
            <charset val="134"/>
          </rPr>
          <t>4PCS 12-19-24 DR085403 DRAKESTER
4PCS 11/11/24 DR#75703-04 SPC KUYA HACKET &amp; ROI
IN 1PCS 05/15/24 DR#75037 SPC
4PCS 11-26-23 DR#74447 SPC</t>
        </r>
      </text>
    </comment>
    <comment ref="H1161" authorId="0" shapeId="0" xr:uid="{615895DE-6A1D-5A4F-852E-75BDE8604759}">
      <text>
        <r>
          <rPr>
            <sz val="10"/>
            <rFont val="SimSun"/>
            <charset val="134"/>
          </rPr>
          <t>4-25-25
2 PCS 45636 JARVIS
OUT 4PCS 12-8-24 JO#40428 DAHLIA
OUT 1PC 10/16/24 REF#75729 STC
OUT 1PC 08/21/24 DR#75379 LIPA A
out 12-19-2023
30328 1pc sales rose</t>
        </r>
      </text>
    </comment>
    <comment ref="G1162" authorId="0" shapeId="0" xr:uid="{CB54E25B-58EC-E446-9363-1B1146283054}">
      <text>
        <r>
          <rPr>
            <sz val="10"/>
            <rFont val="SimSun"/>
            <charset val="134"/>
          </rPr>
          <t>IN 1PCS 01.12.26 DR79961 SPC HACKET
IN 2PCS 01.10.26 DR79958 SPC
IN 1PCS 11.14.25 DR#79878 SPC HACKET
IN 4PCS 10.28.25 DR#75847 STC
IN 4PCS 10.4.25 DR#79640 SPC SERVICE
IN 2PCS 7.9.25 DR#79082 SPC RONNIE
IN 1PCS 7.27.25 DR#78900 SPC RONNIE
IN 2PCS 5.14.25 DR#77728 SPC HACKET</t>
        </r>
      </text>
    </comment>
    <comment ref="H1162" authorId="0" shapeId="0" xr:uid="{57B8AF02-2ADD-274C-80C5-F40FC256661C}">
      <text>
        <r>
          <rPr>
            <sz val="10"/>
            <rFont val="SimSun"/>
            <charset val="134"/>
          </rPr>
          <t xml:space="preserve">1-10-26
1 PC 54055 ALY
1-5-26
1 PC OUT 53902 JARVIS
11-12-25
2 PCS 52157 ALY
10-23-25
4 PCS 51671 JARVIS
OUT 2PCS 10.14.25 DR#79757 SPC RONNIE
9-6-25
2 PCS 50283 ALY
8-1-25
1 PC 49281 JARVIS
</t>
        </r>
      </text>
    </comment>
    <comment ref="G1163" authorId="0" shapeId="0" xr:uid="{9AFAAE4D-FB44-574F-86B4-FC89F879FA87}">
      <text>
        <r>
          <rPr>
            <sz val="10"/>
            <rFont val="SimSun"/>
            <charset val="134"/>
          </rPr>
          <t>IN 4PCS 10.1.25 DR#137078 DRAKESTER</t>
        </r>
      </text>
    </comment>
    <comment ref="H1163" authorId="0" shapeId="0" xr:uid="{086BE403-690A-704B-AD7F-B737D6636FCD}">
      <text>
        <r>
          <rPr>
            <sz val="10"/>
            <rFont val="SimSun"/>
            <charset val="134"/>
          </rPr>
          <t>OUT 4PCS 9.30.25 DR#79295 BIÑAN</t>
        </r>
      </text>
    </comment>
    <comment ref="G1164" authorId="0" shapeId="0" xr:uid="{DB6FAAFC-01BD-FF41-A5B5-9D4688E9E710}">
      <text>
        <r>
          <rPr>
            <sz val="10"/>
            <rFont val="SimSun"/>
            <charset val="134"/>
          </rPr>
          <t>4PCS 9-13-23 DR#74203 SPC</t>
        </r>
      </text>
    </comment>
    <comment ref="H1164" authorId="0" shapeId="0" xr:uid="{3D3FBB08-59BE-934A-81F1-10043830A532}">
      <text>
        <r>
          <rPr>
            <sz val="10"/>
            <rFont val="SimSun"/>
            <charset val="134"/>
          </rPr>
          <t>4PCS 9-14-23 JO#28101 BEL</t>
        </r>
      </text>
    </comment>
    <comment ref="G1165" authorId="0" shapeId="0" xr:uid="{F58FEC52-A0E3-BC4C-AA2B-06B08F85D657}">
      <text>
        <r>
          <rPr>
            <sz val="10"/>
            <rFont val="SimSun"/>
            <charset val="134"/>
          </rPr>
          <t>IN 4PCS 9.11.25 DR#79089 SPC</t>
        </r>
      </text>
    </comment>
    <comment ref="H1165" authorId="0" shapeId="0" xr:uid="{8AA9D35E-0824-0240-B372-C2EF8154759A}">
      <text>
        <r>
          <rPr>
            <sz val="10"/>
            <rFont val="SimSun"/>
            <charset val="134"/>
          </rPr>
          <t xml:space="preserve">9-15-25
4 PCS 50189 MJEN
</t>
        </r>
      </text>
    </comment>
    <comment ref="G1166" authorId="0" shapeId="0" xr:uid="{788A1EEB-00B8-814A-962B-A7DB90C6F783}">
      <text>
        <r>
          <rPr>
            <sz val="10"/>
            <rFont val="SimSun"/>
            <charset val="134"/>
          </rPr>
          <t>IN 2PCS 12.26.25 DR#155755 DRAKESTER</t>
        </r>
      </text>
    </comment>
    <comment ref="H1166" authorId="0" shapeId="0" xr:uid="{156CC404-F997-7645-ACC4-78BD5DC07BE6}">
      <text>
        <r>
          <rPr>
            <sz val="10"/>
            <rFont val="SimSun"/>
            <charset val="134"/>
          </rPr>
          <t>12.27.25
53598 2pcs aly</t>
        </r>
      </text>
    </comment>
    <comment ref="G1167" authorId="0" shapeId="0" xr:uid="{A215FC18-2B58-904C-B2CA-FEC2E2638B0E}">
      <text>
        <r>
          <rPr>
            <sz val="10"/>
            <rFont val="SimSun"/>
            <charset val="134"/>
          </rPr>
          <t>IN 4PCS 3.8.25 DR#97896 DRAKESTER</t>
        </r>
      </text>
    </comment>
    <comment ref="H1167" authorId="0" shapeId="0" xr:uid="{EA452D7D-1822-7A43-8ED0-4B34D9385408}">
      <text>
        <r>
          <rPr>
            <sz val="10"/>
            <rFont val="SimSun"/>
            <charset val="134"/>
          </rPr>
          <t xml:space="preserve">3.9.25 4PCS 43832 ALY
</t>
        </r>
      </text>
    </comment>
    <comment ref="G1168" authorId="0" shapeId="0" xr:uid="{4E9E28C9-044A-9A49-BB3A-FAA990261E61}">
      <text>
        <r>
          <rPr>
            <sz val="10"/>
            <rFont val="SimSun"/>
            <charset val="134"/>
          </rPr>
          <t>IN 8PCS 08/28/24 DR#68708 DRAKESTER
4PCS 9-14-23 DR#74209 SPC</t>
        </r>
      </text>
    </comment>
    <comment ref="H1168" authorId="0" shapeId="0" xr:uid="{CED0AD25-1B30-3F47-8980-A8425B399BBA}">
      <text>
        <r>
          <rPr>
            <sz val="10"/>
            <rFont val="SimSun"/>
            <charset val="134"/>
          </rPr>
          <t>OUT 4PCS 2.14.25 DR#76993 SPC
4 PC OUT 1/22/25 JO41716 OFFICE HANA
4PCS 10-4-23 JO#28568 JARVIS</t>
        </r>
      </text>
    </comment>
    <comment ref="G1170" authorId="0" shapeId="0" xr:uid="{37DCC154-4FE6-F94F-82B3-2C0595092C8B}">
      <text>
        <r>
          <rPr>
            <sz val="10"/>
            <rFont val="SimSun"/>
            <charset val="134"/>
          </rPr>
          <t>IN 2PCS 06/10/24 DR#32351 SVB</t>
        </r>
      </text>
    </comment>
    <comment ref="H1170" authorId="0" shapeId="0" xr:uid="{1B3AB70A-6C8C-FF4A-B18E-8B913DE34380}">
      <text>
        <r>
          <rPr>
            <sz val="10"/>
            <rFont val="SimSun"/>
            <charset val="134"/>
          </rPr>
          <t>OUT 06/10/24 35017 2PCS SALES  BEL</t>
        </r>
      </text>
    </comment>
    <comment ref="G1171" authorId="0" shapeId="0" xr:uid="{B626123D-5E0A-ED49-A541-5DB243202DAC}">
      <text>
        <r>
          <rPr>
            <sz val="10"/>
            <rFont val="SimSun"/>
            <charset val="134"/>
          </rPr>
          <t xml:space="preserve">IN 2PCS 02.13.26 DR80483 BIÑAN
IN 4PCS 01.30.26 DR162088 DRAKESTER
IN 12PCS 11.29.25 DR#149809 DRAKESTER (7,189)
IN 4PCS 7.4.25 DR#119603 DRAKESTER
</t>
        </r>
      </text>
    </comment>
    <comment ref="H1171" authorId="0" shapeId="0" xr:uid="{BB3EFD19-4C2C-1343-A536-61782702F059}">
      <text>
        <r>
          <rPr>
            <sz val="10"/>
            <rFont val="SimSun"/>
            <charset val="134"/>
          </rPr>
          <t xml:space="preserve">02.09.26
54994 4PCS MARLO
12-9-25
2 PCS 52936 ALY
12-6-25
4 PCS 52991 HANA
OUT 4PCS 12.3.25 DR#80048 SPC HACKET
7.6.25
48397 4PCS MARLO
</t>
        </r>
      </text>
    </comment>
    <comment ref="G1172" authorId="0" shapeId="0" xr:uid="{6159ED16-5971-5346-A604-7FB59A4B379B}">
      <text>
        <r>
          <rPr>
            <sz val="10"/>
            <rFont val="SimSun"/>
            <charset val="134"/>
          </rPr>
          <t>IN 8PCS 02.18.26 DR80762 SPC HACKET
IN 8PCS 06.02.26 DR80726-27 SPC HACKET
IN 4PCS 02.06.26 DR80191 LIPA A
IN 10PCS 12.26.25 DR79915-17 SPC HACKET
IN 4PCS 12.15.25 DR#79742 SPC HACKET
IN 6PCS 11.14.25 DR#79879 SPC HACKET
IN 8PCS 10.31.25 DR#79853-54  HACKET
IN 2PCS 10.27.25 DR#79689 SPC BRY
IN 4PCS 10.1.25 DR#78713 LIPA A HACKET
IN 25PCS 8.11.25 DR#79006-07 SPC EMMAN
IN 4PCS 7.30.25 DR#78578 LIPA A
IN 2PCS 7.28.25 DR#78802 SPC BRY
IN 4PCS 7.27.25 DR#78899 SPC RONNIE
IN 1PCS 7.20.25 DR#78565 LIPA A
IN 2PCS 7.20.25 DR#77235 BINAN HACKET
IN 5PCS 7.17.25 DR#78873 SPC BRY
IN 4PCS 7.9.25 DR#78099 LIPA A
IN 1PC 7.8.25 DR#78097 LIPA A
IN 4PCS 4.12.25 DR#77660 SPC HACKET
IN 4PCS 4.8.25 DR#77398 HACKET
IN 4PCS 3.22.25 DR#77444 SPC HACKET
IN 4PCS 2.11.25 DR#77352 SPC KUYA EMMAN
---------------------------------------------
IN 6PCS 12-03-24 DR#75734 SPC KUYA ALWIN
IN 4PCS DR#75725 SPC KUYA MIKE
IN 2PCS 10/23/24 DR#76677 SPC BOSS SAM
IN 4PCS 09/09/24 DR#76529 SPC MASTER
IN 4PCS 08/27/24 DR#76555 SPC KUYA HACKET
IN 4PCS 06/06/24 DR#75177 SPC KUYA HACKET
IN 4PCS 05/06/24 DR# SPC MASTER
IN 8PCS 04/26/24 DR# SPC
IN 4PCS SALES 2/29/24 DR#74842 SPC
4PCS 2-9-24 DR#74807 SPC
4PCS 12-8-23 DR#34222 DRAKESTER
4PCS 12-4-23 DR#74509 SPC
4PCS 11-29-23 DR# SPC
4PCS 11-13-23 DR#74403 SPC
4PCS 10-26-23 DR# SPC
4PCS 7-26-23 DR#74031 SPC
4pcs 7-25-23 dr#74033 spc
4PCS 7-25-23 DR#73251 LIPA A
4PCS 7-19-23 DR#74016 SPC
8PCS 7-6-23 SPC</t>
        </r>
      </text>
    </comment>
    <comment ref="H1172" authorId="0" shapeId="0" xr:uid="{43AB209E-FBF3-DF43-9DA9-3D01D8E50A4F}">
      <text>
        <r>
          <rPr>
            <sz val="10"/>
            <rFont val="SimSun"/>
            <charset val="134"/>
          </rPr>
          <t>02.28.26 
55593 2PCS JARVIS
OUT 4PCS 02.20.26 DR80869 BIÑAN BRY
02.10.26
55012 2PCS ROSE
02.06.26
54919 4PCS ALY
01.17.26
54268 2PCS ROSE
1-8-26
2PCS 53966 MARIBEL
12-23-25
4 PCS 53543 ALY
12-10-25
4 PCS 53079 ALY
11-23-2025 SALES
JO#52587 4PCS JARVIS
11.16.25
52382 2PCS ALY
OUT 4PCS 11.9.25 DR#80008 SPC
11-4-25
2 PCS 52002 JARVIS
10-24-2025
2PCS 51722 JARVIS SALES
10-5-25
4 PCS 50719 HANA
OUT 4PCS 9.30.25 DR#79282 SPC HACKET
9-29-25
2 PCS 50857 ROSE
9-29-25
4 PCS 50971 JARVIS
9-23-25
4 PCS 50826 JEN B
OUT 1PC 9.15.25 DR#79263 SPC ALWIN
9-6-25
2 PCS 50314 MARIBEL
8-30-25
4 PCS 50059 JARVIS
8.21.25
49855 2PCS JARVIS
8-18-25
 2 PCS 49768 JARVIS
 OUT 2PCS 7.29.25 DR#78385 LIPA A
7-28-25
4 PCS 49097 JARVIS
OUT 1PCS 7.26.25 DR#78379 SPC RONNIE
7-20-25
4 PCS 48879 ALY
7-17-25
4 PCS 48833 JARVIS
7-9-25
4 PCS 48476 MARIBEL
7.6.25
48413 4PCS BEL
48406 4PCS ALY
5.22.25
46629 4PCS JARVIS
3.25.25
44437 1PC MADAM
4 PCS OUT 3-12-25 JO43984 MARIBEL 
3-5-25 4 PCS OUT JO43608 MARLO
4PC OUT 2/2/25 JO42414 JARVIS
OUT 2PCS 11/25/24 JO40082 MARIBEL
10/12/24
38407 2PCS SALES BEL
09/17/24
37650 4PCS SALES DAHLIA
08/26/24
37124 4PCS SALES BEL
OUT 06/11/24 34809 4PCS SALES JARVIS
OUT 05/25/24 34576 2PCS SALES ROSE
OUT 2PCS 05/09/24 DR#75062 SPC MASTER
OUT 05/04/24 34020 4PCS SALES ROSE
OUT 03/26/24 33018 4PCS SALES MARLO
OUT 03/26/24 33027 2PCS SALES BEL
OUT 03/23/24 32923 2PCS SALES BEL
4PCS 2-14-24 31921 SALES
OUT 01-23-2024 JO#31302 4PCS JARVIS
4PCS 12-4-23 JO#29974 JARVIS
12/2/2023 29933 4PCS SALES
4PCS 11-15-23 DR#74271 SPC
4PCS 10-26-23 JO#29092 JARVIS
4pcs 7-29-23 dr#73889 lipa a
4pcs 7-25-23 JO#26893 JARVIS
4PCS 7-25-23 JO#26984 JARVIS
4PCS 7-22-23 JO#26890 JARVIS
4PCS 7-15-23 JO#26735 BEL
4PCS 7-7-23 JO#26564 BEL</t>
        </r>
      </text>
    </comment>
    <comment ref="G1173" authorId="0" shapeId="0" xr:uid="{802C9E6F-E1FC-6D47-8B5F-723739AE401F}">
      <text>
        <r>
          <rPr>
            <sz val="10"/>
            <rFont val="SimSun"/>
            <charset val="134"/>
          </rPr>
          <t>IN 2PCS 06.02.26 DR80726-27 SPC HACKET
IN 4PCS 01.22.26 DR79993 SPC RONNIE
IN 4PCS 11.21.25 DR#147971 DRAKESTER (25)
IN 4PCS 10.22.25 DR#79682 SPC ROBIN
IN 6PCS 7.9.25 DR#79082 SPC RONNIE
IN 12PCS 8.6.25 DR#126084 DRAKESTER
IN 2PCS 7.25.25 DR#78892 SPC HACKET
IN 2PCS 7.21.25 DR#123015 DRAKESTER
IN 4PCS 6.19.25 DR#116606 DRAKESTER
IN 2PCS 5.5.25 DR#77711 SPC ROI
IN 2PCS 4.16.25 DR#77543 LIPA A
IN 2PCS 3.4.25 DR#77040 SPC HACKET
IN 2PCS 11-18-24 DR#75710 SPC KUYA EMMAN
IN 2PCS 11/06/24 DR#76589 SPC MASTER
IN 4PCS 10/30/24 DR#76691 SPC
IN 4PCS 09/16/24 DR#76577 SPC KUYA EMMAN
IN 4PCS 09/09/24 DR#76529 SPC MASTER
IN 8PCS 04/25/24 DR#75005 SPC KUYA HACKET
IN 4PCS 03/06/24 DR#74850 SPC
4PCS 12-8-23 DR#34222 DRAKESTER
2PCS 10-26-23 DR# SPC
4PCS 10-4-23 STA CRUZ
4PCS 8-28-23 DR#73292 LIPA A
8PCS 7-6-23 SPC</t>
        </r>
      </text>
    </comment>
    <comment ref="H1173" authorId="0" shapeId="0" xr:uid="{04B1A9AE-2BBB-6147-92F7-AB50234549D5}">
      <text>
        <r>
          <rPr>
            <sz val="10"/>
            <rFont val="SimSun"/>
            <charset val="134"/>
          </rPr>
          <t>01.30.26
54676 2PCS MARLO
01.19.26
54364 4PCS JARVIS
11-8-25
4 PCS 52107 MARIBEL
10-20-25
4 PCS 51552 MARIBEL
10-9-25
4 PCS 51292 MARLO
OUT 2PCS 8.22.25 DR#78428 STC
OUT 8PCS 8.7.25 DR#78395 SPC HACKET
7-25-25
4 pcs 48985 JARVIS
7-19-25
2 PCS 48886 JARVIS
6-28-25
2 PCS 48070 JARVIS
05-31-2025
4PCS OUT JO#47007 MARIBEL
5-22-25
4 PCS 46629 JARVIS 
4-11-25
4 PC OUT JO45166 JARVIS
2-28-25
4 PCS OUT JO43501 JARVIS
out 2pcs 2.22.25 dr#77123 stc kuya howard
OUT 2PCS 11/8/2024
JO39387 SALES JARVIS
10/27/24
38808 4PCS SALES BEL
10/20/2024	38671 2PCS SALES
09/14/24
37664 4PCS SALES JARVIS
08/29/24
37159 4PCS SALES MARLO
OUT 03/19/24 32842 4PCS SALES JARVIS
OUT 2/26/24 32227 4PCS SALES
4PCS 11-24-23 29725 SAELS
2PCS 10-6-23 JO#28647 JARVIS
2PCS 9-21-23 JO#28319 BEL
4CS 8-28-23 JO#27796 BEL
4PCS 7-18-23 JO#26839 JARVIS</t>
        </r>
      </text>
    </comment>
    <comment ref="G1175" authorId="0" shapeId="0" xr:uid="{FEE5987C-7488-3647-BE9D-9F04F7B5CF3A}">
      <text>
        <r>
          <rPr>
            <sz val="10"/>
            <rFont val="SimSun"/>
            <charset val="134"/>
          </rPr>
          <t>IN 1PC 06/01/24 DR#056854 DRAKESTER</t>
        </r>
      </text>
    </comment>
    <comment ref="H1175" authorId="0" shapeId="0" xr:uid="{2198F674-39D5-A141-A896-3B4EBD5FE377}">
      <text>
        <r>
          <rPr>
            <sz val="10"/>
            <rFont val="SimSun"/>
            <charset val="134"/>
          </rPr>
          <t>OUT 06/02/24 34776 1PC SALES JARVIS</t>
        </r>
      </text>
    </comment>
    <comment ref="G1177" authorId="0" shapeId="0" xr:uid="{489B7C90-EB8F-FE45-A34C-BA706968F131}">
      <text>
        <r>
          <rPr>
            <sz val="10"/>
            <rFont val="SimSun"/>
            <charset val="134"/>
          </rPr>
          <t>IN 1PC 06/01/24 DR#056854 DRAKESTER</t>
        </r>
      </text>
    </comment>
    <comment ref="H1177" authorId="0" shapeId="0" xr:uid="{918BC551-0A15-BA4D-88E3-5C8B7ABC0AA2}">
      <text>
        <r>
          <rPr>
            <sz val="10"/>
            <rFont val="SimSun"/>
            <charset val="134"/>
          </rPr>
          <t>OUT 06/02/24 34776 1PC SALES JARVIS</t>
        </r>
      </text>
    </comment>
    <comment ref="G1179" authorId="0" shapeId="0" xr:uid="{C0A4108B-B7EE-2840-AAF3-6ED44A43B194}">
      <text>
        <r>
          <rPr>
            <sz val="10"/>
            <rFont val="SimSun"/>
            <charset val="134"/>
          </rPr>
          <t>IN 2PCS 09/21/24 DR#76539 SPC KUYA HACKET</t>
        </r>
      </text>
    </comment>
    <comment ref="H1179" authorId="0" shapeId="0" xr:uid="{3FC8CA70-DE6D-2245-BAC8-D39D26364BA6}">
      <text>
        <r>
          <rPr>
            <sz val="10"/>
            <rFont val="SimSun"/>
            <charset val="134"/>
          </rPr>
          <t>09/21/24
37836 2PCS SALES MARLO</t>
        </r>
      </text>
    </comment>
    <comment ref="G1180" authorId="0" shapeId="0" xr:uid="{88CCCB4A-601B-3C4E-B86E-874DC12AE06B}">
      <text>
        <r>
          <rPr>
            <sz val="10"/>
            <rFont val="SimSun"/>
            <charset val="134"/>
          </rPr>
          <t>4PCS 4.30.25 107170 DRAKSTER</t>
        </r>
      </text>
    </comment>
    <comment ref="H1180" authorId="0" shapeId="0" xr:uid="{2C71ADC3-1024-A44B-9CF6-20CF0A2575E4}">
      <text>
        <r>
          <rPr>
            <sz val="10"/>
            <rFont val="SimSun"/>
            <charset val="134"/>
          </rPr>
          <t xml:space="preserve">5-1-25
4 PCS 45880 MARLO 
</t>
        </r>
      </text>
    </comment>
    <comment ref="G1183" authorId="0" shapeId="0" xr:uid="{607050C8-E222-504E-BCD4-69714B0DF879}">
      <text>
        <r>
          <rPr>
            <sz val="10"/>
            <rFont val="SimSun"/>
            <charset val="134"/>
          </rPr>
          <t>02.17.26 DR166232 DRAKESTER</t>
        </r>
      </text>
    </comment>
    <comment ref="H1183" authorId="0" shapeId="0" xr:uid="{9414F754-090C-6E4A-8B98-13F1E0730BE5}">
      <text>
        <r>
          <rPr>
            <sz val="10"/>
            <rFont val="SimSun"/>
            <charset val="134"/>
          </rPr>
          <t>02.18.26
55207 2PCS JARVIS</t>
        </r>
      </text>
    </comment>
    <comment ref="G1184" authorId="0" shapeId="0" xr:uid="{BCCD0A8F-FEC5-9848-BB70-D8675B41A000}">
      <text>
        <r>
          <rPr>
            <sz val="10"/>
            <rFont val="SimSun"/>
            <charset val="134"/>
          </rPr>
          <t xml:space="preserve">IN 4PCS 11.5.25 DR#144440 DRAKESTER
IN 2PCS 4.10.25 DR#103696 DRAKESTER
IN 2PCS 2.5.25 DR#092358 DRAKESTER
IN 4PCS 12-10-24 DR#083963 drakester
</t>
        </r>
      </text>
    </comment>
    <comment ref="H1184" authorId="0" shapeId="0" xr:uid="{3EF8FA98-644B-FD4A-9495-8207228FD4DD}">
      <text>
        <r>
          <rPr>
            <sz val="10"/>
            <rFont val="SimSun"/>
            <charset val="134"/>
          </rPr>
          <t>11-6-25
4 PCS 52052 MARIBEL
4-10-25
2 PCS OUT JO45147 ALY
2PC OUT 2/5/25 JO42370 MJEN 
4pcs 12/10/24 jo40517 dalia</t>
        </r>
      </text>
    </comment>
    <comment ref="G1185" authorId="0" shapeId="0" xr:uid="{47E49805-A014-3A47-A197-D873F5F89ACD}">
      <text>
        <r>
          <rPr>
            <sz val="10"/>
            <rFont val="SimSun"/>
            <charset val="134"/>
          </rPr>
          <t>IN 4PCS 7.17.25 DR#122446  DRAKESTER</t>
        </r>
      </text>
    </comment>
    <comment ref="H1185" authorId="0" shapeId="0" xr:uid="{C128891F-51B4-5C40-9779-F5F61A76AB1E}">
      <text>
        <r>
          <rPr>
            <sz val="10"/>
            <rFont val="SimSun"/>
            <charset val="134"/>
          </rPr>
          <t xml:space="preserve">7-18-25
4 PCS 48836 JARVIS
</t>
        </r>
      </text>
    </comment>
    <comment ref="G1187" authorId="0" shapeId="0" xr:uid="{8E9831C7-F406-0E4C-A782-7AF4E8E961BA}">
      <text>
        <r>
          <rPr>
            <sz val="10"/>
            <rFont val="SimSun"/>
            <charset val="134"/>
          </rPr>
          <t xml:space="preserve">IN 2PCS 02.28.26 DR168971 DRAKESTER
</t>
        </r>
      </text>
    </comment>
    <comment ref="H1187" authorId="0" shapeId="0" xr:uid="{112D7D1D-C200-5D4C-916F-9B38A751D3DF}">
      <text>
        <r>
          <rPr>
            <sz val="10"/>
            <rFont val="SimSun"/>
            <charset val="134"/>
          </rPr>
          <t>02.27.26
55562 2PCS ALY</t>
        </r>
      </text>
    </comment>
    <comment ref="G1188" authorId="0" shapeId="0" xr:uid="{6225E675-5400-5E40-8EA2-BFC5AF204E9F}">
      <text>
        <r>
          <rPr>
            <sz val="10"/>
            <rFont val="SimSun"/>
            <charset val="134"/>
          </rPr>
          <t>IN 3PCS 02.28.26 DR168721 DRAKESTER (8,057.52) 
IN 1PCS 02.09.26 DR80733 SPC BRY
IN 2PCS 02.09.26 DR80732 SPC SERVICE
IN 2PCS 02.07.26 DR80350 SNV
IN 4PCS 11.21.25 DR#147971 DRAKESTER (25)
IN 4PCS 10.18.25 DR#79675 SPC BRY
IN 4PCS 12-03-24 DR#76138 LIPA A
4pcs 2-13-24 74815 spc
1PC 1-12-24 DR# SPC
4PCS 12-26-23 DR#74539 SPC
1PC 12-26-23 DR#73316 LIPA A
4pcs 11-18-23 sta cruz
4PCS 11-13-23 DR#74403 SPC
2PCS 10-29-23 DR#72684  LIPA A
2pcs 10-27-23 DR#74360 SPC
2PCS 10-16-23 DR#72672 LIPA A
4PCS 7-19-23 DR#74016 SPC</t>
        </r>
      </text>
    </comment>
    <comment ref="H1188" authorId="0" shapeId="0" xr:uid="{082F7971-8EE2-684D-B727-88F2A102A575}">
      <text>
        <r>
          <rPr>
            <sz val="10"/>
            <rFont val="SimSun"/>
            <charset val="134"/>
          </rPr>
          <t>02.10.26
54905 4PCS BEL
1-3-26
4PCS OUT 53835 JARVIS
OUT 4PCS 12.13.25 DR#80066 SPC ROBIN
OUT 4PCS 3.28.25 DR#77195 SPC EMMAN
OUT 4PCS 09/09/24 DR#75401 SPC KUYA RON
4PCS 2-24-24 32222 LEN
1PC 2-23-24 DR#74686 LIPA A
OUT 12-20-2023 
30421 5PCS SALES MA'AM JEN (1PC FROM LIPA A) 
4PCS 11-18-23 JO#29597 MAM JEN
4PCS 10-29-23 JO#29182 MARLO
4PCS 10-16-23 JO#28848 JARVIS
2PCS 10-14-23 JO#28538 MARLO
4PCS 8-1-23 JO#27141 MARLO
4PCS 7-26-23 JO#26864 MARLO</t>
        </r>
      </text>
    </comment>
    <comment ref="G1189" authorId="0" shapeId="0" xr:uid="{213ABBBB-D014-5D4A-BDDA-EDD1CC273BC2}">
      <text>
        <r>
          <rPr>
            <sz val="10"/>
            <rFont val="SimSun"/>
            <charset val="134"/>
          </rPr>
          <t>IN 4PCS 02.16.26 DR80753 SPC ALWIN
IN 2PCS 02.14.26. DR80752 SPC
IN 2PCS 02.01.26 DR80815 LIPA A
IN 4PCS 01.12.26 DR79961 SPC HACKET
IN 1PC 10.27.25 DR#79689 SPC BRY
IN 4PCS 9.7.25 DR#79645 SPC ROI
IN 4PCS 9.25.25 DR#79614 SPCS HACKET
IN 4PCS 9.1.25 DR#78917 S.V
IN 3PCS 8.18.25 DR#79029 SPC EMMAN
IN 1PCS 8.5.25 DR#78835 SPC HACKET
IN 4PCS 8.5.25 DR# 78593 LIPA A
IN 2PC 5.9.25 DR#77717 SPC ROI
IN 2PCS 5.5.25 DR#77713 SPC ALWIN
IN 3PCS 4.29.25 DR#78013 LIPA A
IN 4PCS 4.8.25 DR#77399 SPC EMMAN
IN 2PCS 2.12.25 DR#77016 SPC
2.1.25 2PCS DR#76193 LIPA A
1-29-30 4PCS DR#76190 LIPA A
IN 2PCS 1-28-25D DR#77077 SPC KUYA MIKE
IN 2PCS 1-24-25 DR#77002 SPC KUYA HACKET
IN 2PCS 1-13-25 DR#76884 SPC KUYA MIKE
----------------------------------------------
IN 4PCS 12-20-24 DR#75750 SPC
IN 4PCS 10/28/24 DR#76682 SPC BRIAN
IN 2PCS 09/19/24 DR#76534 SPC KUYA HACKET
IN 2PCS 09/12/24 DR#76085 LIPA A
IN 2PCS 09/12/24 DR#76532 SPC KUYA HACKET
IN 4PCS 08/17/24 DR#77251 SPC KUYA HACKET
IN 4PCS 06/28/24 dr#75215 SPC
IN 4PCS 06/20/24 DR#73496 LIPA A
IN 4PCS 03/30/31 DR#74886 SPC KUYA HACKET</t>
        </r>
      </text>
    </comment>
    <comment ref="H1189" authorId="0" shapeId="0" xr:uid="{5EF81116-6413-164A-A2DD-A7E35A783FE2}">
      <text>
        <r>
          <rPr>
            <sz val="10"/>
            <rFont val="SimSun"/>
            <charset val="134"/>
          </rPr>
          <t>02.25.26
31727 4PCS BEL
02.14.26
55318 2PCS BEL
02.01.26
54761 4PCS ALY
01.28.26
54642 2PCS JARVIS 
11-14-25
2 PCS 52311 ALY
10-17-25
4 PCS 51501 JARVIS
10.4.25
51161 4PCS JARVIS
9-2-25
4 PCS 50167 JARVIS
8.22.25
49882 2PCS BEL
OUT 1PC 8.19.25 DR#78418 A
8-5-25
4 PCS 49349 ALY
7-21-25
4 PCS 48941 JARVIS
4-29-25
4 PCS 45819 JARVIS
OUT 1PC 4.26.25 DR#77613 SPC HACKET
4-23-25
4 PCS 45562 JARVIS
4-14-25
2 PCS OUT JO45286 JARVIS
4 PC OUT 1/29/25 JO42287 JARVIS
2PC OUT 1/28/25 JO42252 MARIBEL
4PC OUT 1/22/25 JO42041 JARVIS
2PC OUT 1/9/25 JO41552 DALIA
11/21/24 4PCS JO39955 JARVIS
09/29/24
38064 4PCS SALES BEL
09/12/24
37558 4PCS SALES ROSE
09/11/24
37565 2PCS SALES DAHLIA
08/16/24
36851 4PCS SALES JARVIS
OUT 06/20/24 35287 4PCS SALES LEN
OUT 06/17/24 35179 4PCS SALES BEL</t>
        </r>
      </text>
    </comment>
    <comment ref="G1193" authorId="0" shapeId="0" xr:uid="{A6E7A495-0A88-864F-A134-C70412175DCB}">
      <text>
        <r>
          <rPr>
            <sz val="10"/>
            <rFont val="SimSun"/>
            <charset val="134"/>
          </rPr>
          <t>IN 5PCS 3.6.25 DR#97491 DRAKESTER</t>
        </r>
      </text>
    </comment>
    <comment ref="H1193" authorId="0" shapeId="0" xr:uid="{9E3C670F-4FE3-8D4E-8072-11DBD4996F60}">
      <text>
        <r>
          <rPr>
            <sz val="10"/>
            <rFont val="SimSun"/>
            <charset val="134"/>
          </rPr>
          <t xml:space="preserve">3.13.25 4PCS  DR#77154 BINAN
3.7.25 43811 1PC BOSS JUN
</t>
        </r>
      </text>
    </comment>
    <comment ref="G1194" authorId="0" shapeId="0" xr:uid="{C8239FFF-B2C0-9B48-9609-AAF37A8100CE}">
      <text>
        <r>
          <rPr>
            <sz val="10"/>
            <rFont val="SimSun"/>
            <charset val="134"/>
          </rPr>
          <t>IN 2PCS 04/27/24 DR#75009 SPC</t>
        </r>
      </text>
    </comment>
    <comment ref="H1194" authorId="0" shapeId="0" xr:uid="{2A19A9EB-1CB4-3149-ACE7-25D7D8AD26C3}">
      <text>
        <r>
          <rPr>
            <sz val="10"/>
            <rFont val="SimSun"/>
            <charset val="134"/>
          </rPr>
          <t>OUT 04/27/24 33746 2PCS SALES ROSE</t>
        </r>
      </text>
    </comment>
    <comment ref="G1195" authorId="0" shapeId="0" xr:uid="{46D7F767-55E3-5A43-AA5A-989609780751}">
      <text>
        <r>
          <rPr>
            <sz val="10"/>
            <rFont val="SimSun"/>
            <charset val="134"/>
          </rPr>
          <t>IN 2PCS 04/27/24 DR#75009 SPC</t>
        </r>
      </text>
    </comment>
    <comment ref="H1195" authorId="0" shapeId="0" xr:uid="{FC739306-01FB-CE47-934E-342A91F4A6EC}">
      <text>
        <r>
          <rPr>
            <sz val="10"/>
            <rFont val="SimSun"/>
            <charset val="134"/>
          </rPr>
          <t>OUT 04/27/24 33746 2PCS SALES ROSE</t>
        </r>
      </text>
    </comment>
    <comment ref="G1196" authorId="0" shapeId="0" xr:uid="{CE3F5228-AE42-924F-BBCD-D86F59AB0066}">
      <text>
        <r>
          <rPr>
            <sz val="10"/>
            <rFont val="SimSun"/>
            <charset val="134"/>
          </rPr>
          <t>IN 2PCS 04/27/24 DR#75009 SPC</t>
        </r>
      </text>
    </comment>
    <comment ref="G1197" authorId="0" shapeId="0" xr:uid="{22F2EA8C-202D-E346-BEC3-D450A5B091D6}">
      <text>
        <r>
          <rPr>
            <sz val="10"/>
            <rFont val="SimSun"/>
            <charset val="134"/>
          </rPr>
          <t>4PCS 12-12-22 STF#7369 SPC
4PCS 11-4-22 STF#7195 SPC
4PCS 11-3-22 STF#7189 SPC
4PC 10-30-22 ST002183 LIPA A
4PCS 7-28-22 STF#6702 SPC
4PCS 6-27-22 STF#6547 SPC</t>
        </r>
      </text>
    </comment>
    <comment ref="H1197" authorId="0" shapeId="0" xr:uid="{B32F2666-D3CE-CB48-8376-81DCE0C08FFD}">
      <text>
        <r>
          <rPr>
            <sz val="10"/>
            <rFont val="SimSun"/>
            <charset val="134"/>
          </rPr>
          <t>4PCS 12-14-22 JO#20129 JARVIS
4PCS 11-17-22 STF#2073 SPC
4PCS 11-3-22 JO#19172 MARLO
4PCS 10-31-22 JO#19133 MARLO
4PCS 9-22-22 STF#1985 LIPA A
4pcs 7-27-22 JO#16968 SALES</t>
        </r>
      </text>
    </comment>
    <comment ref="G1198" authorId="0" shapeId="0" xr:uid="{7F7F2E8A-A316-7F45-B861-FBDCFBA7C081}">
      <text>
        <r>
          <rPr>
            <sz val="10"/>
            <rFont val="SimSun"/>
            <charset val="134"/>
          </rPr>
          <t>4PC 8-31-22 STF#6859 SPC</t>
        </r>
      </text>
    </comment>
    <comment ref="H1198" authorId="0" shapeId="0" xr:uid="{8017AF07-B7C7-2C48-92D2-79F0021BC381}">
      <text>
        <r>
          <rPr>
            <sz val="10"/>
            <rFont val="SimSun"/>
            <charset val="134"/>
          </rPr>
          <t>4PCS  9-1-22 JO#17730 ALY</t>
        </r>
      </text>
    </comment>
    <comment ref="G1201" authorId="0" shapeId="0" xr:uid="{19E02FB1-B889-DA48-919A-5E7822626799}">
      <text>
        <r>
          <rPr>
            <sz val="10"/>
            <rFont val="SimSun"/>
            <charset val="134"/>
          </rPr>
          <t>IN 4PCS 06/03/24 DR#1481 COMETZ</t>
        </r>
      </text>
    </comment>
    <comment ref="H1201" authorId="0" shapeId="0" xr:uid="{0E2AE443-D7AE-6943-BCFD-084B1DFCE42A}">
      <text>
        <r>
          <rPr>
            <sz val="10"/>
            <rFont val="SimSun"/>
            <charset val="134"/>
          </rPr>
          <t>OUT 06/03/24 34831 4PCS SALES</t>
        </r>
      </text>
    </comment>
    <comment ref="G1213" authorId="0" shapeId="0" xr:uid="{053330C7-0F20-8049-9D40-022C90D38B54}">
      <text>
        <r>
          <rPr>
            <sz val="10"/>
            <rFont val="SimSun"/>
            <charset val="134"/>
          </rPr>
          <t>IN 2PCS 01.29.26 DR39486 SVB (7,800)
2PCS 4-11-23 STF# 7979 SPC
4PCS 3-9-23 STF#7812 SPC
7PCS 11-22-22 STf#7265 SPC
6PCS 9-23-22 STF#6969 SPC
4PCS 9-22-22 STF#6962 SPC
4PCS 9-17-22 STF#6940 SPC
8PCS 9-15-22 STF#6935 SPC
1PC 9-3-22 STF#2106 SITE A
2PCS 6-3-22 STF#6443 SPC
2pcs 5-28-22 STF#6411 SPC
8pcs 5-11-22 STF#6319 SPC
4PC 05-02-2022 ST006275 SPC
8PC 03-30-2022 ST006127 SPC
8PC 03-21-22 ST006089 SPC
4PCS 1-12-22 STF#5760 SPC
4PCS 1-4-21 STF#5725 SPC
4PC 12-20-2021 ST001675 LIPA A
8PCS 11-27-21 STF#5584  SPC</t>
        </r>
      </text>
    </comment>
    <comment ref="H1213" authorId="0" shapeId="0" xr:uid="{8EAEA392-BB79-F448-8ADF-EF161C47BED5}">
      <text>
        <r>
          <rPr>
            <sz val="10"/>
            <rFont val="SimSun"/>
            <charset val="134"/>
          </rPr>
          <t xml:space="preserve">
01.31.26
54632 2PCS aly
2PCS 4-11-23 JO#24268 BEL
4PCS 3-18-23 STF#2350 SPC
4PCS 1-28-23 JO21308 ALY
2PCS 12-28-22 STF#2178 SPC
4PCS 12-7-22 STF#2122 SPC
2PCS 12-2-22 JO#19925 JARVIS
4PCS 11-22-22 JO#19683 JARVIS
2PCS 11-13-22 JO#19478 BEL
5PCS 11-3-22 JO#19203 JARVIS
4PCS 10-28-22 JO19070 MARIBEL
4PCS 9-21-22 JO#18259 ALY
4PCS 9-21-22 JO#18235 MARLO
4PCS 8-27-22 STF#1945 SPC
4pc 8-27-22 jo17672 maribel
1PC 7-18-22 JO16739 PAUL
2PC 7-15-22 JO16713 MARIBEL
2PC 06-22-22 JO#16147 PAUL
2PCS 5-31-22 JO#15725 SALES
4PC 05-06-2022 ST001771 LIPA A
2PC 04-07-2022 JO14603 SALES
4PC 03-22-2022 JO14271 SALES 4PCS 3-22-22 STF#1687 A
4PCS 03-18-2022 ST001684 SPC
4PCS 2-7-22 JO#13401 BEL
4PC 12-21-2021 JO#12556 JARVIS
4PC 12-18-2021 JO#12492 JARVIS
2PCS 12-15-21 JO#9164 LIZA
2PCS 11-29-21 JO#12715 JARVIS</t>
        </r>
      </text>
    </comment>
    <comment ref="G1214" authorId="0" shapeId="0" xr:uid="{FCC920C5-55F3-3E40-BD96-05023981E9BC}">
      <text>
        <r>
          <rPr>
            <sz val="10"/>
            <rFont val="SimSun"/>
            <charset val="134"/>
          </rPr>
          <t>IN 4PCS 7.4.25 DR#48068 BCC (8,800 CASH)
2PCS 1-28-23 STf#2307 LIPA A
4PCS 1-28-23 STF#7588 SPC
2PCS 12-27-22 STF#7429 SPC
1PC 12-9-22 STF#7357 SPC
7PCS 12-5-22 STF#7329 SPC
4pcs 8-10-22 STF#2073 SITE A
2PCS  5-11-22 STF#6319 SPC
4PC 05-02-2022 ST006275 SPC
4PC 03-10-2022 ST006042 SPC
2PC 03-03-2022 ST006000 SPC
2PC 03-03-2022 ST001800 LIPA A
2PCS 2-9-22 STF#58892 SPC
4PCS 12-20-21 STF#5687 SPC
8PCS 11-27-21 STF#5584  SPC</t>
        </r>
      </text>
    </comment>
    <comment ref="H1214" authorId="0" shapeId="0" xr:uid="{5EB460B6-0E13-AE42-BFE9-3D696D6307A0}">
      <text>
        <r>
          <rPr>
            <sz val="10"/>
            <rFont val="SimSun"/>
            <charset val="134"/>
          </rPr>
          <t>7.5.25
48334 4PCS MADAM
4PCS 3-4-23 JO22146 4PCS 1-28-23 JO21278 JARVIS
2PCS 1-25-23 JO#21227 JARVIS
4PCS 12-28-22 JO#20485 ALY
2pc 12-22-22 jo20336 aly
4PC 9-4-22 JO17835 ALY
2PCS 8-4-22 stf#1904 SPC
2PC 07-09-22 JO16612 MARLO
2PC 05-10-2022 JO15260 SALES
4PCS 3-21-22 STF#1686 SPC
4PC 03-03-2022 JO13817 SALES
4PC 02-26-2022 JO13754 SALES
2PC 02-12-2022 JO13469 BEL
4PC 01-18-2022 JO#12957 ALY
4PC 01-08-2022 JO#12843 PAUL
4PCS 12-10-21 JO#12315 ALY
2PCS 11-30-21 JO#12205 JARVIS</t>
        </r>
      </text>
    </comment>
    <comment ref="G1217" authorId="0" shapeId="0" xr:uid="{E2F46DCB-A462-774E-8591-7B296F530EC6}">
      <text>
        <r>
          <rPr>
            <sz val="10"/>
            <rFont val="SimSun"/>
            <charset val="134"/>
          </rPr>
          <t>IN 4PCS 09/24/24 DR#76550 SPC KUYA MIKE</t>
        </r>
      </text>
    </comment>
    <comment ref="H1217" authorId="0" shapeId="0" xr:uid="{BF147D17-AACE-1D4B-BB36-72E85E527D9D}">
      <text>
        <r>
          <rPr>
            <sz val="10"/>
            <rFont val="SimSun"/>
            <charset val="134"/>
          </rPr>
          <t xml:space="preserve">09/24/24
37821 4PCS SALES MARIA
</t>
        </r>
      </text>
    </comment>
    <comment ref="G1218" authorId="0" shapeId="0" xr:uid="{E7E07876-1915-9C44-A4EE-886ECB0E23DD}">
      <text>
        <r>
          <rPr>
            <sz val="10"/>
            <rFont val="SimSun"/>
            <charset val="134"/>
          </rPr>
          <t>2PCS 6-15-23 SPC
4pcs 2-26-23 STF#2339  LIPA A
4PCS 12-13-22 STF#7373 SPC
4PCS 12-9-22 STF#7357 SPC
4PCS 9-2-22 STF#6867 SPC
4PC 05-02-2022 ST006275 SPC
4PC 04-25-2022 ST001888 LIPA A
4PCS 4-6-22 STF#6169 SPC
4PC 03-21-22 ST006089 SPC
4PCS 2-9-22 STF#5889 SPC
4PCS 1-4-21 STF#5725 SPC</t>
        </r>
      </text>
    </comment>
    <comment ref="H1218" authorId="0" shapeId="0" xr:uid="{25BF0472-F632-3146-A3A6-C9AD91C8E73E}">
      <text>
        <r>
          <rPr>
            <sz val="10"/>
            <rFont val="SimSun"/>
            <charset val="134"/>
          </rPr>
          <t>4PCS 6-15-23 JO#26060 BEL
2pcs 4-24-23 STF#2421 SPC
4pcs 2-26-23 JO#22011 ALY
4PCS 2-8-23 JO#21558 JARVIS
4PCS 1-3-22 JO#20619 BEL
4PC 7-8-22 ST001868 SPC
4PC 05-06-2022 ST001771 LIPA A
4PCS 4-20-22 JO#14828 SALES
4PC 04-02-2022 JO14445 SALES
4PCS 3-22-22 STF#1687 A
4pcs 1-15-22 stf#1590 spc</t>
        </r>
      </text>
    </comment>
    <comment ref="G1219" authorId="0" shapeId="0" xr:uid="{B78D180B-93E9-7C46-8B79-FBD4A7F46975}">
      <text>
        <r>
          <rPr>
            <sz val="10"/>
            <rFont val="SimSun"/>
            <charset val="134"/>
          </rPr>
          <t>IN 1PC 5-12-23 STF#8105 SPC
4PCS 2-13-23 STF#7673 SPC
4PCS 2-11-23 STF# LIPA A
4PCS 12-16-22 STF#7389 SPC
8PCS 12-5-22 STF#7329 SPC
4PCS 9-29-22 STF#7017 SPC
4PCS 8-27-22 STF#6846 SPC
4PCS 8-11-22 STF#769 STC
4PCS 7-28-22 STF#0761 STC
8PCS 7-18-22 STF#2039 SITE A
4PCS 6-2-22 STF#6428 SPC
4PC 05-02-2022 ST006275 SPC
4PC 04-29-2022 ST006256 SPC
4PC 04-25-2022 ST000667 STC
8PC 03-23-2022 ST006097 SPC
4PC 2-7-22 stf#5881 SPC
4PCS 11-27-21 STF#5584  SPC</t>
        </r>
      </text>
    </comment>
    <comment ref="H1219" authorId="0" shapeId="0" xr:uid="{4553B6AB-1EF0-F145-9B48-210E78824D04}">
      <text>
        <r>
          <rPr>
            <sz val="10"/>
            <rFont val="SimSun"/>
            <charset val="134"/>
          </rPr>
          <t>1PC 5-12-23 JO#25255 BEL
4PCS 2-15-23 JO#21735 ALY
4PCS 2-11-23 JO#21649 JARVIS
4PCS 12-26-22 JO#20461 ALY
4PCS 12-8-22 JO#19970 JARVIS
1PC  12-6-22 STF#2119 SPC
1PC 11-14-22 JO#19458 JARVIS
2PCS 9-29-22 JO#18433 BEL
4PCS 9-11-22 JO#18024 BEL
4PCS 8-14-22 JO#17336 JARVIS
4PC 8-1-22 JO17057 PAUL
4PCS 7-23-22 JO#16897 SALES
4PC 7-19-2022 JO16794 MARIBEL
4PC 7-14-22 JO16679 ALY
4pcs 5-11-22 JO#15277 SALES
4PC 04-30-2022 JO15056 SALES
4PC 04-25-2022 JO14982 SALES
2PC 04-24-2022 JO14924 SALES
4PC 04-02-2022 JO14496 SALES
4PC 03-10-2022 JO14022 BEL
4PC 12-01-2021 JO#12130 PAU</t>
        </r>
      </text>
    </comment>
    <comment ref="G1222" authorId="0" shapeId="0" xr:uid="{3AE5C73F-2CD5-3045-A987-1B617165C2A5}">
      <text>
        <r>
          <rPr>
            <sz val="10"/>
            <rFont val="SimSun"/>
            <charset val="134"/>
          </rPr>
          <t>4pcs 5-23-22 STF#6375 SPC</t>
        </r>
      </text>
    </comment>
    <comment ref="H1222" authorId="0" shapeId="0" xr:uid="{4D19EA2F-2CCB-3D47-8E99-E75778E138CC}">
      <text>
        <r>
          <rPr>
            <sz val="10"/>
            <rFont val="SimSun"/>
            <charset val="134"/>
          </rPr>
          <t>4PCS 6-3-22 stf#1811 SPC</t>
        </r>
      </text>
    </comment>
    <comment ref="G1223" authorId="0" shapeId="0" xr:uid="{F7281F00-E10B-E345-B7F5-74A4E8484F3F}">
      <text>
        <r>
          <rPr>
            <sz val="10"/>
            <rFont val="SimSun"/>
            <charset val="134"/>
          </rPr>
          <t>4pcs 2-1-23 STF#943 STC
3pcs 1-18-23 stf#2296 lipa a
1PC 1-18-23 STF#7524 SPC
2pcs 1-6-23 stf#7459 SPC
4pcs 12-20-22 stF#898 STC
4PCS 11-16-22 STF#7247 SPC
3PC 10-02-22 ST007035 SPC
3PCS 9-22-22 STF#6962 SPC
4PCS 9-15-22 STF#6935 SPC
4PCS 9-5-22 STF#6875 SPC
2PCS 9-2-22 STF#6867 SPC
2pcs 8-24-22 STF#2089 SITE A
2PCS 7-28-22 STF#0760 STC
4PCS 6-2-22 STF#6428 SPC
1PC 4-27-22 STF#6247 SPC
8PCS 3-16-22 STF#6072 SPC
4PC 3-15-22 STF#6066 SPC
8PCS 2-9-22 STF#5889 SPC
2PCS 1-27-22 STF#5823 SPC
4pcs 1-25-22 STF#5810 SPC
4PCS 01-05-2022 ST005730 SPC
4PCS  12-30-21 STF#  1693  A
4PCS 11-27-21 STF#5584  SPC</t>
        </r>
      </text>
    </comment>
    <comment ref="H1223" authorId="0" shapeId="0" xr:uid="{F0644704-DD50-6C47-8B52-B9049F31E750}">
      <text>
        <r>
          <rPr>
            <sz val="10"/>
            <rFont val="SimSun"/>
            <charset val="134"/>
          </rPr>
          <t>4PCS 2-1-23 JO#21389 ALY
4PCS 1-26-23 JO#21187 MARLO
4PCS 1-12-23 JO#20872 ALY
2PCS 1-3-22 JO#20583 JARVIS
4PCS 12-19-22 JO#20195 BEL
4PCS 12-15-22 JO20139 MARIBEL
4PCS 12-12-22 JO#20123 JARVIS
4PCS 11-13-22 JO#19475 BEL
4pcs 9-20-22 JO#18206 JARVIS
4PC 9-20-22 JO18206 JARVIS
2pc 8-27-22 jo17674 maribel
4PC 7-2-22 JO16433 JARVIS
4PCS 6-17-22 JO16084 SALES
4PCS  5-27-22 JO#15652 SALES
4PC 04-25-2022 JO14970 SALES
1PC 04-04-2022 JO14520 SALES
4PCS 3-14-22 JO#14059 JARVIS
4PC 03-09-2022 JO14006 SALES
4PC 03-07-2022 JO13963 SALES
4PC 01-26-2022 JO#13120 MARIBEL
2PC 01-25-2022 JO#13108 MARLO
4PCS 12-30-21 JO#12628 LIZA
4PCS 12-27-21 JO#12624 LIZA
4PCS 11/04/2021 JO#11683 MARIBEL</t>
        </r>
      </text>
    </comment>
    <comment ref="G1224" authorId="0" shapeId="0" xr:uid="{DA317E74-2849-124D-A027-61AE51D47672}">
      <text>
        <r>
          <rPr>
            <sz val="10"/>
            <rFont val="SimSun"/>
            <charset val="134"/>
          </rPr>
          <t>4PCS - 11/20/2021 ST005552 SPC</t>
        </r>
      </text>
    </comment>
    <comment ref="H1224" authorId="0" shapeId="0" xr:uid="{61E2B151-0267-9140-91BC-77FEB74C2006}">
      <text>
        <r>
          <rPr>
            <sz val="10"/>
            <rFont val="SimSun"/>
            <charset val="134"/>
          </rPr>
          <t>4PC 12-08-2021 ST001531 SPC</t>
        </r>
      </text>
    </comment>
    <comment ref="G1225" authorId="0" shapeId="0" xr:uid="{EB8F1B0C-DEE3-8D44-A934-C43CBE047418}">
      <text>
        <r>
          <rPr>
            <sz val="10"/>
            <rFont val="SimSun"/>
            <charset val="134"/>
          </rPr>
          <t>IN 4PCS 2.22.25 DR#46938 BCC
IN 2PCS 11-21-24 SI#46190 BCC
IN 4PCS 11-16-24 SI#46159 BCC
IN 4PCS 09/30/24 SI#45739 BCC
IN 4PCS 09/20/24 SI#45642 BCC
IN 4PCS 06/06/24 DR# SPC KUYA HACKET
4PCS 1-19-24 DR#74617 SPC
1PC 11-20-23 DR#74429 SPC
4PCS 9-21-22 STF#6959 SPC
4PCS 8-27-22 STF#6846 SPC
4PCS 7-14-22 STF#6635 SPC
4PCS 6-9-22 STF#6465 SPC
5PCS 6-2-22 STF#6430 SPC
4PCS 6-2-22 STF#6428 SPC
4PC 04-29-2022 ST006256 SPC
4PC 03-21-22 ST006089 SPC
2PCS 2-14-22 STF#5915 SPC
4PCS 2-14-22 STF#1775 A
4PC 2-7-22 stf#5881 SPC
4PCS 1-23-22 STF#5801 SPC
4PCS 1-11-22 STF#5756 SPC
4PCS 12-23-21 STf#1683 A
4PCS 11-16-21 STF#5527 SPC</t>
        </r>
      </text>
    </comment>
    <comment ref="H1225" authorId="0" shapeId="0" xr:uid="{C05E3423-65A6-264B-97D5-28AD33FD19AB}">
      <text>
        <r>
          <rPr>
            <sz val="10"/>
            <rFont val="SimSun"/>
            <charset val="134"/>
          </rPr>
          <t>2-23-25 4 PCS OUT JO43062 DALIA
OUT 2PCS 11/21/24 JO39756 ALY 
OUT 4PCS 11/19/24 JO39885 JARVIS
09/30/24
38030 4PCS SALES DAHLIA
09/20/24
37776 4PCS SALES JARVIS
OUT 06/24/24 35377 4PCS SALES  JARVIS
4PCS 1-19-24 JO#31150 ROSE
1PC 11-20-23 JO#29611 ROSE
4PCS 11-9-22 JO#19341 JARVIS 
4PCS 9-12-22 JO#18053 PAUL
4PC 8-1-22 JO17072 JARVIS
4PCS 7-5-22 JO#16521 SALES
4PCS 6-3-22 JO#15791 SALES
4pcs 6-2-22 JO#15739 SALES
3PCS 5-23-22 STF#1791 SPC
1PC 5-22-22 JO#15519 SALES
4PCS 4-12-22 JO#14707 SALES
4PC 02-26-2022 JO13750 SALES
2PCS 2-14-22 JO#13508 BEL
4PC 2-7-22 stf#1625 A
4PC 01-23-2022 JO#13057 JARVIS
4PCS 1-11-22 JO#12886 JARVIS
4PCS 12-24-21 JO#12606 JARVIS
4PCS  11-29-21 STF#1515  SPC</t>
        </r>
      </text>
    </comment>
    <comment ref="G1228" authorId="0" shapeId="0" xr:uid="{7A5A525B-E9A8-8F45-9C22-315A6C8D4161}">
      <text>
        <r>
          <rPr>
            <sz val="10"/>
            <rFont val="SimSun"/>
            <charset val="134"/>
          </rPr>
          <t>IN 4PCS 12.2.25 DR#49165 BCC 13,800</t>
        </r>
      </text>
    </comment>
    <comment ref="H1228" authorId="0" shapeId="0" xr:uid="{C6F54157-23DE-104C-B86B-9F45E123D538}">
      <text>
        <r>
          <rPr>
            <sz val="10"/>
            <rFont val="SimSun"/>
            <charset val="134"/>
          </rPr>
          <t>12.2.25
52808 4PCS ALY</t>
        </r>
      </text>
    </comment>
    <comment ref="G1229" authorId="0" shapeId="0" xr:uid="{3FE2B64D-AEF8-C647-9427-3C655F441821}">
      <text>
        <r>
          <rPr>
            <sz val="10"/>
            <rFont val="SimSun"/>
            <charset val="134"/>
          </rPr>
          <t xml:space="preserve"> 
4PCS 7-14-22 STF#6635 SPC
4pcs 5-28-22 STF#6411 SPC
4PCS 2-16-22 STF#5920 SPC
4PCS 2-1-22 STF#5849 SPC
4PCS 11-10-21 STF#5503 SPC</t>
        </r>
      </text>
    </comment>
    <comment ref="H1229" authorId="0" shapeId="0" xr:uid="{762CB7FA-85A9-C946-A8EB-996D688D6646}">
      <text>
        <r>
          <rPr>
            <sz val="10"/>
            <rFont val="SimSun"/>
            <charset val="134"/>
          </rPr>
          <t>2PCS 10-6-22 STF#2003 STC
4PCS 8-6-22 STF#1909 SPC
2PC 7-12-22 JO16650 MARIBEL
4PCS 5-26-22 STF#1795 SPC
4PC 02-11-22 ST001633 SPC
4PCS 11-12-21 JO#11862 JARVIS</t>
        </r>
      </text>
    </comment>
    <comment ref="G1230" authorId="0" shapeId="0" xr:uid="{AC95E910-A112-5D40-B0D4-4EB311F64051}">
      <text>
        <r>
          <rPr>
            <sz val="10"/>
            <rFont val="SimSun"/>
            <charset val="134"/>
          </rPr>
          <t>4PCS 10-6-22 STF#7053 SPC
4PCS 9-8-22 STF#6898 SPC
4PCS 6-3-22 STF#6443 SPC
4PCS 6-2-22 STF#6428 SPC
4PC 04-29-2022 ST006256 SPC
4PC 04-16-2022 ST001872 LIPA A
4PCS 2-16-22 STF#5920 SPC
4PCS 11-13-21 STF#5515 SPC</t>
        </r>
      </text>
    </comment>
    <comment ref="H1230" authorId="0" shapeId="0" xr:uid="{40413BDC-8B55-4546-870B-4BA1D9BA055F}">
      <text>
        <r>
          <rPr>
            <sz val="10"/>
            <rFont val="SimSun"/>
            <charset val="134"/>
          </rPr>
          <t xml:space="preserve">4PCS 10-6-22 JO#18556 JARVIS
4PCS 9-21-22 JO#18234 MARLO
2PCS 6-24-22 STF#1838 SPC
2PCS 6-23-22 STF#1837 SPC
4PCS 6-2-22 JO#15762 SALES
4PCS 5-25-22 JO#15578 SALES
4PC 04-16-2022 JO14765 SALES
4PC 03-19-2022 JO14189 ALY
11-12-21 JO#11862 4PC SALES </t>
        </r>
      </text>
    </comment>
    <comment ref="G1231" authorId="0" shapeId="0" xr:uid="{22BF3550-A8D4-F244-9930-1F233130DB02}">
      <text>
        <r>
          <rPr>
            <sz val="10"/>
            <rFont val="SimSun"/>
            <charset val="134"/>
          </rPr>
          <t>IN 1PC 02.02.26 DR49652 BCC (16,800)</t>
        </r>
      </text>
    </comment>
    <comment ref="H1231" authorId="0" shapeId="0" xr:uid="{986B56D4-0BD8-844C-AEB6-F7D22156FA63}">
      <text>
        <r>
          <rPr>
            <sz val="10"/>
            <rFont val="SimSun"/>
            <charset val="134"/>
          </rPr>
          <t>02.02.26
54784 1PC MARLO</t>
        </r>
      </text>
    </comment>
    <comment ref="G1232" authorId="0" shapeId="0" xr:uid="{7DF804C3-5CEA-CA48-A856-5A614B105453}">
      <text>
        <r>
          <rPr>
            <sz val="10"/>
            <rFont val="SimSun"/>
            <charset val="134"/>
          </rPr>
          <t>4PCS 12-16-23 DR#74533 SPC</t>
        </r>
      </text>
    </comment>
    <comment ref="H1232" authorId="0" shapeId="0" xr:uid="{DB5AA4FC-A298-B74B-8AB4-5474F092CFCE}">
      <text>
        <r>
          <rPr>
            <sz val="10"/>
            <rFont val="SimSun"/>
            <charset val="134"/>
          </rPr>
          <t>4PCS 1-3-24 JO#30688 MAM JEN</t>
        </r>
      </text>
    </comment>
    <comment ref="G1233" authorId="0" shapeId="0" xr:uid="{A942595E-5237-F64B-9949-31C22C68F350}">
      <text>
        <r>
          <rPr>
            <sz val="10"/>
            <rFont val="SimSun"/>
            <charset val="134"/>
          </rPr>
          <t>IN 4PCS 06/15/24 DR#19240 YHI
IN 4PCS 06/12/24 DR# SPC KUYA HACKET</t>
        </r>
      </text>
    </comment>
    <comment ref="H1233" authorId="0" shapeId="0" xr:uid="{0FC407B1-0F7B-2447-9471-6B3CFA1D6A6D}">
      <text>
        <r>
          <rPr>
            <sz val="10"/>
            <rFont val="SimSun"/>
            <charset val="134"/>
          </rPr>
          <t>OUT 06/15/24 34963 4PCS SALES JARVIS
OUT 06/12/24 35021 4PCS SALES  MARLO</t>
        </r>
      </text>
    </comment>
    <comment ref="G1236" authorId="0" shapeId="0" xr:uid="{6CC6E8BA-013D-E043-8818-1FBF554818C8}">
      <text>
        <r>
          <rPr>
            <sz val="10"/>
            <rFont val="SimSun"/>
            <charset val="134"/>
          </rPr>
          <t>IN 2PCS 8.17.25 DR#1519 GUDA
(5,600)
IN 2PCS 09/01/24 DR#1636 COMETZ
IN 2PCS 06/12/24 DR#1508 COMETZ KUYA ROI</t>
        </r>
      </text>
    </comment>
    <comment ref="H1236" authorId="0" shapeId="0" xr:uid="{9E5AA5ED-DC29-C041-B1D6-1068850E9DA6}">
      <text>
        <r>
          <rPr>
            <sz val="10"/>
            <rFont val="SimSun"/>
            <charset val="134"/>
          </rPr>
          <t xml:space="preserve">8.17.25
49741 2PCS JARVIS
09/02/24
37306 2PCS SALES JARVIS
OUT 06/12/24 35048 2PCS SALES JARVIS </t>
        </r>
      </text>
    </comment>
    <comment ref="G1238" authorId="0" shapeId="0" xr:uid="{0597B37B-8D94-0046-A1F9-01D8BFE84116}">
      <text>
        <r>
          <rPr>
            <sz val="10"/>
            <rFont val="SimSun"/>
            <charset val="134"/>
          </rPr>
          <t>IN 4PCS 10/26/24 DR#76680 SPC KUYA HACKET
IN 4PC 10-18-24 DR#76661 SPC KUYA HACKET
IN 4PCS 10/03/24 DR#76630 SPC KUYA HACKET
IN 4PCS 06/22/24 DR#75191 SPC KUYA ADWIN
IN 2PCS 05/27/24 DR#75165 SPC
IN 2PCS 5/27/24 REF#75614 STC
2PCS 3-1-24 STA CRUZ
2PCS 2-16-24 DR#74826 SPC
4PCS 2-12-24 DR#74812-13 SPC</t>
        </r>
      </text>
    </comment>
    <comment ref="H1238" authorId="0" shapeId="0" xr:uid="{F27BB7AA-0320-E14E-8DF2-0668627EE031}">
      <text>
        <r>
          <rPr>
            <sz val="10"/>
            <rFont val="SimSun"/>
            <charset val="134"/>
          </rPr>
          <t>OUT 4PCS 7.17.25 DR#78367 SPC HACKET
OUT 4PCS 5.16.25 DR#77961 LIPA A MIKE
10/12/24
38411 4PCS SALES ROSE
OUT 4PCS 06/15/24 DR#75108 SPC KUYA HACKET
OUT 03/01/24 32325 4PCS SALES JARVIS 
4PCS 2-15-24 31931 SALES</t>
        </r>
      </text>
    </comment>
    <comment ref="G1239" authorId="0" shapeId="0" xr:uid="{DB7C3FAC-1C90-1D40-872A-6BDA554A769F}">
      <text>
        <r>
          <rPr>
            <sz val="10"/>
            <rFont val="SimSun"/>
            <charset val="134"/>
          </rPr>
          <t>IN 4PCS 1-15-25 DR#88601 DRAKESTER
----------------------------------------------
IN 4PCS 10/26/24 DR#76680 SPC KUYA HACKET
IN 4PCS 09/16/24 DR#76577 SPC KUYA EMMAN
IN 4PCS 08/010/24 DR#76517 SPC KUYA MIKE
IN 4PCS 07/30/24 DR# SPC KUYA EMMAN
IN 4PCS 07/04/24 DR#75223 SPC KUYA HACKET
IN 4PCS 06/22/24 DR#75191 SPC KUYA ADWIN
IN 8PCS 05/02/24 DR# SPC KUYA MIKE</t>
        </r>
      </text>
    </comment>
    <comment ref="H1239" authorId="0" shapeId="0" xr:uid="{3D78B638-2756-FC4F-8DB2-D6D608B578CD}">
      <text>
        <r>
          <rPr>
            <sz val="10"/>
            <rFont val="SimSun"/>
            <charset val="134"/>
          </rPr>
          <t>6-25-25
4 PCS 47950 JARVIS
4 PC OUT 1/25/25 JO42093 MARLO 
4PC OUT 12/23/24 JO41003 JARVIS
09/14/24
37628 4PCS SALES MARLO
4PCS 7-31-24 JO#36431 JARVIS
7/23/24
36194 4PCS SALES MARLO
OUT 4PCS 07/16/24 REF#75653 STC KUYA HACKET
OUT 05/28/24 34638 4PCS SALES MARLO
OUT 05/08/24 34142 4PCS SALES MARLO
4PCS 2-</t>
        </r>
      </text>
    </comment>
    <comment ref="G1240" authorId="0" shapeId="0" xr:uid="{9930CA0C-D63A-3041-B321-6CC030666260}">
      <text>
        <r>
          <rPr>
            <sz val="10"/>
            <rFont val="SimSun"/>
            <charset val="134"/>
          </rPr>
          <t>IN 1PCS 3.28.25 DR#77371 SPC HACKET
IN 4PCS 08/29/24 DR#68933 DRAKESTER 
IN 4PCS 08/27/24 DR#76555 SPC KUYA HACKET</t>
        </r>
      </text>
    </comment>
    <comment ref="H1240" authorId="0" shapeId="0" xr:uid="{612C7EC1-7935-6446-9E67-D5E641B7D0B0}">
      <text>
        <r>
          <rPr>
            <sz val="10"/>
            <rFont val="SimSun"/>
            <charset val="134"/>
          </rPr>
          <t>4-5-25
4 PCS OUT JO44895 JARVIS
4 PC OUT 2-6-25 JO42627 MARLO 
1pc out 1/11/25 jo41619 ALY</t>
        </r>
      </text>
    </comment>
    <comment ref="G1241" authorId="0" shapeId="0" xr:uid="{319AB385-E536-DA41-A594-B4C404602997}">
      <text>
        <r>
          <rPr>
            <sz val="10"/>
            <rFont val="SimSun"/>
            <charset val="134"/>
          </rPr>
          <t>IN 1PCS 1-15-25 DR#88601 DRAKESTER
-----------------------------------------------
IN 8PCS 12-10-24 DR#83900 DRAKESTER
IN 4PCS 10/03/24 DR#76630 SPC KUYA HACKET
IN 4PCS 06/28/24 dr#75214 SPC
IN 4PCS 03/06/24 DR#74862 SPC
4PCS 2-12-24 DR#74812-13 SPC
4PCS 12-26-23 DR#74539 SPC
4PCS 7-6-23 SPC
4PCS 4-4-23 STF#7953 SPC</t>
        </r>
      </text>
    </comment>
    <comment ref="H1241" authorId="0" shapeId="0" xr:uid="{68C09E86-C669-5F40-9B0C-A84D1997F6E4}">
      <text>
        <r>
          <rPr>
            <sz val="10"/>
            <rFont val="SimSun"/>
            <charset val="134"/>
          </rPr>
          <t>OUT 3PCS 3.28.25 DR#77195 SPC EMMAN
12-27-24
41128 2PCS SALES BEL
OUT 4PCS 11/22/24 JO39918 ,MARLO
OUT 4PCS SALES 11/05/2024
JO39312 MARIBEL
OUT 04/03/24 33195 4PCS SALES JHONLY
4PCS 3-1-24 STA CRUZ
4PCS 1-31-24 JO#31562 JARVIS
4PCS 8-10-23 JO#27381 BEL
4PCS 7-5-23 JO#26524 JARVIS</t>
        </r>
      </text>
    </comment>
    <comment ref="G1242" authorId="0" shapeId="0" xr:uid="{408EA46A-4C3B-A142-AB6A-9A6ED0F7E46A}">
      <text>
        <r>
          <rPr>
            <sz val="10"/>
            <rFont val="SimSun"/>
            <charset val="134"/>
          </rPr>
          <t>IN 1PCS 6.12.25 DR#115296 DRAKESTER
IN 4PCS 6.12.25 DR#115295 DRAKESTER
IN 4PCS 6.11.25 DR#78785 SPC BRIAN 
IN 8PCS 1-15-25 DR#88601 DRAKESTER
IN 4PCS 1-11-25 DR#76882 BRIAN
IN 4PCS 1-7-25 DR#76165 LIPA A
----------------------------------------------
IN 4PCS 12-10-24 DR#83900 DRAKESTER
IN 4PCS 11-20-24 DR#76125 LIPA A
IN 4PCS 05/06/24 DR# SPC MASTER
4PCS 2-12-24 DR#74812-13 SPC
4PCS 7-6-23 SPC</t>
        </r>
      </text>
    </comment>
    <comment ref="H1242" authorId="0" shapeId="0" xr:uid="{9D25F47E-CA5B-5647-8349-D3ED895BB716}">
      <text>
        <r>
          <rPr>
            <sz val="10"/>
            <rFont val="SimSun"/>
            <charset val="134"/>
          </rPr>
          <t>11-18-25
1 PC 52433 MARIBEL
OUT 4PCS 7.10.25 DR#78360 SPC RONNIE
OUT 1PCS 6.13.25 DR#78322 LIPA A
5-16-25
4 PCS 46432 MAMJEN 
OUT 4PCS 2.16.25 DR#77101 BIÑAN KUYA RONNIE
4PC OUT 1/11/25 JO41600 MJEN 
01-07-25
41508 4PCS SALES JARVIS
4PC OUT 1/4/25 JO41365 ALY
4PC OUT 1/4/25 JO41381 MARIBEL
-----------------------------------------------
OUT 4PCS 11/20/24 JO39786 JARVIS
OUT 3/10/24 32612 4PCS SALES JARVIS
4pcs 7-8-23 stf#2548 lipa a</t>
        </r>
      </text>
    </comment>
    <comment ref="G1243" authorId="0" shapeId="0" xr:uid="{E0D57775-7A66-A747-BD2A-EDD4E0E6E891}">
      <text>
        <r>
          <rPr>
            <sz val="10"/>
            <rFont val="SimSun"/>
            <charset val="134"/>
          </rPr>
          <t>IN 4PCS 1-15-25 DR#88601 DRAKESTER</t>
        </r>
      </text>
    </comment>
    <comment ref="H1243" authorId="0" shapeId="0" xr:uid="{21D77E32-2EA8-AF46-BE74-E53410B77BEB}">
      <text>
        <r>
          <rPr>
            <sz val="10"/>
            <rFont val="SimSun"/>
            <charset val="134"/>
          </rPr>
          <t>2.9.25
42769 4pcs sales jarvis</t>
        </r>
      </text>
    </comment>
    <comment ref="G1244" authorId="0" shapeId="0" xr:uid="{F2CEDB50-D952-A94C-82A2-C97EF37A8FBA}">
      <text>
        <r>
          <rPr>
            <sz val="10"/>
            <rFont val="SimSun"/>
            <charset val="134"/>
          </rPr>
          <t>IN 3PCS 4.15.24 DR#77664 SPC HACKET
IN 3PCS 11-18-24 DR#75710 SPC KUYA EMMAN
IN 4PCS 10/26/24 DR#76680 SPC KUYA HACKET
IN 4PCS 06/22/24 DR#75191 SPC KUYA ADWIN
IN 8PCS 04/24/24 DR#SP0052 SPC
IN 4PCS 03/16/24 DR#74869 SPC
4PCS 2-12-24 DR#74812-13 SPC
4PCS 2-2-24 DR#74644 SPC
4PCS 12-26-23 DR#74539 SPC
1PC 8-1-23 STA CRUZ
3PCS 8-1-23 DR#73262 LIPA A
4PCS 7-13-23 DR#73248 SPC
4PCS 7-6-23 SPC
IN 4-24-23 STF#1000 4PCS STC
4PCS 4-4-23 STF#7953 SPC</t>
        </r>
      </text>
    </comment>
    <comment ref="H1244" authorId="0" shapeId="0" xr:uid="{1679345D-0E9B-2F40-8CFB-6C1ED4B40C54}">
      <text>
        <r>
          <rPr>
            <sz val="10"/>
            <rFont val="SimSun"/>
            <charset val="134"/>
          </rPr>
          <t xml:space="preserve">
3.23.25
44394 4PCS JARVIS
4PC OUT 1/10/25 JO41626 MARIBEL 
OUT 2PCS SALES 11/12/2024
JO39652 JARVIS
OUT 06/10/24 34936 4PCS SALES MARLO 
OUT 05/08/24 34108 4PCS SALES BOSS JUN
4PCS 4/6/2024 33253 SALES
OUT 3/10/24 32612 4PCS SALES JARVIS
4pcs 7-8-23 stf#2548 lipa a</t>
        </r>
      </text>
    </comment>
    <comment ref="G1245" authorId="0" shapeId="0" xr:uid="{71C1AF59-450D-FC4C-B7B0-BCA6FF2CC054}">
      <text>
        <r>
          <rPr>
            <sz val="10"/>
            <rFont val="SimSun"/>
            <charset val="134"/>
          </rPr>
          <t>IN 4PCS 7.10.25 DR#120776 DRAKESTER
8PCS 12-19-24 DR085367 DRAKESTER
IN 8PCS 11/25/24 DR#75722 SPC KUYA EMMAN
IN 4PCS 11-7-24 DR76115 LIPA A
IN 12PCS 05/06/24 DR# SPC KUYA MIKE
IN 4PCS 03/16/24 DR#74870 SPC
4PCS 2-24-24 DR#74836 SPC
4PCS 2-12-24 DR#74812-13 SPC
4pcs 11-7-23 DR#74381 SPC
4PCS 4-30-23 STF#8063 SPC
4PCS 4-18-23 STF#2399 SPC
4PCS 4-4-23 STF#7953 SPC</t>
        </r>
      </text>
    </comment>
    <comment ref="H1245" authorId="0" shapeId="0" xr:uid="{AFC7AB40-CBF1-4143-9C6E-A855B8E69EFD}">
      <text>
        <r>
          <rPr>
            <sz val="10"/>
            <rFont val="SimSun"/>
            <charset val="134"/>
          </rPr>
          <t>OUT 3PCS 02.18.26 DR80865-68 SPC HACKET
11.26.25
52623 1PC ALY
4 PC OUT 1/30/25 JO42322 JARVIS
4PC OUT 1/8/25 JO41562 MARLO
12-12-24
40603 4PCS SALES JARVIS
OUT 4PCS 12-10-24 DR#75501 SPC
OUT 4PC 11/6/2024
JO39335 SALES JARVIS
OUT 4PCS 10/31/2024
JO38962  MARIBEL 
09/03/24
37337 4PCS SALES JARVIS
08/20/24
36946 4PCS SALES JARVIS
OUT 05/02/24 33975 4PCS SALES BEL
OUT 03/06/24 4PCS DR#74700 MASTER
4PCS 2-23-24 32065 BEL
4PCS 11-7-23 JO#29120 BEL
4PCS 4-30-23 JO#24975 JARVIS
4PCS 4-25-23 JO#24835 JARVIS
4PCS 4-4-23 JO#24119 JARVOS</t>
        </r>
      </text>
    </comment>
    <comment ref="G1246" authorId="0" shapeId="0" xr:uid="{E764E6E8-DEE9-0443-9634-B6BC79D63BB7}">
      <text>
        <r>
          <rPr>
            <sz val="10"/>
            <rFont val="SimSun"/>
            <charset val="134"/>
          </rPr>
          <t>4PCS 2-2-24 DR#74644 SPC</t>
        </r>
      </text>
    </comment>
    <comment ref="H1246" authorId="0" shapeId="0" xr:uid="{F14B7ADB-3483-884F-8826-E552F85DA71D}">
      <text>
        <r>
          <rPr>
            <sz val="10"/>
            <rFont val="SimSun"/>
            <charset val="134"/>
          </rPr>
          <t>4PCS 2-2-24 31563 SALES</t>
        </r>
      </text>
    </comment>
    <comment ref="G1247" authorId="0" shapeId="0" xr:uid="{B1ABBB4E-A526-DF45-8D87-60B5FA313FF0}">
      <text>
        <r>
          <rPr>
            <sz val="10"/>
            <rFont val="SimSun"/>
            <charset val="134"/>
          </rPr>
          <t>IN 2PCS 07/04/24 DR#75224 SPC</t>
        </r>
      </text>
    </comment>
    <comment ref="H1247" authorId="0" shapeId="0" xr:uid="{95F523C8-82E9-774F-B976-0CD2A87C6372}">
      <text>
        <r>
          <rPr>
            <sz val="10"/>
            <rFont val="SimSun"/>
            <charset val="134"/>
          </rPr>
          <t>OUT 07/04/24 35669 2PCS SALES JARVIS</t>
        </r>
      </text>
    </comment>
    <comment ref="G1248" authorId="0" shapeId="0" xr:uid="{D1030CC5-F7D7-7F40-A1D9-8CD06D465428}">
      <text>
        <r>
          <rPr>
            <sz val="10"/>
            <rFont val="SimSun"/>
            <charset val="134"/>
          </rPr>
          <t xml:space="preserve">IN 4PCS 10/09/24 DR#074515 DRAKESTER </t>
        </r>
      </text>
    </comment>
    <comment ref="H1248" authorId="0" shapeId="0" xr:uid="{C4050AD1-1779-944A-A332-4133F893E358}">
      <text>
        <r>
          <rPr>
            <sz val="10"/>
            <rFont val="SimSun"/>
            <charset val="134"/>
          </rPr>
          <t>10/10/24
38312 4PCS SALES MAM JEN</t>
        </r>
      </text>
    </comment>
    <comment ref="G1249" authorId="0" shapeId="0" xr:uid="{DE7A3F06-3FAE-794A-9E74-003659C459B3}">
      <text>
        <r>
          <rPr>
            <sz val="10"/>
            <rFont val="SimSun"/>
            <charset val="134"/>
          </rPr>
          <t>IN 4PCS 01.14.26 DR799272 SPC SERVICE</t>
        </r>
      </text>
    </comment>
    <comment ref="H1249" authorId="0" shapeId="0" xr:uid="{127252EA-1493-A24B-9409-1770EE750036}">
      <text>
        <r>
          <rPr>
            <sz val="10"/>
            <rFont val="SimSun"/>
            <charset val="134"/>
          </rPr>
          <t>01.17.26
54143 4PCS JARVIS</t>
        </r>
      </text>
    </comment>
    <comment ref="G1253" authorId="0" shapeId="0" xr:uid="{C7F3977B-AA6F-E74A-A575-7FBA555E3C42}">
      <text>
        <r>
          <rPr>
            <sz val="10"/>
            <rFont val="SimSun"/>
            <charset val="134"/>
          </rPr>
          <t>IN 2PCS 05/04/24 DR#32008 SVB</t>
        </r>
      </text>
    </comment>
    <comment ref="H1253" authorId="0" shapeId="0" xr:uid="{194C5B9C-3A66-2441-AB07-642C25FBF6F5}">
      <text>
        <r>
          <rPr>
            <sz val="10"/>
            <rFont val="SimSun"/>
            <charset val="134"/>
          </rPr>
          <t>OUT 05/04/24 33986 2PCS SALES JOHNLY</t>
        </r>
      </text>
    </comment>
    <comment ref="G1256" authorId="0" shapeId="0" xr:uid="{AFBDCF21-4261-8F4F-BAD2-F01B3C5183B7}">
      <text>
        <r>
          <rPr>
            <sz val="10"/>
            <rFont val="SimSun"/>
            <charset val="134"/>
          </rPr>
          <t>2PCS 11-16-22 STF#7247 SPC
4PCS 10-10-22 STF#7080 SPC
4PCS 10-10-22 STF#7080 SPC
4pcs 9-28-22 stf#7010 SPC</t>
        </r>
      </text>
    </comment>
    <comment ref="H1256" authorId="0" shapeId="0" xr:uid="{3B9D3B60-201B-574A-9283-964AA933D044}">
      <text>
        <r>
          <rPr>
            <sz val="10"/>
            <rFont val="SimSun"/>
            <charset val="134"/>
          </rPr>
          <t>2PCS 11-25-22 STF#2091 SPC
2PCS 11-24-22 JO#19705 ALY
4PCS 11-15-22 JO#19506 BEL
2PC 11-8-22 JO19322 ALY</t>
        </r>
      </text>
    </comment>
    <comment ref="G1257" authorId="0" shapeId="0" xr:uid="{208A3029-77A5-334A-BBA3-F308DE1BF435}">
      <text>
        <r>
          <rPr>
            <sz val="10"/>
            <rFont val="SimSun"/>
            <charset val="134"/>
          </rPr>
          <t>4pcs 9-28-22 stf#7010 SPC
4PCS 8-19-22 STF#6804 SPC</t>
        </r>
      </text>
    </comment>
    <comment ref="H1257" authorId="0" shapeId="0" xr:uid="{5EF01D91-1813-2846-B624-D5723E6E48A8}">
      <text>
        <r>
          <rPr>
            <sz val="10"/>
            <rFont val="SimSun"/>
            <charset val="134"/>
          </rPr>
          <t>4PCS 11-4-22 STF#2053 SPC
4PCS 8-25-22 STF#1943 SPC</t>
        </r>
      </text>
    </comment>
    <comment ref="G1259" authorId="0" shapeId="0" xr:uid="{FC57D9CF-9377-4648-90E2-815D77C35C1D}">
      <text>
        <r>
          <rPr>
            <sz val="10"/>
            <rFont val="SimSun"/>
            <charset val="134"/>
          </rPr>
          <t>4pcs 9-28-22 stf#7010 SPC
4PCS 7-14-22 STF#6635 SPC</t>
        </r>
      </text>
    </comment>
    <comment ref="H1259" authorId="0" shapeId="0" xr:uid="{D50F6F39-472D-AE49-9838-3935C1752B99}">
      <text>
        <r>
          <rPr>
            <sz val="10"/>
            <rFont val="SimSun"/>
            <charset val="134"/>
          </rPr>
          <t>1PC 1-11-23 STF#2206 SPC
1PC 1-8-23 JO#20706 ALY
2PCS 12-24-22 STF#2170 SPC
1PC 9-8-22 STF#1967 SPC
3PCS 9-5-22 JO#17882 PAU</t>
        </r>
      </text>
    </comment>
    <comment ref="G1260" authorId="0" shapeId="0" xr:uid="{7A5782DE-BE6B-844C-BCCD-8F000EFC3D12}">
      <text>
        <r>
          <rPr>
            <sz val="10"/>
            <rFont val="SimSun"/>
            <charset val="134"/>
          </rPr>
          <t>2PCS 6-14-23 SPC
4PCS 10-8-22 STF#7076 SPC
4pcs 9-28-22 stf#7010 SPC</t>
        </r>
      </text>
    </comment>
    <comment ref="H1260" authorId="0" shapeId="0" xr:uid="{7B64EF99-A42C-E049-8176-FAEE057C4AC1}">
      <text>
        <r>
          <rPr>
            <sz val="10"/>
            <rFont val="SimSun"/>
            <charset val="134"/>
          </rPr>
          <t>1PC  10-4-23 DR#73992 SPC
1PC 6-29-23 JO#26391 JARVIS
2PCS 4-20-23 JO#24744 JARVIS
4PCS 1-13-23 STf#2212 SPC</t>
        </r>
      </text>
    </comment>
    <comment ref="G1263" authorId="0" shapeId="0" xr:uid="{4E061107-39E3-C943-9B1E-2EAD9BC4EF15}">
      <text>
        <r>
          <rPr>
            <sz val="10"/>
            <rFont val="SimSun"/>
            <charset val="134"/>
          </rPr>
          <t>IN 4PCS 10.2.25 DR#2355 GUDA TIRE</t>
        </r>
      </text>
    </comment>
    <comment ref="H1263" authorId="0" shapeId="0" xr:uid="{34D377AC-DD72-E140-ADF4-411A57DEECDD}">
      <text>
        <r>
          <rPr>
            <sz val="10"/>
            <rFont val="SimSun"/>
            <charset val="134"/>
          </rPr>
          <t>10.2.25
 4PCS BEL</t>
        </r>
      </text>
    </comment>
    <comment ref="G1264" authorId="0" shapeId="0" xr:uid="{4BD56547-DE86-814C-981A-D0D6A720BD91}">
      <text>
        <r>
          <rPr>
            <sz val="10"/>
            <rFont val="SimSun"/>
            <charset val="134"/>
          </rPr>
          <t>4PCS 10-10-22 STF#7080 SPC
4pcs 9-27-22 STF#6994 SPC
4pcs 8-3-22 STF#6726 SPC</t>
        </r>
      </text>
    </comment>
    <comment ref="H1264" authorId="0" shapeId="0" xr:uid="{2F3CCBD7-CB19-574A-8C27-7E7631AA0C94}">
      <text>
        <r>
          <rPr>
            <sz val="10"/>
            <rFont val="SimSun"/>
            <charset val="134"/>
          </rPr>
          <t>4PCS 1-23-23 STF#2235 LIPA A
1PC  12-28-22 STF#2178 SPC
2PC 11-16-22 ST002071 SPC
1PC 10-19-22 JO#18911 JARVIS
4pcs 9-15-22 jo18103 jarvis</t>
        </r>
      </text>
    </comment>
    <comment ref="G1266" authorId="0" shapeId="0" xr:uid="{0DD5BF14-579C-C548-90A4-803FDEB93248}">
      <text>
        <r>
          <rPr>
            <sz val="10"/>
            <rFont val="SimSun"/>
            <charset val="134"/>
          </rPr>
          <t>4PCS 9-30-22 STF#7021 SPC</t>
        </r>
      </text>
    </comment>
    <comment ref="H1266" authorId="0" shapeId="0" xr:uid="{ABB814E4-2CD5-AE43-8D56-751D8697164A}">
      <text>
        <r>
          <rPr>
            <sz val="10"/>
            <rFont val="SimSun"/>
            <charset val="134"/>
          </rPr>
          <t>4PCS 11-16-23 DR#74272 SPC</t>
        </r>
      </text>
    </comment>
    <comment ref="G1269" authorId="0" shapeId="0" xr:uid="{D35C1585-F932-504A-AF1F-E20E620F57EE}">
      <text>
        <r>
          <rPr>
            <sz val="10"/>
            <rFont val="SimSun"/>
            <charset val="134"/>
          </rPr>
          <t>1PC 2-15-23 STF#2326 LIPA A
4PCS 7-14-22 STF#6635 SPC</t>
        </r>
      </text>
    </comment>
    <comment ref="H1269" authorId="0" shapeId="0" xr:uid="{D6F29028-3708-6943-A6CB-16EE613548E7}">
      <text>
        <r>
          <rPr>
            <sz val="10"/>
            <rFont val="SimSun"/>
            <charset val="134"/>
          </rPr>
          <t xml:space="preserve">FOR WARRANTY 1PC </t>
        </r>
      </text>
    </comment>
    <comment ref="G1272" authorId="0" shapeId="0" xr:uid="{17969AF5-528F-4841-9C7D-F988167A314A}">
      <text>
        <r>
          <rPr>
            <sz val="10"/>
            <rFont val="SimSun"/>
            <charset val="134"/>
          </rPr>
          <t>4PCS 11-15-22 STF#2201 SITE A
4PCS 9-30-22 STF#7021 SPC</t>
        </r>
      </text>
    </comment>
    <comment ref="H1272" authorId="0" shapeId="0" xr:uid="{0FF48FBF-7561-0640-B8C2-A4510B13C02A}">
      <text>
        <r>
          <rPr>
            <sz val="10"/>
            <rFont val="SimSun"/>
            <charset val="134"/>
          </rPr>
          <t>4PCS 11-15-22 JO#19506 ALY
4PCS 11-11-22 JO#19413 BEL</t>
        </r>
      </text>
    </comment>
    <comment ref="G1275" authorId="0" shapeId="0" xr:uid="{C219336D-4196-6E4D-BE78-168D48E249F9}">
      <text>
        <r>
          <rPr>
            <sz val="10"/>
            <rFont val="SimSun"/>
            <charset val="134"/>
          </rPr>
          <t>4PCS 9-30-22 STF#7021 SPC</t>
        </r>
      </text>
    </comment>
    <comment ref="H1275" authorId="0" shapeId="0" xr:uid="{3044813E-9086-1844-8CED-BAC14AC5DA56}">
      <text>
        <r>
          <rPr>
            <sz val="10"/>
            <rFont val="SimSun"/>
            <charset val="134"/>
          </rPr>
          <t>4PCS 3-17-23 JO#22369 MARLO</t>
        </r>
      </text>
    </comment>
    <comment ref="G1276" authorId="0" shapeId="0" xr:uid="{AACD5A9A-083A-AA4B-8BE0-8D78AFF865B1}">
      <text>
        <r>
          <rPr>
            <sz val="10"/>
            <rFont val="SimSun"/>
            <charset val="134"/>
          </rPr>
          <t>1PC 11-16-22 STF#7247 SPC
2PCS 11-3-22 STF#7193 SPC
4PCS 9-27-22 STF#6994 SPC
4PCS 9-22-22 STF#6962 SPC</t>
        </r>
      </text>
    </comment>
    <comment ref="H1276" authorId="0" shapeId="0" xr:uid="{1CAB4FB6-036B-174E-B962-AF1F5CE76C17}">
      <text>
        <r>
          <rPr>
            <sz val="10"/>
            <rFont val="SimSun"/>
            <charset val="134"/>
          </rPr>
          <t>2PCS 2-2-23 STF#2259 LIPA A
1PC 11-18-22 JO#19575 JARVUIS
4PCS 11-3-22 JO#19197 BEL
2PCS 10-10-22 JO#18650 SALES
4PC 9-27-22 JO18386 MARIBEL</t>
        </r>
      </text>
    </comment>
    <comment ref="G1277" authorId="0" shapeId="0" xr:uid="{2FD134DC-4AFC-AC49-ACDE-27CBEA00125B}">
      <text>
        <r>
          <rPr>
            <sz val="10"/>
            <rFont val="SimSun"/>
            <charset val="134"/>
          </rPr>
          <t>2pcs 11-8-22 stf#7215  SPC
4pcs 9-28-22 stf#7010 SPC</t>
        </r>
      </text>
    </comment>
    <comment ref="H1277" authorId="0" shapeId="0" xr:uid="{777062E0-59E0-654C-A80A-017728F71148}">
      <text>
        <r>
          <rPr>
            <sz val="10"/>
            <rFont val="SimSun"/>
            <charset val="134"/>
          </rPr>
          <t>4pcs 11-8-22 JO#19324 ALY
2PCS 10-19-22 STF#2021 SPC</t>
        </r>
      </text>
    </comment>
    <comment ref="G1278" authorId="0" shapeId="0" xr:uid="{7B37F224-6C96-AE47-99D1-F45B73496D8C}">
      <text>
        <r>
          <rPr>
            <sz val="10"/>
            <rFont val="SimSun"/>
            <charset val="134"/>
          </rPr>
          <t>2PCS 5-3-23 STF#8074 SPC
4PCS 2-6-23 STF#7637 SPC
4PCS 9-24-22 STF#6981 SPC
4PCS 9-24-22 STF#6977 SPC</t>
        </r>
      </text>
    </comment>
    <comment ref="H1278" authorId="0" shapeId="0" xr:uid="{D797A74F-729D-CC45-9DBC-8413BA34E944}">
      <text>
        <r>
          <rPr>
            <sz val="10"/>
            <rFont val="SimSun"/>
            <charset val="134"/>
          </rPr>
          <t>4PCS 5-18-23 JO#25395 JARVIS
2PCS 2-6-23 JO#21526 JARVIS
4PCS 1-30-23 JO#21338 JARVIS
4PCS 10-24-22 JO#18987 ALY</t>
        </r>
      </text>
    </comment>
    <comment ref="G1279" authorId="0" shapeId="0" xr:uid="{663EDF9A-F480-1A4E-A84C-064AA97406B0}">
      <text>
        <r>
          <rPr>
            <sz val="10"/>
            <rFont val="SimSun"/>
            <charset val="134"/>
          </rPr>
          <t>4PCS 9-27-22 STF#6994 SPC</t>
        </r>
      </text>
    </comment>
    <comment ref="H1279" authorId="0" shapeId="0" xr:uid="{FA0E3D1E-CADF-1840-B60C-50EECFFDB600}">
      <text>
        <r>
          <rPr>
            <sz val="10"/>
            <rFont val="SimSun"/>
            <charset val="134"/>
          </rPr>
          <t>2PCS 10-5-22 JO#18581 SALES
4PCS 9-28-22 JO#18408 SALES</t>
        </r>
      </text>
    </comment>
    <comment ref="G1281" authorId="0" shapeId="0" xr:uid="{8F8B1000-886B-7B40-A8D8-1E80B592BD90}">
      <text>
        <r>
          <rPr>
            <sz val="10"/>
            <rFont val="SimSun"/>
            <charset val="134"/>
          </rPr>
          <t>4PCS 1-18-23 STF#7525 SPC
4PCS 10-18-22 STF#7122 SPC
4PCS 9-24-22 STF#6977 SPC</t>
        </r>
      </text>
    </comment>
    <comment ref="H1281" authorId="0" shapeId="0" xr:uid="{C126797C-9295-524D-8F74-178445003B65}">
      <text>
        <r>
          <rPr>
            <sz val="10"/>
            <rFont val="SimSun"/>
            <charset val="134"/>
          </rPr>
          <t>1PC 1-9-24 DR#73371 SPC OLD DOT
PCS 1-19-23 JO#20983 OFFICE
4pc 11-19-22 jo19594 aly
4PC 10-13-22 JO18752 ALY</t>
        </r>
      </text>
    </comment>
    <comment ref="I1281" authorId="0" shapeId="0" xr:uid="{B12CA742-0839-2846-B1DB-F7AB8594E5B7}">
      <text>
        <r>
          <rPr>
            <sz val="10"/>
            <rFont val="SimSun"/>
            <charset val="134"/>
          </rPr>
          <t>2022</t>
        </r>
      </text>
    </comment>
    <comment ref="G1282" authorId="0" shapeId="0" xr:uid="{A659B7D7-BB69-4946-97B6-9A643C1618F2}">
      <text>
        <r>
          <rPr>
            <sz val="10"/>
            <rFont val="SimSun"/>
            <charset val="134"/>
          </rPr>
          <t>IN 4PCS 05/13/24 DR#32103 SVB</t>
        </r>
      </text>
    </comment>
    <comment ref="H1282" authorId="0" shapeId="0" xr:uid="{56072FEB-010B-B344-B4E2-0D09AFADFC2D}">
      <text>
        <r>
          <rPr>
            <sz val="10"/>
            <rFont val="SimSun"/>
            <charset val="134"/>
          </rPr>
          <t>OUT 05/13/24 34207 4PCS SALES BOSS JUN</t>
        </r>
      </text>
    </comment>
    <comment ref="G1286" authorId="0" shapeId="0" xr:uid="{82098B3C-19D9-E548-BAED-B8896C64B96E}">
      <text>
        <r>
          <rPr>
            <sz val="10"/>
            <rFont val="SimSun"/>
            <charset val="134"/>
          </rPr>
          <t>4PCS 5-26-23 STF#8167 SPC</t>
        </r>
      </text>
    </comment>
    <comment ref="H1286" authorId="0" shapeId="0" xr:uid="{B676F40D-45FF-9241-9A65-5234CAA2747A}">
      <text>
        <r>
          <rPr>
            <sz val="10"/>
            <rFont val="SimSun"/>
            <charset val="134"/>
          </rPr>
          <t>3PCS 9-13-23 DR#72268 SPC
1PC 8-28-23 JO#27739 BEL</t>
        </r>
      </text>
    </comment>
    <comment ref="G1287" authorId="0" shapeId="0" xr:uid="{F1C636C3-E3B7-944E-A3F8-DCAD355F8D22}">
      <text>
        <r>
          <rPr>
            <sz val="10"/>
            <rFont val="SimSun"/>
            <charset val="134"/>
          </rPr>
          <t>4PCS 9-30-22 STF#7021 SPC</t>
        </r>
      </text>
    </comment>
    <comment ref="H1287" authorId="0" shapeId="0" xr:uid="{E58A5B4D-F436-054B-BD39-738A633B1A8C}">
      <text>
        <r>
          <rPr>
            <sz val="10"/>
            <rFont val="SimSun"/>
            <charset val="134"/>
          </rPr>
          <t>4PCS 10-21-22 STF#2028 SPC</t>
        </r>
      </text>
    </comment>
    <comment ref="G1288" authorId="0" shapeId="0" xr:uid="{C016E680-5FEE-DA42-BD93-0CA32C6152EE}">
      <text>
        <r>
          <rPr>
            <sz val="10"/>
            <rFont val="SimSun"/>
            <charset val="134"/>
          </rPr>
          <t>2PCS 10-4-22 STF#7043 SPC
4PCS 9-23-22 STF#6972 SPC</t>
        </r>
      </text>
    </comment>
    <comment ref="H1288" authorId="0" shapeId="0" xr:uid="{B79BBD98-E0A0-FE4E-A678-DAA3BA391AB3}">
      <text>
        <r>
          <rPr>
            <sz val="10"/>
            <rFont val="SimSun"/>
            <charset val="134"/>
          </rPr>
          <t>4PCS 11-18-22 JO#19563 MARLO
2PCS 9-30-221 JO#18443 JARVIS</t>
        </r>
      </text>
    </comment>
    <comment ref="G1289" authorId="0" shapeId="0" xr:uid="{17D64D9E-E034-C147-B462-D3886536A210}">
      <text>
        <r>
          <rPr>
            <sz val="10"/>
            <rFont val="SimSun"/>
            <charset val="134"/>
          </rPr>
          <t>4PCS 5-3-23 STF#8074 SPC
4PCS 10-21-22 STF#7134 SPC
4PCS 10-4-22 STF#7043 SPC
4PCS 9-24-22 STF#6978 SPC</t>
        </r>
      </text>
    </comment>
    <comment ref="H1289" authorId="0" shapeId="0" xr:uid="{CA6F2D32-4EB8-384B-937C-1F8E1C013D05}">
      <text>
        <r>
          <rPr>
            <sz val="10"/>
            <rFont val="SimSun"/>
            <charset val="134"/>
          </rPr>
          <t>4PCS 6-27--23 JO#26331 JARVIS
4PCS 10-24-22 JO#18996 BEL
4PC 10-22-22 JO18477 ALY
4PC 9-29-22 JO18421 ALY</t>
        </r>
      </text>
    </comment>
    <comment ref="G1290" authorId="0" shapeId="0" xr:uid="{2FE54C15-5747-3347-BDB8-E7FF00C765A8}">
      <text>
        <r>
          <rPr>
            <sz val="10"/>
            <rFont val="SimSun"/>
            <charset val="134"/>
          </rPr>
          <t>1PC 5-27-23 STF#8171 SPC
IN 4PCS 4-26-23 STF#8042 SPC</t>
        </r>
      </text>
    </comment>
    <comment ref="H1290" authorId="0" shapeId="0" xr:uid="{36EDDF66-948B-9443-9E68-10DCFC94C185}">
      <text>
        <r>
          <rPr>
            <sz val="10"/>
            <rFont val="SimSun"/>
            <charset val="134"/>
          </rPr>
          <t>4PCS 5-28-23 JO#25632 BEL
1PC 5-23-23 STF#2471 SPC</t>
        </r>
      </text>
    </comment>
    <comment ref="G1291" authorId="0" shapeId="0" xr:uid="{7419AA45-D19A-B646-908E-841393519A26}">
      <text>
        <r>
          <rPr>
            <sz val="10"/>
            <rFont val="SimSun"/>
            <charset val="134"/>
          </rPr>
          <t>4PCS 12-10-22 MACRO</t>
        </r>
      </text>
    </comment>
    <comment ref="H1291" authorId="0" shapeId="0" xr:uid="{30835ABE-B4DE-2543-AD5D-E9AD936A34F6}">
      <text>
        <r>
          <rPr>
            <sz val="10"/>
            <rFont val="SimSun"/>
            <charset val="134"/>
          </rPr>
          <t>4PCS 12-10-22 JO#20221 SALES</t>
        </r>
      </text>
    </comment>
    <comment ref="G1293" authorId="0" shapeId="0" xr:uid="{F7A8271F-57C5-9F4A-BB7A-387E8DF5AE33}">
      <text>
        <r>
          <rPr>
            <sz val="10"/>
            <rFont val="SimSun"/>
            <charset val="134"/>
          </rPr>
          <t>IN 2PCS 09/28/24 DR#33416 SVB
2pcs 8-12-23 DR#74073 SPC
4PCS 4-18-23 STF#2397 SPC
4PCS 9-24-22 STF#6981 SPC</t>
        </r>
      </text>
    </comment>
    <comment ref="H1293" authorId="0" shapeId="0" xr:uid="{18FC77AD-5C75-C943-8209-266A7571FCA7}">
      <text>
        <r>
          <rPr>
            <sz val="10"/>
            <rFont val="SimSun"/>
            <charset val="134"/>
          </rPr>
          <t>09/28/24
38044 2PCS SALES ALY
4PCS 8-12-23 JO#27429 JARVIS
2PCS 4-25-23 JO#24837 JARVIS
4PCS 4-5-23 JO#24155 JARVIS</t>
        </r>
      </text>
    </comment>
    <comment ref="G1294" authorId="0" shapeId="0" xr:uid="{F39678D8-9834-A546-978C-B2EB0047901B}">
      <text>
        <r>
          <rPr>
            <sz val="10"/>
            <rFont val="SimSun"/>
            <charset val="134"/>
          </rPr>
          <t>4PCS 7-3-23 SPC</t>
        </r>
      </text>
    </comment>
    <comment ref="H1294" authorId="0" shapeId="0" xr:uid="{5AD6A141-DD65-3D49-B0F4-B9C33C88F152}">
      <text>
        <r>
          <rPr>
            <sz val="10"/>
            <rFont val="SimSun"/>
            <charset val="134"/>
          </rPr>
          <t>4PCS 7-3-23 SPC</t>
        </r>
      </text>
    </comment>
    <comment ref="G1295" authorId="0" shapeId="0" xr:uid="{A99CE521-8DBD-8849-B54F-74399A404EA6}">
      <text>
        <r>
          <rPr>
            <sz val="10"/>
            <rFont val="SimSun"/>
            <charset val="134"/>
          </rPr>
          <t>4pcs 6-17-23 STF#8214 SPC</t>
        </r>
      </text>
    </comment>
    <comment ref="H1295" authorId="0" shapeId="0" xr:uid="{AF0F3349-EE11-0B4D-8E3D-7EE64399273B}">
      <text>
        <r>
          <rPr>
            <sz val="10"/>
            <rFont val="SimSun"/>
            <charset val="134"/>
          </rPr>
          <t>4PCS 6-20-23 JO#25949 JARVIS</t>
        </r>
      </text>
    </comment>
    <comment ref="G1296" authorId="0" shapeId="0" xr:uid="{68B3B0BB-65A5-4D4C-8B28-C256CDAE3FC9}">
      <text>
        <r>
          <rPr>
            <sz val="10"/>
            <rFont val="SimSun"/>
            <charset val="134"/>
          </rPr>
          <t xml:space="preserve">
2PCS 10-24-22 STF#7149 SPC
4pcs 10-10-22 STF#2162 SITE A
4PCS 9-23-22 STF#6972 SPC</t>
        </r>
      </text>
    </comment>
    <comment ref="H1296" authorId="0" shapeId="0" xr:uid="{5A71F375-B1AE-C640-91AF-84E7E948E0E0}">
      <text>
        <r>
          <rPr>
            <sz val="10"/>
            <rFont val="SimSun"/>
            <charset val="134"/>
          </rPr>
          <t>4PCS 10-24-22 JO#18995 BEL
5PCS 10-12-22 JO#18664 ALY
1PC 10-09-22 ST002008 SPC</t>
        </r>
      </text>
    </comment>
    <comment ref="G1297" authorId="0" shapeId="0" xr:uid="{936E99B7-A585-0B4C-852A-8926C00F0C14}">
      <text>
        <r>
          <rPr>
            <sz val="10"/>
            <rFont val="SimSun"/>
            <charset val="134"/>
          </rPr>
          <t xml:space="preserve">
4PCS 5-26-23 STF#8167 SPC
4PCS 5-3-23 STF#8074 SPC
4PCS 10-21-22 STF#7134 SPC
4PCS 9-30-22 STF#7021 SPC
4PCS 9-24-22 STF#6978 SPC</t>
        </r>
      </text>
    </comment>
    <comment ref="H1297" authorId="0" shapeId="0" xr:uid="{A96EB305-E175-DC4A-ABC3-3DA811919920}">
      <text>
        <r>
          <rPr>
            <sz val="10"/>
            <rFont val="SimSun"/>
            <charset val="134"/>
          </rPr>
          <t>4PCS 6-12-23 JO#25994 JARVIS
4PCS 5-11-23 JO#25233 BEL
4PCS 11-23-22 JO#19686 JARVIS
4PCS 10-21-22 JO#18943 BEL
4PCS 9-29-22 JO#18425 ALY</t>
        </r>
      </text>
    </comment>
    <comment ref="G1298" authorId="0" shapeId="0" xr:uid="{6B032F2C-5D2A-2442-8444-20D2616CDFBC}">
      <text>
        <r>
          <rPr>
            <sz val="10"/>
            <rFont val="SimSun"/>
            <charset val="134"/>
          </rPr>
          <t>4PCS 9-27-22 STF#6994 SPC
4PCS 9-23-22 STF#6972 SPC</t>
        </r>
      </text>
    </comment>
    <comment ref="H1298" authorId="0" shapeId="0" xr:uid="{AD1399FE-260D-244A-AD9B-1EA4A3D649C6}">
      <text>
        <r>
          <rPr>
            <sz val="10"/>
            <rFont val="SimSun"/>
            <charset val="134"/>
          </rPr>
          <t>4PCS 10-4-22 STF#2000 STC
4PC 9-25-22 JO#183569 ALY</t>
        </r>
      </text>
    </comment>
    <comment ref="G1299" authorId="0" shapeId="0" xr:uid="{52D8A103-ED60-8C4B-8E25-B8821A6C3F82}">
      <text>
        <r>
          <rPr>
            <sz val="10"/>
            <rFont val="SimSun"/>
            <charset val="134"/>
          </rPr>
          <t>1PC 11-21-23 DR#74434 SPC
4pcs 5-19-23 stf#8128 spc
4PCS 5-3-23 STF#8074 SPC
4PCS 12-2-22 STF#7319 SPC
4PCS 9-24-22 STF#6978 SPC</t>
        </r>
      </text>
    </comment>
    <comment ref="H1299" authorId="0" shapeId="0" xr:uid="{D7F990C9-BDF3-B34D-B662-4155F2F0B38C}">
      <text>
        <r>
          <rPr>
            <sz val="10"/>
            <rFont val="SimSun"/>
            <charset val="134"/>
          </rPr>
          <t xml:space="preserve">1PC 1-10-24 DR#73374 SPC
1PC  7-3-23 STF#2532 SPC
4PCS 5-19-23 JO#25398 JARVIS
1PC 5-9-23 JO#25182 MARLO
2PCS 3-28-23 JO#23376 MARLO
1pc 12-22-22 jo20326 marlo
4PCS 10/5/2022 JO#18469 MARLO </t>
        </r>
      </text>
    </comment>
    <comment ref="G1301" authorId="0" shapeId="0" xr:uid="{692FE4FE-4BEA-EC46-95F2-B1B02056A88D}">
      <text>
        <r>
          <rPr>
            <sz val="10"/>
            <rFont val="SimSun"/>
            <charset val="134"/>
          </rPr>
          <t>4PCS 9-24-22 STF#6978 SPC</t>
        </r>
      </text>
    </comment>
    <comment ref="H1301" authorId="0" shapeId="0" xr:uid="{3465B41F-D263-624F-8054-8F267E7C31DF}">
      <text>
        <r>
          <rPr>
            <sz val="10"/>
            <rFont val="SimSun"/>
            <charset val="134"/>
          </rPr>
          <t>2pc 11-09-23 jo#29389 jarvis
4PCS 1-14-23 STF#2213 SPC</t>
        </r>
      </text>
    </comment>
    <comment ref="G1303" authorId="0" shapeId="0" xr:uid="{A1FDB48C-EB61-B042-934D-5FEBD2178B83}">
      <text>
        <r>
          <rPr>
            <sz val="10"/>
            <rFont val="SimSun"/>
            <charset val="134"/>
          </rPr>
          <t>IN 4PCS 05/30/24 DR#014648 SILVERWIND/MASTERS</t>
        </r>
      </text>
    </comment>
    <comment ref="H1303" authorId="0" shapeId="0" xr:uid="{C28CE4BB-6320-094B-B330-578F48CA8847}">
      <text>
        <r>
          <rPr>
            <sz val="10"/>
            <rFont val="SimSun"/>
            <charset val="134"/>
          </rPr>
          <t>OUT 06/15/24 34612 4PCS SALES  JARVIS</t>
        </r>
      </text>
    </comment>
    <comment ref="G1304" authorId="0" shapeId="0" xr:uid="{6DBF705C-0480-9F4E-B777-B7C374163B9D}">
      <text>
        <r>
          <rPr>
            <sz val="10"/>
            <rFont val="SimSun"/>
            <charset val="134"/>
          </rPr>
          <t>1PC 12-20-22 STF#7415 SPC</t>
        </r>
      </text>
    </comment>
    <comment ref="H1304" authorId="0" shapeId="0" xr:uid="{1A52AE83-8A19-D14A-9525-B71D1ED1EA77}">
      <text>
        <r>
          <rPr>
            <sz val="10"/>
            <rFont val="SimSun"/>
            <charset val="134"/>
          </rPr>
          <t>1PC 12-26-22 JO20376 COMPANY USE</t>
        </r>
      </text>
    </comment>
    <comment ref="G1305" authorId="0" shapeId="0" xr:uid="{6382FA1B-8486-6D4B-A41A-0A84C66208DF}">
      <text>
        <r>
          <rPr>
            <sz val="10"/>
            <rFont val="SimSun"/>
            <charset val="134"/>
          </rPr>
          <t>2PCS 9-6-22 STF#6883 SPC
4PCS 8-17-22 STF#69792 SPC
4PCS 7-27-22 STF#6697 SPC</t>
        </r>
      </text>
    </comment>
    <comment ref="H1305" authorId="0" shapeId="0" xr:uid="{A701551C-98E2-9D4B-B87E-C74FE6D576D8}">
      <text>
        <r>
          <rPr>
            <sz val="10"/>
            <rFont val="SimSun"/>
            <charset val="134"/>
          </rPr>
          <t>2PCS 11-17-22 JO#19469 MARLO
2PCS 9-5-22 JO#17824 OFFICE
2PCS 8-22-22 STF#1938 SPC
4PCS 8-17-22 STF#1927 SITE A</t>
        </r>
      </text>
    </comment>
    <comment ref="G1306" authorId="0" shapeId="0" xr:uid="{701CD62F-AD6C-D341-8CAF-C531B7FE2A8D}">
      <text>
        <r>
          <rPr>
            <sz val="10"/>
            <rFont val="SimSun"/>
            <charset val="134"/>
          </rPr>
          <t>4pcs 9-28-22 stf#7010 SPC</t>
        </r>
      </text>
    </comment>
    <comment ref="H1306" authorId="0" shapeId="0" xr:uid="{E2EF2F70-9E81-7145-AE3C-06609C857D11}">
      <text>
        <r>
          <rPr>
            <sz val="10"/>
            <rFont val="SimSun"/>
            <charset val="134"/>
          </rPr>
          <t>2PCS 12-24-22 JO#20408 ALY
2PCS 10-5-22 JO#18582 SALES</t>
        </r>
      </text>
    </comment>
    <comment ref="G1308" authorId="0" shapeId="0" xr:uid="{8262D4BF-1C88-4647-94D8-2217FE7F8464}">
      <text>
        <r>
          <rPr>
            <sz val="10"/>
            <rFont val="SimSun"/>
            <charset val="134"/>
          </rPr>
          <t>4pcs 9-28-22 stf#7010 SPC</t>
        </r>
      </text>
    </comment>
    <comment ref="H1308" authorId="0" shapeId="0" xr:uid="{8D55B14E-F0D5-7241-A2C6-199D80657959}">
      <text>
        <r>
          <rPr>
            <sz val="10"/>
            <rFont val="SimSun"/>
            <charset val="134"/>
          </rPr>
          <t>4pcs 1-6-24 DR#73361 SPC OLD DOT</t>
        </r>
      </text>
    </comment>
    <comment ref="G1310" authorId="0" shapeId="0" xr:uid="{3C2CA230-D011-A042-9EEE-B56450D7FAEB}">
      <text>
        <r>
          <rPr>
            <sz val="10"/>
            <rFont val="SimSun"/>
            <charset val="134"/>
          </rPr>
          <t>4PCS 4-28-23 STF#8057 SPC
4PCS  3-18-23 STF#7870 SPC
4PCS 12-7-22 STF#7348 SPC
4PCS - 11-9-21 STF#5495 SPC</t>
        </r>
      </text>
    </comment>
    <comment ref="H1310" authorId="0" shapeId="0" xr:uid="{3C95D2E5-D6F6-E14B-B886-A944388DE29B}">
      <text>
        <r>
          <rPr>
            <sz val="10"/>
            <rFont val="SimSun"/>
            <charset val="134"/>
          </rPr>
          <t>4pcs 7-24-23 dr#73882 spc
4PCS 4-5-23 JO#24158 JARVIS
2pcs 2-18-23 st002295 lipa a
2PCS 2-2-23 JO#21432 BEL
2PC 01-20-2022 ST001599 SPC
2PCS 12-29-21 JO#12681 ALY</t>
        </r>
      </text>
    </comment>
    <comment ref="G1311" authorId="0" shapeId="0" xr:uid="{A2CCB7C9-ECEE-3A45-8D5E-9574465A1CF1}">
      <text>
        <r>
          <rPr>
            <sz val="10"/>
            <rFont val="SimSun"/>
            <charset val="134"/>
          </rPr>
          <t>2PCS 3-6-23 ST007791 SPC
4PCS 2-1-23 STF#7607 SPC
2PCS 4-25-22 STF#1886 LIPA A
2pcs 4-21-22 STF#6224 SPC
4PCS - 11-9-21 STF#5495  SPC</t>
        </r>
      </text>
    </comment>
    <comment ref="H1311" authorId="0" shapeId="0" xr:uid="{94FE7CFC-AF41-A645-A57E-74CF91A1ACD5}">
      <text>
        <r>
          <rPr>
            <sz val="10"/>
            <rFont val="SimSun"/>
            <charset val="134"/>
          </rPr>
          <t xml:space="preserve">4PCS 1-9-24 DR#73371 SPC OLD DOT
2PCXS 3-1-23 STF#2316 LIPA A
4PCS 5-18-22 JO#15461 SALES
4PC 05-06-2022 JO15215 SALES
</t>
        </r>
      </text>
    </comment>
    <comment ref="G1312" authorId="0" shapeId="0" xr:uid="{8D8A8F00-2234-2346-A417-4EA437AFF026}">
      <text>
        <r>
          <rPr>
            <sz val="10"/>
            <rFont val="SimSun"/>
            <charset val="134"/>
          </rPr>
          <t>4PCS 4-28-23 STF#8057 SPC</t>
        </r>
      </text>
    </comment>
    <comment ref="H1312" authorId="0" shapeId="0" xr:uid="{0AA7D14B-4C0C-E44F-AB04-6FBB211713E1}">
      <text>
        <r>
          <rPr>
            <sz val="10"/>
            <rFont val="SimSun"/>
            <charset val="134"/>
          </rPr>
          <t>4PCS 7-5-23 STF#2538 LIPA A</t>
        </r>
      </text>
    </comment>
    <comment ref="G1313" authorId="0" shapeId="0" xr:uid="{BD4743FD-9B03-AA44-8730-BC9D2A91EB3C}">
      <text>
        <r>
          <rPr>
            <sz val="10"/>
            <rFont val="SimSun"/>
            <charset val="134"/>
          </rPr>
          <t>IN 4PCS 10.31.25 DR#79853-54  HACKET
4PCS  3-18-23 STF#7870 SPC
2pcs 2-25-23 STF#7744 SPC
2PCS 2-21-23 CEBU
4PCS 2-10-23 STF#7667 SPC
4PCS 12-16-22 STF#7389 SPC
4PCS 12-9-22 STF#7357 SPC
4PCS 12-2-22 STF#7317 SPC
4PCS 10-8-22 STF#7070 SPC
2PC 03-11-2022 ST001813 LIPA A 4PCS - 11/20/2021 ST005552 SPC
4PCS - 11-9-21 STF#5495 SPC</t>
        </r>
      </text>
    </comment>
    <comment ref="H1313" authorId="0" shapeId="0" xr:uid="{16413ECB-00D8-0F4C-ACEB-BCC414D87C37}">
      <text>
        <r>
          <rPr>
            <sz val="10"/>
            <rFont val="SimSun"/>
            <charset val="134"/>
          </rPr>
          <t xml:space="preserve">OUT 4PCS 02.18.26 DR80865-68 SPC HACKET
2PCS 6-8-23 STF#2496 SPC
2PCS 4-27-23 JO#24859 BEL
4PCS 3-2-23 stf#2319 spc
2PCS  2-21-23 STF#2301 SPC
2PCS 2-20-23 ST002300 LIPA A
3PCS 1-9-23 STF#2202 SPC
1PC 1-5-23 STF#2190 SPC
4PCS 12-27-22 JO#20476 BEL
4pc 12-22-22 jo20324 marlo
4PC 12-10-22 JO20059 MARLO
4PCS 11-10-22 JO#19401 BEL
2PC 03-11-2022 JO14017 ALY
5PCS 12-24-21 STF#1560  SPC
2PCS 1-4-21 STF#1569 A
2PCS 12-28-21 JO#12650 MARIBEL
2PCS 12-15-21 STF#1550 SPC
4PCS - 10-4-21 STF#1400 SPC
2PC 10/29/2021 JO#11508 ALY
</t>
        </r>
      </text>
    </comment>
    <comment ref="G1314" authorId="0" shapeId="0" xr:uid="{6A4EA2EA-0A61-3C48-A8FA-E589E455D6C6}">
      <text>
        <r>
          <rPr>
            <sz val="10"/>
            <rFont val="SimSun"/>
            <charset val="134"/>
          </rPr>
          <t>IN 4PCS 10.31.25 DR#79853-54  HACKET
4pcs 2-25-23 STF#7744 SPC
1PC 1-26-23 STF#7575 SPC
4PCS 12-2-22 STF#7317 SPC
2PCS 10-26-22 STF#2178 SITE A
4PCS 10-8-22 STF#7070 SPC
4PC 01-08-2022 ST005749 SPC
4PCS 11-18-21 STF#5539 SPC</t>
        </r>
      </text>
    </comment>
    <comment ref="H1314" authorId="0" shapeId="0" xr:uid="{3C0D30F2-3F08-AA43-A18E-090384E7AF81}">
      <text>
        <r>
          <rPr>
            <sz val="10"/>
            <rFont val="SimSun"/>
            <charset val="134"/>
          </rPr>
          <t>OUT 4PCS 02.18.26 DR80865-68 SPC HACKET
4PCS 1-9-24 DR#73371 SPC OLD DOT
4PCS   3-3-23 JO#22095 JARVIS
2PCS 11-25-22 STF#2091 SPC
4pcs 10-26-22 JO#19053 ALY
2PCS 8-13-22 STF#1919 SPC
3PCS 2-5-22 STF#1619 SPC
4pcs 1-31-22 stf#1614 spc</t>
        </r>
      </text>
    </comment>
    <comment ref="G1315" authorId="0" shapeId="0" xr:uid="{3FD3D233-537C-AD4C-8B5C-836E3FFE03B3}">
      <text>
        <r>
          <rPr>
            <sz val="10"/>
            <rFont val="SimSun"/>
            <charset val="134"/>
          </rPr>
          <t>3PCS 3-23-23 STF#7891 SPC
4PCS 12-9-22 STF#7357 SPC
2PCS 12-2-22 STF#7317 SPC
4PCS  11-30-21 STF#5630 SPC</t>
        </r>
      </text>
    </comment>
    <comment ref="H1315" authorId="0" shapeId="0" xr:uid="{5789A425-9E37-DF42-B634-5840136C3942}">
      <text>
        <r>
          <rPr>
            <sz val="10"/>
            <rFont val="SimSun"/>
            <charset val="134"/>
          </rPr>
          <t>4PCS 1-9-24 DR#73371 SPC OLD DOT
2PCS 3-4-23 JO22136 MARLO
5PCS 1-31-23 STF#2253 SPC
2PCS 11-19-22 STF#2082 SITE A</t>
        </r>
      </text>
    </comment>
    <comment ref="G1316" authorId="0" shapeId="0" xr:uid="{4C2ADEF0-9181-B547-8BD4-CC7945F0252E}">
      <text>
        <r>
          <rPr>
            <sz val="10"/>
            <rFont val="SimSun"/>
            <charset val="134"/>
          </rPr>
          <t>4PCS 2-22-23 FROM CEBU
4PC 03-23-2022 ST006097 SPC
1PC 01-05-2022 ST005730 SPC
4PCS - 10-29-21 STF#5451  SPC</t>
        </r>
      </text>
    </comment>
    <comment ref="H1316" authorId="0" shapeId="0" xr:uid="{5C4FD21B-0CC2-564C-B3F7-743C63963C20}">
      <text>
        <r>
          <rPr>
            <sz val="10"/>
            <rFont val="SimSun"/>
            <charset val="134"/>
          </rPr>
          <t>4PCS 1-9-24 DR#73371 SPC OLD DOT
4PCS 12-2-22 STF#2107 SPC
4PCS 1-8-22 STF#1580 SPC
1PC 1-4-22 Jo#12716 paul</t>
        </r>
      </text>
    </comment>
    <comment ref="G1317" authorId="0" shapeId="0" xr:uid="{E3096BC4-5BE9-4F49-9E6D-3E95E5968C1C}">
      <text>
        <r>
          <rPr>
            <sz val="10"/>
            <rFont val="SimSun"/>
            <charset val="134"/>
          </rPr>
          <t>4pcs 2-25-23 STF#7744 SPC</t>
        </r>
      </text>
    </comment>
    <comment ref="H1317" authorId="0" shapeId="0" xr:uid="{B0FC37CD-4A6E-B94B-9E77-275FD9FA9966}">
      <text>
        <r>
          <rPr>
            <sz val="10"/>
            <rFont val="SimSun"/>
            <charset val="134"/>
          </rPr>
          <t>4PCS 1-9-24 DR#73371 SPC OLD DOT</t>
        </r>
      </text>
    </comment>
    <comment ref="G1318" authorId="0" shapeId="0" xr:uid="{A21343D3-730D-9E49-9A23-15EF075FAFB7}">
      <text>
        <r>
          <rPr>
            <sz val="10"/>
            <rFont val="SimSun"/>
            <charset val="134"/>
          </rPr>
          <t>IN 1PC 10.13.25 DR#79663 SPC ROBIN
IN 4PCS 5.22.25 DR#77747 SPC RONNIE
IN 4PCS 5.14.25 DR#77728 SPC HACKET
4PCS 2-22-23 FROM CEBU
1PC 12-28-22 STF#7435 SPC
4PCS 12-7-22 STF#7348 SPC
2PCS 12-3-22 STF#7323 SPC
2PCS 11-21-22 STF#7261 SPC
2PCS 10-21-22 STF#7134 SPC
8PCS 10-8-22 STF#7070 SPC
4PC 03-02-2022 ST005995 SPC
5PCS 12-20-21 STF#5687 SPC
8pcs 12-7-21 STF#5626  SPC</t>
        </r>
      </text>
    </comment>
    <comment ref="H1318" authorId="0" shapeId="0" xr:uid="{413E0926-A983-6041-9181-E2F7F7E62571}">
      <text>
        <r>
          <rPr>
            <sz val="10"/>
            <rFont val="SimSun"/>
            <charset val="134"/>
          </rPr>
          <t>10.13.25
51411 1PC C/O OFFICE 
OUT 2PCS 6.18.25 DR#78324 SPC HACKET
OUT 2PCS 6.2.25 DR#77914  LIPA A
5-15-25
4 PCS 45856 BOSS JUN
2PCS 11-21-23 DR#74278 LIPA A
2PCS 8-28-23 DR#72238 SPC
2PCS 5-22-23 STF#2469 SPC
2PCS 2-1-23 STF#2256 SPC
4PCS 1-16-23 JO#20954 JARVIS
2PCS 1-4-23 JO#20641 JARVIS
3PCS 12-24-22 STF#2170 SITE A
2PCS 12-12-22 JO#20132 BEL
2PCS 12-1-22 JO#19915 BEL
2pcs 11-17-22 JO#19541 MARIBEL 
2PCS 11-11-22 JO#19394 JARVIS
2PCS 11-10-22 JO#19360 BEL
2PCS 10-18-22 JO#188864 JARVIS
1pc 6-22-22 STF#1836 SITE A
4PC 03-02-2022 JO13846 SALES
4PC 02-24-22 ST001646 SPC
2PCS 01-08-2022 JO#12333 PAUL
2PCS 1-6-22 JO#12804 MARIBEL
2PC 12-23-2021 JO#12601 JARVIS
3PCS 12-12-21 JO#12367 JARVIS
2PCS  11-29-21 STF#1515  SPC
2PCS 11-26-21 JO#12112 BEL
4PCS - 11/02/2021 LIPA A</t>
        </r>
      </text>
    </comment>
    <comment ref="G1319" authorId="0" shapeId="0" xr:uid="{0B6F0AA0-9821-E34C-8B58-145BBF73A2C8}">
      <text>
        <r>
          <rPr>
            <sz val="10"/>
            <rFont val="SimSun"/>
            <charset val="134"/>
          </rPr>
          <t>IN 4PCS 1-28-25 DR#77007 SPC KUYA HACKET
4PCS 2-22-23 FROM CEBU
4PCS 2-1-23 STF#7607 SPC
2pcs 1-18-23 stf#2196 lipa a
2PCS 1-10-23 STF#2278 LIPA A
4PCS 12-7-22 STF#7348 SPC
4PCS 12-2-22 STF#7317 SPC
4PC 03-23-2022 ST006097 SPC
4PCS - 11-9-21 STF#5495  SPC
4PCS - 10-29-21 STF#5451 SPC</t>
        </r>
      </text>
    </comment>
    <comment ref="H1319" authorId="0" shapeId="0" xr:uid="{D631C697-9371-7F41-B970-588C30B4C32D}">
      <text>
        <r>
          <rPr>
            <sz val="10"/>
            <rFont val="SimSun"/>
            <charset val="134"/>
          </rPr>
          <t>2PC 6-11-23 ST002499 LIPA A
2pcs 6-5-23 STF#2490 LIPA A
4PC 4-19-23 STF#2410 SPC
2PCS 1-18-23 JO#21052 JARVIS
4PCS 1-10-23 JO#20801 BEL
4PCS 1-5-23 STF#2190 SPC
2PCS 1-4-23 JO#20641 SALES
3PCS 11-4-22 STF#2051 SPC
4PCS 03-30-22 ST001698 SPC
2PCS 1-11-22 STF#1584 SPC
2PC 12-13-2021 JO#12405 SALES</t>
        </r>
      </text>
    </comment>
    <comment ref="G1320" authorId="0" shapeId="0" xr:uid="{53C0A4F7-2922-D249-8CE5-CC66820EC32F}">
      <text>
        <r>
          <rPr>
            <sz val="10"/>
            <rFont val="SimSun"/>
            <charset val="134"/>
          </rPr>
          <t>2PCS 7-12-23 DR#72631 LIPA A
4PCS 4-21-23 STF#8020 SPC
4PCS 2-10-23 STF#7667 SPC
8pcs 12-7-21 STF#5626  SPC</t>
        </r>
      </text>
    </comment>
    <comment ref="H1320" authorId="0" shapeId="0" xr:uid="{67FA84D2-7139-E04F-BBED-0878D2C09FBB}">
      <text>
        <r>
          <rPr>
            <sz val="10"/>
            <rFont val="SimSun"/>
            <charset val="134"/>
          </rPr>
          <t>4PCS 7-12-23 JO#26670 BEL
2PCS 6-19-23 stf#2512 spc
2PCS 6-8-23 STF#2496 SPC
2PCS 4-6-23 JO#24191 BEL
4PC 03-24-2022 JO14278 SALES
4PCS 12-12-21 JO#12328 MARLO</t>
        </r>
      </text>
    </comment>
    <comment ref="G1321" authorId="0" shapeId="0" xr:uid="{987D3A98-6B1B-EA40-B7C6-41F8AD0D9702}">
      <text>
        <r>
          <rPr>
            <sz val="10"/>
            <rFont val="SimSun"/>
            <charset val="134"/>
          </rPr>
          <t>2PCS 4-28-23 STF#8057 SPC
5PCS 4-4-23 STF#7953 SPC
4PCS 3-28-23 STF#7913 SPC
1PC 3-6-23 ST007791 SPC
2PCS 1-11-23 STF#7482 SPC
2PCS 12-19-22 STF#7403 SPC
4PCS 12-7-22 STF#7348 SPC
4PCS 10-8-22 STF#7070 SPC
4PCS 12-20-21 STF#5687 SPC
4PCS - 11-9-21 STF#5495 4PC SPC</t>
        </r>
      </text>
    </comment>
    <comment ref="H1321" authorId="0" shapeId="0" xr:uid="{D7408EFB-3B58-DA49-87BC-A5D7CAE9371D}">
      <text>
        <r>
          <rPr>
            <sz val="10"/>
            <rFont val="SimSun"/>
            <charset val="134"/>
          </rPr>
          <t>OUT 1PC 03/30/24 DR#74745-46 SPC KUYA HACKET 
3PCS 1-9-24 DR#73371 SPC OLD DOT
2PCS 4-21-23 JO#24769 BEL
2PC 4-19-23 STF#2410 SPC
2PC	4/15/23	JO24622 MARIBEL
1PC 3-30-23 JO#23742 JARVIS
4pcs 3-14-23 STF#23357 SPC
1P  2-25-23 JO#21982 JARVIS
2PCS 1-4-23 JO#20606 MARLO
2PCS 12-16-22 JO#20203 MARLO
4PC 10-23-22 JO18981 ALY
4PCS 9-16-22 JO#18141 BEL
4PCS 12-17-21 STF#1552 4PC A
4PCS 12-17-21 JO#12485 JARVIS</t>
        </r>
      </text>
    </comment>
    <comment ref="G1322" authorId="0" shapeId="0" xr:uid="{FE012187-44E3-E24A-B438-4D5F72F7D306}">
      <text>
        <r>
          <rPr>
            <sz val="10"/>
            <rFont val="SimSun"/>
            <charset val="134"/>
          </rPr>
          <t>IN 4PCS 11/25/24 DR#75722 SPC KUYA EMMAN
IN 4PCS 08/11/24 DR#76519 SPC MASTER
4PCS 4-19-23 STF#8012 SPC
4PCS 2-10-23 STF#7667 SPC
4PCS 12-16-22 STF#7389 SPC
2PCS 12-15-22 STF#7384 SPC
4PCS 12-9-22 STF#7357 SPC
2PCS 11-7-22 STF#7208 SPC</t>
        </r>
      </text>
    </comment>
    <comment ref="H1322" authorId="0" shapeId="0" xr:uid="{8263439A-D8A8-8E42-A254-11E5F9F50FA4}">
      <text>
        <r>
          <rPr>
            <sz val="10"/>
            <rFont val="SimSun"/>
            <charset val="134"/>
          </rPr>
          <t>OUT 4PCS 2.16.25 DR#77103 SPC
OUT 4PCS 2.14.25 DR#76992 STC
4PCS 1-9-24 DR#73371 SPC OLD DOT
2PCS 4-1-23 JO#23823 BEL
2PCS 4-1-23 JO#23823 BEL
2PCS 3-23-23 JO#23054 ROSE
2PCS 2-18-23 STF#2293 LIPA A
4PCS 1-17-23 STF#2216 SPC
4PCS 1-11-23 STF#2205 STC
2pc 12-13-22 jo20145 ALY
2PCS 11-7-22 JO#19304 JARVIS
4pcs 6-10-22 STF#1816 SPC</t>
        </r>
      </text>
    </comment>
    <comment ref="G1324" authorId="0" shapeId="0" xr:uid="{C9B1FC54-08B4-984F-85EC-C50EC4559640}">
      <text>
        <r>
          <rPr>
            <sz val="10"/>
            <rFont val="SimSun"/>
            <charset val="134"/>
          </rPr>
          <t>IN 1PCS 10/03/24 DR#76630 SPC KUYA HACKET
IN 4PCS 08/22/24 DR#76553 SPC KUYA EMMAN
4PCS 3-28-23 STF#7913 SPC
4PCS 1-11-23 STF#7482 SPC
3PCS 12-7-22 STF#7348 SPC
2PCS 11-2-22 STF#7181 SPC
4PCS 10-8-22 STF#7070 SPC
1PC 3-1-22 STF#5994 SPC
4PCS 01-05-2022 ST005730 SPC
4PCS - 11-9-21 STF#5495 SPC</t>
        </r>
      </text>
    </comment>
    <comment ref="H1324" authorId="0" shapeId="0" xr:uid="{DCE8849E-39A3-984C-899E-ECFB48D97637}">
      <text>
        <r>
          <rPr>
            <sz val="10"/>
            <rFont val="SimSun"/>
            <charset val="134"/>
          </rPr>
          <t>OUT 2PCS 2.16.25 DR#77103 SPC
OUT 2PCS SALES 11/8/2024
JO39354 ALY
09/07/24
37451 1PC SALES DAHLIA
2pcs 1-9-24 DR#73370 SPC OLD DOT
1PC 12-18-23 JO#30284 LEN
2PCS 6-12-23 STF#2501 LIPA A
4PCS 3-7-23 JO#22140 MARLO
2PCS 12-24-22 JO#20370 JARVIS
1PC 12-16-22 JO20201 MARLO
2PC 12-16-22 JO20159 MARLO
2PCS 11-18-22 JO#19576 JARVIS
5p[cs 11-18-22 STF#2079 SPC
1PC 3-1-22 STF#1656 A
1PC 2-5-22 STF#1619 SPC
4PC 01-27-2022 JO13178 ALY
5PC 01-20-2022 ST001599 SPC
4PCS 12-17-21 STF#1552 A
2PCS 12-11-21 STF#1539 A
4PCS 11-25-21 JO#12103 MARIBEL
4PCS 11-22-21 JO#11969 JARVIS
2PCS - 11/02/2021 LIPA A</t>
        </r>
      </text>
    </comment>
    <comment ref="G1325" authorId="0" shapeId="0" xr:uid="{BF2452AA-82A3-5442-B7C9-4E13D43CB061}">
      <text>
        <r>
          <rPr>
            <sz val="10"/>
            <rFont val="SimSun"/>
            <charset val="134"/>
          </rPr>
          <t>IN 4PCS 08/11/24 DR#76519 SPC MASTER
4PCS  3-18-23 STF#7870 SPC
4pcs 2-25-23 STF#7744 SPC
2pcs 1-20-23 stf#2298 site a
2PCS 12-15-22 STF#7384 SPC
4PCS 12-9-22 STF#7357 SPC
1PC  12-7-22 STF#7348 SPC
4PCS 10-10-22 STF#7080 SPC
2PC 03-25-22 ST006110 SPC
4PC 03-23-2022 ST006097 SPC
4PCS 2-2-22 STF#5859 8PC SPC
1PC 01-05-2022 ST005730 SPC</t>
        </r>
      </text>
    </comment>
    <comment ref="H1325" authorId="0" shapeId="0" xr:uid="{FF742895-78F7-F747-8E80-BDBF4C181BD9}">
      <text>
        <r>
          <rPr>
            <sz val="10"/>
            <rFont val="SimSun"/>
            <charset val="134"/>
          </rPr>
          <t>OUT 4PCS 2.16.25 DR#77103 SPC
2pcs 1-9-24 DR#73370 SPC OLD DOT
2PCS 12-9-23 30078 JARBIS
3PCS 5-22-23 STF#2469 SPC
4PCS 3-5-23 JO22173 JARVIS
2PCS 1-20-23 JO#21010 MARLO
4PCS 1-5-23 JO#20647 JARVIS
2PS 12-29-22 JO#20544 JARVIS
2PCS 12-19-22 JO#20254 AMRLO
2PCS 12-12-22 JO#20114 ALY
4PCSZ 12-12-22 JO#20060 MARLO
1PC 12-5-22 STF#2117 LIPA A
2pcs 5-24-22 STF#1793 LIPA A
4PC 05-10-2022 ST001774 LIPA A
2PC 04-18-2022 JO14767 SALES
2PC 03-02-2022 JO13828 SALLES
4PC 01-31-2022 JO13217 JARVIS
4pcs 1-6-22 stf#1573 a
1PC 12-01-2021 JO#12213 MARLO</t>
        </r>
      </text>
    </comment>
    <comment ref="G1326" authorId="0" shapeId="0" xr:uid="{E2E552E4-0247-014E-B36B-D2D29FBE5FD6}">
      <text>
        <r>
          <rPr>
            <sz val="10"/>
            <rFont val="SimSun"/>
            <charset val="134"/>
          </rPr>
          <t>IN 2PCS 11.13.25 DR#78660 LIPA A
IN 8PCS 5.5.25 DR#77713 SPC ALWIN
IN 4PC 10-18-24 DR#76661 SPC KUYA HACKET
IN 4PCS 08/11/24 DR# SPC MASTER
2PCS 2-13-23 STF#7673 SPC
4PCS 2-1-23 STF#7607 SPC</t>
        </r>
      </text>
    </comment>
    <comment ref="H1326" authorId="0" shapeId="0" xr:uid="{1B5FBC39-EE8B-6944-91FC-738548E36FD0}">
      <text>
        <r>
          <rPr>
            <sz val="10"/>
            <rFont val="SimSun"/>
            <charset val="134"/>
          </rPr>
          <t>10-27-25
2 PCS 51780 JARVIS
OUT 4PCS 9.6.25 DR#78448 SPC RONNIE
3.4.25 4PCS DR#77139 STC MIKE 
4PCS 3-22-23 JO#22789 JARVOS
2PCS 2-18-23 JO#21788 JARVIS
1PC 2-11-23 JO#21647 JARVIS
1PC 2-10-23 JO#21642 JARVIS</t>
        </r>
      </text>
    </comment>
    <comment ref="G1327" authorId="0" shapeId="0" xr:uid="{453D630E-E677-724B-B9FE-9B82716D95FB}">
      <text>
        <r>
          <rPr>
            <sz val="10"/>
            <rFont val="SimSun"/>
            <charset val="134"/>
          </rPr>
          <t>4pcs 2-25-23 STF#7744 SPC</t>
        </r>
      </text>
    </comment>
    <comment ref="H1327" authorId="0" shapeId="0" xr:uid="{E3B89F12-29D1-3742-A05E-0C4DE7AA7C22}">
      <text>
        <r>
          <rPr>
            <sz val="10"/>
            <rFont val="SimSun"/>
            <charset val="134"/>
          </rPr>
          <t>1PC 8-31-23 DR#72244 SPC
3PCS 5-22-23 STF#2469 SPC</t>
        </r>
      </text>
    </comment>
    <comment ref="G1328" authorId="0" shapeId="0" xr:uid="{2468B819-3EAE-0F47-B796-19C331B11AC9}">
      <text>
        <r>
          <rPr>
            <sz val="10"/>
            <rFont val="SimSun"/>
            <charset val="134"/>
          </rPr>
          <t>IN 4PCS 10.31.25 DR#79853-54  HACKET
4PCS 2-22-23 FROM CEBU
7PCS 12-19-22 STF#7403 SPC
4PCS 12-9-22 STF#7357 SPC
4PCS 12-2-22 STF#7317 SPC
4PCS - 11/20/2021 ST005552 SPC
4PCS 11-18-21 STF#5539 SPC</t>
        </r>
      </text>
    </comment>
    <comment ref="H1328" authorId="0" shapeId="0" xr:uid="{CA23E3DE-CA10-4047-A616-4ACA8A0B6006}">
      <text>
        <r>
          <rPr>
            <sz val="10"/>
            <rFont val="SimSun"/>
            <charset val="134"/>
          </rPr>
          <t xml:space="preserve">OUT 4PCS 02.18.26 DR80865-68 SPC HACKET
4pcs 1-9-24 DR#73370 SPC OLD DOT
3PCS 5-22-23 STF#2469 SPC
1PC 2-23-23 STf#2306 SPC
2PCS 2-20-23 JO#21840 BEL
4PCS 2-4-23 STF#2264 SPC
4PCS 1-31-23 STF#2253 SPC
2PCS 1-23-23 JO#21146 BEL
3PCS 12-16-22 JO#20217 JARVIS
1PC 9-8-22 STF#1967 SPC
2PC 8-13-22 JO17289 JARVIS
2PCS 7-27-22 STF#1894 SPC
1PC 6-22-22 STF#1835 SPC
5PCS 5-26-22 STF#1795 SPC
1PC 04-04-2022 JO14497 SALES
</t>
        </r>
      </text>
    </comment>
    <comment ref="G1329" authorId="0" shapeId="0" xr:uid="{66A4F57F-1A45-4940-A512-12CC41720ACE}">
      <text>
        <r>
          <rPr>
            <sz val="10"/>
            <rFont val="SimSun"/>
            <charset val="134"/>
          </rPr>
          <t>1pc 5-26-23 STF#8167 SPC
4PCS 4-4-23 STF#7953 SPC
4PCS 2-10-23 STF#7667 SPC
8PCS 1-11-23 STF#7482 SPC
4PCS 12-6-22 STF#7339 SPC
4PCS 11-10-22 STF#7220 SPC
1PC 10-31-22 STF#2184 SPC
4PCS 10-8-22 STF#7070 SPC
4PC 03-23-2022 ST006097 SPC
4PCS 11-18-21 STF#5539 SPC</t>
        </r>
      </text>
    </comment>
    <comment ref="H1329" authorId="0" shapeId="0" xr:uid="{C0CB0BD0-58AC-C744-B34D-23F56EBC7D85}">
      <text>
        <r>
          <rPr>
            <sz val="10"/>
            <rFont val="SimSun"/>
            <charset val="134"/>
          </rPr>
          <t>1PC  10-4-23 DR#73992 SPC
4pcs 7-24-23 dr#73883 lipa a
PCS 5-22-23 STF#2469 SPC
4PCS 2-11-23 STF#2276 SPC
4PCS 1-31-23 NSTF#2252 SPC
4PCS 1-28-23 STF#2247 SPC
4PC 12-23-22 ST002169 LIPA A
4PCS 11-10-22 JO#19392 JARVIS
4PCS 10-31-22 JO#19144 BEL
1PC 10-27-22 JO#19027 MARLO
1PC  6-23-22 STF#1837 SPC
1PC 6-16-22 JO#16066 SALES
2PCS 5-27-22 STF#1801 SPC
4PC 02-13-22 ST001634 SPC
3PCS 2-7-22 STF#1622 SPC
1PC 1-4-21 STF#1569 A</t>
        </r>
      </text>
    </comment>
    <comment ref="G1330" authorId="0" shapeId="0" xr:uid="{D9DF9B3C-9384-BE4C-A7BF-5ADAD91A3471}">
      <text>
        <r>
          <rPr>
            <sz val="10"/>
            <rFont val="SimSun"/>
            <charset val="134"/>
          </rPr>
          <t>IN 4PCS 10.31.25 DR#79853-54  HACKET
4pcs 3-3-23 stf#777 spc</t>
        </r>
      </text>
    </comment>
    <comment ref="H1330" authorId="0" shapeId="0" xr:uid="{E031748E-A594-F141-BD25-B00AF63F6016}">
      <text>
        <r>
          <rPr>
            <sz val="10"/>
            <rFont val="SimSun"/>
            <charset val="134"/>
          </rPr>
          <t xml:space="preserve">12-5-25
4 PCS 52948 JARVIS
</t>
        </r>
      </text>
    </comment>
    <comment ref="G1331" authorId="0" shapeId="0" xr:uid="{3A66F8F3-EE64-1247-8D60-E76BDF7160C5}">
      <text>
        <r>
          <rPr>
            <sz val="10"/>
            <rFont val="SimSun"/>
            <charset val="134"/>
          </rPr>
          <t>1pc 3-3-23 stf#777 spc
4PCS 2-10-23 STF#7667 SPC</t>
        </r>
      </text>
    </comment>
    <comment ref="H1331" authorId="0" shapeId="0" xr:uid="{D0DC16E3-249F-7340-8FA4-6CD6491B2387}">
      <text>
        <r>
          <rPr>
            <sz val="10"/>
            <rFont val="SimSun"/>
            <charset val="134"/>
          </rPr>
          <t>1PC 1-9-24 DR#73370 SPC OLD DOT
1PC 11-27-23 JO#29813 MARLO
2PCS 10-19-23 JO#28945 JARVIS
1pc 2-16-23 STF32289 LIPA A</t>
        </r>
      </text>
    </comment>
    <comment ref="G1332" authorId="0" shapeId="0" xr:uid="{84AAB21D-FA6D-9C44-87AE-7EAD273E9004}">
      <text>
        <r>
          <rPr>
            <sz val="10"/>
            <rFont val="SimSun"/>
            <charset val="134"/>
          </rPr>
          <t>IN 4PCS 10.31.25 DR#79853-54  HACKET
4PCS 2-22-23 FROM CEBU
2PCS 6-22-22 STF#6519 SPC
3PCS 1-31-22 STF#5843 SPC
1PC 1-12-22 STF#5760 SPC</t>
        </r>
      </text>
    </comment>
    <comment ref="H1332" authorId="0" shapeId="0" xr:uid="{B010A5E6-EC25-5F4D-A0E5-6F05C79BB35D}">
      <text>
        <r>
          <rPr>
            <sz val="10"/>
            <rFont val="SimSun"/>
            <charset val="134"/>
          </rPr>
          <t>4PCS 5-12-23 JO#25259 BEL
4PC 12-23-22 ST002169 LIPA A
4PCS 11-10-22 JO#19392 JARVIS
4PCS 10-31-22 JO#19144 BEL
1PC 10-27-22 JO#19027 MARLO
1PC  6-23-22 STF#1837 SPC
1PC 6-16-22 JO#16066 SALES
2PCS 5-27-22 STF#1801 SPC
4PC 02-13-22 ST001634 SPC
3PCS 2-7-22 STF#1622 SPC
1PC 1-4-21 STF#1569 A</t>
        </r>
      </text>
    </comment>
    <comment ref="G1333" authorId="0" shapeId="0" xr:uid="{7EC916AD-920A-A24B-881A-2A50C264A0AD}">
      <text>
        <r>
          <rPr>
            <sz val="10"/>
            <rFont val="SimSun"/>
            <charset val="134"/>
          </rPr>
          <t>IN 4PCS 10.31.25 DR#79853-54  HACKET
IN 4PCS 7.18.25 DR#78559 LIPA A
IN 4PCS 5.9.25 DR#77716 SPC RO
IN 4PCS 1-28-25 DR#77007 SPC KUYA HACKET
3PCS  3-18-23 STF#7870 SPC2PCS 1-11-23 STF#7482 SPC
4PCS 12-13-22 STF#7373 SPC
4PCS 12-6-22 STF#7339 SPC
4PCS 2-8-22 stf#1761 a
3PCS 01-05-2022 ST005730 SPC</t>
        </r>
      </text>
    </comment>
    <comment ref="H1333" authorId="0" shapeId="0" xr:uid="{7FD6FECC-49E7-4E41-A372-41140F160AD2}">
      <text>
        <r>
          <rPr>
            <sz val="10"/>
            <rFont val="SimSun"/>
            <charset val="134"/>
          </rPr>
          <t>OUT 6PCS 03.03.26 DR80885 SPC HACKET
8-13-25
2 PCS 49589 MARLO
OUT 4PCS 7.17.25 DR#78367 SPC HACKET
OUT 3PCS 6.11.25 DR#78317 SPC BRY
2PCS 1-10-24 
2PCS 8-30-23 JO#27832 JARVIS
4PC 3-6-23 ST2322 SPC
1PC 2-21-23 STF#2301 SPC
2PCS 2-6-23 JO#21522 JARVIS
2PCS 1-5-23 STF#2191 SPC
2PC 03-09-2022 ST001666 SPC
2PCS 2-8-22 JO#13414 PAUL
3PC 01-20-2022 ST001599 SPC
1PC 1-5-22 STF#1572 SPC
4PCS 12-22-21 JO#12539 MARLO
1PC - 11/03/2021 LIPA A
2PCS 10/20/2021 JO#11349 JARVIS</t>
        </r>
      </text>
    </comment>
    <comment ref="G1334" authorId="0" shapeId="0" xr:uid="{49FBBE6A-30E9-5B4F-A330-0FF608E91070}">
      <text>
        <r>
          <rPr>
            <sz val="10"/>
            <rFont val="SimSun"/>
            <charset val="134"/>
          </rPr>
          <t>4PCS 12-13-22 STF#7373 SPC
4PCS 12-6-22 STF#7339 SPC
4PC 03-23-2022 ST006097 SPC
2PCS 11-18-21 STF#5539 SPC
1PC - 11-16-21 STF#5527 SPC</t>
        </r>
      </text>
    </comment>
    <comment ref="H1334" authorId="0" shapeId="0" xr:uid="{74E1E036-C6AF-BE4A-B22D-5A3AD6B2BE3A}">
      <text>
        <r>
          <rPr>
            <sz val="10"/>
            <rFont val="SimSun"/>
            <charset val="134"/>
          </rPr>
          <t>4PCS 8-9-23 DR#72210 SPC
4PCS 4-27-23 STF#2432 SPC
2pcs 5-13-22 STF#1781 SPC
4PC 01-20-2022 JO#13042 MARLO
3PCS 10/30/2021 JO#11519 PAUL</t>
        </r>
      </text>
    </comment>
    <comment ref="G1336" authorId="0" shapeId="0" xr:uid="{E8FEF803-F5E5-E645-8793-B202A2A83F27}">
      <text>
        <r>
          <rPr>
            <sz val="10"/>
            <rFont val="SimSun"/>
            <charset val="134"/>
          </rPr>
          <t>IN 4PCS 10.31.25 DR#79853-54  HACKET
4PCS 12-13-22 STF#7373 SPC
4PCS 12-6-22 STF#7339 SPC</t>
        </r>
      </text>
    </comment>
    <comment ref="H1336" authorId="0" shapeId="0" xr:uid="{718C626F-B777-B349-A464-76029FE5FF9D}">
      <text>
        <r>
          <rPr>
            <sz val="10"/>
            <rFont val="SimSun"/>
            <charset val="134"/>
          </rPr>
          <t>4pcs 1-9-24 DR#73370 SPC OLD DOT
4PCS 1-5-23 STF#2191 SPC
4PCS 1-3-21 STF#1568 SPC</t>
        </r>
      </text>
    </comment>
    <comment ref="G1337" authorId="0" shapeId="0" xr:uid="{B61EC5C7-B1FC-2045-AEF8-8081172A1E37}">
      <text>
        <r>
          <rPr>
            <sz val="10"/>
            <rFont val="SimSun"/>
            <charset val="134"/>
          </rPr>
          <t>IN 4PCS 5.22.25 DR#77747 SPC RONNIE
IN 8PCS 5.5.25 DR#77713 SPC ALWIN
IN 4PCS 1-28-25 DR#77007 SPC KUYA HACKET
4PCS 4-28-23 STF#8057 SPC
4PCS 4-19-23 STF#8012 SPC
4PCS 2-22-23 FROM CEBU
4PCS 12-20-21 STF#5687 SPC</t>
        </r>
      </text>
    </comment>
    <comment ref="H1337" authorId="0" shapeId="0" xr:uid="{4C7FFE46-0E6A-9B4F-9FDE-6F05D3A74780}">
      <text>
        <r>
          <rPr>
            <sz val="10"/>
            <rFont val="SimSun"/>
            <charset val="134"/>
          </rPr>
          <t>OUT 4PCS 9.6.25 DR#78448 SPC RONNIE
OUT 4PCS 7.17.25 DR#78367 SPC HACKET
5-5-25
2 PCS 46092 MARIBEL
5-4-25
2 pcs 46023 MARIBEL 
2pcs 5-29-23 STF#2480 SPC
2PCS 5-6-23 JHIO#25136 JARVIS
4pcs 4-23-23 st002419 spc
4PCS 4-13-23 STF#2399 SPC
2PC 03-12-2022 ST001671 SPC
2PC 02-15-2022 JO13499 ALY
4PCS  12-20-21 JO#12528 SALES</t>
        </r>
      </text>
    </comment>
    <comment ref="G1338" authorId="0" shapeId="0" xr:uid="{C2BC8F47-26A1-074E-A1E6-AD11EA2DBCE8}">
      <text>
        <r>
          <rPr>
            <sz val="10"/>
            <rFont val="SimSun"/>
            <charset val="134"/>
          </rPr>
          <t>4PCS 1-16-23 STF#7515 SPC</t>
        </r>
      </text>
    </comment>
    <comment ref="H1338" authorId="0" shapeId="0" xr:uid="{22BB9601-840B-F047-A3DF-5209B19E5034}">
      <text>
        <r>
          <rPr>
            <sz val="10"/>
            <rFont val="SimSun"/>
            <charset val="134"/>
          </rPr>
          <t>4PCS 5-22-23 JO#25455 ROSE
2PCS 6-23-22 STF#1837 SPC
1PC 4-28-22 STF#1755 SPC
2PCS 4-18-22 STf#1734 lipa a</t>
        </r>
      </text>
    </comment>
    <comment ref="G1339" authorId="0" shapeId="0" xr:uid="{8143D0D9-8D46-7541-AA65-C9FDC4E289FB}">
      <text>
        <r>
          <rPr>
            <sz val="10"/>
            <rFont val="SimSun"/>
            <charset val="134"/>
          </rPr>
          <t>4PCS 4-28-23 STF#8057 SPC
4PCS  3-18-23 STF#7870 SPC
4PCS 1-16-23 STF#7515 SPC
1PC 5-19-22 STf#1932 LIPA A
4PCS 12-7-21 STF#5626  SPC</t>
        </r>
      </text>
    </comment>
    <comment ref="H1339" authorId="0" shapeId="0" xr:uid="{E76C7A56-0B91-1B4C-9093-9862E148E06D}">
      <text>
        <r>
          <rPr>
            <sz val="10"/>
            <rFont val="SimSun"/>
            <charset val="134"/>
          </rPr>
          <t>2pcs 1-9-24 DR#73370 SPC OLD DOT
1pc 12-10-23 dr#73964 lipa a
2pc 11-14-23 dr#74269 lipa a
4pcs 11-8-23 DR#74258 SPC
4PCS 3-8-23 JO#22160 ROSE
4PCS 7-11-22 STF#1871 SPC
1PC 6-24-22 STF#1838 SPC
1PC 1-11-22 STF#1584 SPC
3PCS 12-2-21 STF#1519 SPC</t>
        </r>
      </text>
    </comment>
    <comment ref="G1340" authorId="0" shapeId="0" xr:uid="{7E3C6D86-F692-5B42-823C-83D125EBCB97}">
      <text>
        <r>
          <rPr>
            <sz val="10"/>
            <rFont val="SimSun"/>
            <charset val="134"/>
          </rPr>
          <t>2PCS  3-18-23 STF#7870 SPC
1PC 2-22-22 STF#5954 SPC
4PCS 11-16-21 STF#5527 SPC</t>
        </r>
      </text>
    </comment>
    <comment ref="H1340" authorId="0" shapeId="0" xr:uid="{B75F2C84-7A57-3849-82DD-319753496D3A}">
      <text>
        <r>
          <rPr>
            <sz val="10"/>
            <rFont val="SimSun"/>
            <charset val="134"/>
          </rPr>
          <t xml:space="preserve">4pcs 1-9-24 DR#73370 SPC OLD DOT
2PCS 2-14-23 JO#21730 BEL
1PC 02-18-2022 JO13611 SALES
</t>
        </r>
      </text>
    </comment>
    <comment ref="G1342" authorId="0" shapeId="0" xr:uid="{3CEDF3F8-5C46-1641-883B-F0D7FC041470}">
      <text>
        <r>
          <rPr>
            <sz val="10"/>
            <rFont val="SimSun"/>
            <charset val="134"/>
          </rPr>
          <t>8PCS 4-28-23 STF#8057 SPC
4PCS  3-18-23 STF#7870 SPC
4PCS 3-3-23 STF#2344 LIPA A
4pcs 2-25-23 STF#7744 SPC
4pcs 2-25-23 STF#2309 SPC
4PCS 2-10-23 STF#7667 SPC
4PCS 10-8-22 STF#7076 SPC
4PCS 5-27-22 STF#6406  SPC
4PCS 2-2-22 STF#5859 8PC SPC
8PCS - 11/19/2021 ST005546 SPC
4PCS - 10/27/2021 ST001587 LIPA A</t>
        </r>
      </text>
    </comment>
    <comment ref="H1342" authorId="0" shapeId="0" xr:uid="{2215B265-945F-714C-AD0B-05AA2E844FAA}">
      <text>
        <r>
          <rPr>
            <sz val="10"/>
            <rFont val="SimSun"/>
            <charset val="134"/>
          </rPr>
          <t xml:space="preserve">2PCS 10-26-23 DR#73939 SPC
2PCS 9-27-23 JO#28443 MARLO
4PCS 6-8-23 STF#2496 SPC
2PCS 4-8-23 JO#24208 ROSE
2PCS 3-24-23 STF#2362 SPC
2PCS 3-3-23 JO#22131 MARLO
4PCS 3-1-23 STF#2317 SPC
4PCS 2-21-23 STF#2302 LIPA A
4PC 10-23-22 JO18979 MARIBEL
2PC 7-4-22 STF#1855 SPC
2PCS  5-27-22 JO#15620  SALES
2PC 03-09-2022 ST001666 SPC
2PC 03-07-2022 ST001662 LIPA A
4PCS 1-11-22 JO#12885 JARVIS
1PC 1-7-22 JO#12841 PAUL
2PCS 1-4-21 STF#1569 A
1PC 12-18-2021 JO#12517 PAUL
4PCS 11-15-21 STF#1481 LIPA A
4PCS 10/25/2021 JO#11471 MARLO
</t>
        </r>
      </text>
    </comment>
    <comment ref="G1343" authorId="0" shapeId="0" xr:uid="{95524CAA-5CBB-6846-95B3-1AF90119F766}">
      <text>
        <r>
          <rPr>
            <sz val="10"/>
            <rFont val="SimSun"/>
            <charset val="134"/>
          </rPr>
          <t>2PCS 3-30-23 STF#2370 SPC
1PC 2-25-23 STF#7744 SPC
8PCS 1-11-23 STF#7482 SPC
2PCS 12-9-22 STF#7357 SPC
4PCS 12-7-22 STF#7351 SPC
2PCS 10-10-22 STF#7080 SPC
4PCS 10-8-22 STF#7076 SPC
IN 10-29-21 STF#5451 4PC SPC</t>
        </r>
      </text>
    </comment>
    <comment ref="H1343" authorId="0" shapeId="0" xr:uid="{4ECD15A7-C56D-6D4F-9750-5ED3FBF01398}">
      <text>
        <r>
          <rPr>
            <sz val="10"/>
            <rFont val="SimSun"/>
            <charset val="134"/>
          </rPr>
          <t>2PCS 3-30-23 JO#23725 ROSE
2PCS 3-29-23 JO#23721 ROSE
2PCS 3-17-23 JO#22673 ROSE
1pc 2-20-23 STF#2298 SPC
4PCS 2-16-23 ST6F#2284 SPC
4PCS 1-6-23 stf#2195 SPC
4PCS 12-28-22 STF#2178 SPC
4PCS 12-8-22 JO#20016 ALY
4PC 11-6-22 ST002058 LIPA A
4PCS 1-17-22 JO#12984 JARVIS</t>
        </r>
      </text>
    </comment>
    <comment ref="G1344" authorId="0" shapeId="0" xr:uid="{95F283CC-060B-1340-8102-602F200463EC}">
      <text>
        <r>
          <rPr>
            <sz val="10"/>
            <rFont val="SimSun"/>
            <charset val="134"/>
          </rPr>
          <t>4PCS 1-16-23 STF#7515 SPC</t>
        </r>
      </text>
    </comment>
    <comment ref="H1344" authorId="0" shapeId="0" xr:uid="{47674508-0016-664E-BBA0-66FFE1182183}">
      <text>
        <r>
          <rPr>
            <sz val="10"/>
            <rFont val="SimSun"/>
            <charset val="134"/>
          </rPr>
          <t>4pcs 1-10-24 DR#73374 SPC
2pcs 6-13-22 STF#1820 SITE A
2pcs 6-11-22 stf#1817 spc</t>
        </r>
      </text>
    </comment>
    <comment ref="G1345" authorId="0" shapeId="0" xr:uid="{F448E1A5-1AD6-7A4C-B003-CF57D3842DB6}">
      <text>
        <r>
          <rPr>
            <sz val="10"/>
            <rFont val="SimSun"/>
            <charset val="134"/>
          </rPr>
          <t>IN 4PCS 10.31.25 DR#79853-54  HACKET
IN 4PCS 04/13/24 DR#SPS0021 SPC KUYA EMAN</t>
        </r>
      </text>
    </comment>
    <comment ref="H1345" authorId="0" shapeId="0" xr:uid="{F23EC1FA-4E28-E349-ACEF-4B70CC1D42D8}">
      <text>
        <r>
          <rPr>
            <sz val="10"/>
            <rFont val="SimSun"/>
            <charset val="134"/>
          </rPr>
          <t>OUT 1PCS 03.03.26 DR80885 SPC HACKET
OUT 4PCS 06/06/24 DR#75100 SPC KUYA HACKET</t>
        </r>
      </text>
    </comment>
    <comment ref="G1346" authorId="0" shapeId="0" xr:uid="{EF4CD751-D617-2446-BB79-2CCA0C4CBE33}">
      <text>
        <r>
          <rPr>
            <sz val="10"/>
            <rFont val="SimSun"/>
            <charset val="134"/>
          </rPr>
          <t>4PCS 2-1-23 STF#7607 SPC</t>
        </r>
      </text>
    </comment>
    <comment ref="H1346" authorId="0" shapeId="0" xr:uid="{08535E3E-ED42-7C4C-AFA0-E73A994854A4}">
      <text>
        <r>
          <rPr>
            <sz val="10"/>
            <rFont val="SimSun"/>
            <charset val="134"/>
          </rPr>
          <t>2PCS 5-22-23 STF#2469 SPC
2PCS 5-9-23 JO#25179 BEL</t>
        </r>
      </text>
    </comment>
    <comment ref="G1347" authorId="0" shapeId="0" xr:uid="{FA9FD904-33E2-994D-9633-7ED15CC833AC}">
      <text>
        <r>
          <rPr>
            <sz val="10"/>
            <rFont val="SimSun"/>
            <charset val="134"/>
          </rPr>
          <t>IN 4PCS 10.31.25 DR#79853-54  HACKET
4PCS 4-28-23 STF#8057 SPC
4PCS 4-3-23  STF# LIPA A
4pcs 2-25-23 STF#7744 SPC
4PCS 1-11-23 STF#7482 SPC
4PC 03-23-2022 ST006097 SPC
4PCS 01-05-2022 ST005730 SPC</t>
        </r>
      </text>
    </comment>
    <comment ref="H1347" authorId="0" shapeId="0" xr:uid="{23D01FCC-3ACC-1D4A-8563-2253385C6257}">
      <text>
        <r>
          <rPr>
            <sz val="10"/>
            <rFont val="SimSun"/>
            <charset val="134"/>
          </rPr>
          <t>2pcs 1-9-24 DR#73370 SPC OLD DOT
1pc 10-24-23 DR#73936 SPC
4PCS 4-3-23 JO#24122 BEL
4PCS 2-1-23 JO#21388 ALY
1PC  6-23-22 STF#1837 SPC
2PC 05-07-2022 ST001772 SPC
4PCS 1-18-22 STF001597 LIPA A
4PCS 11-15-21 JO#11909 JARVIS</t>
        </r>
      </text>
    </comment>
    <comment ref="G1348" authorId="0" shapeId="0" xr:uid="{4C643FC8-17D9-3946-8897-87A3CD75FB0E}">
      <text>
        <r>
          <rPr>
            <sz val="10"/>
            <rFont val="SimSun"/>
            <charset val="134"/>
          </rPr>
          <t>4pcs 2-25-23 STF#7744 SPC</t>
        </r>
      </text>
    </comment>
    <comment ref="H1348" authorId="0" shapeId="0" xr:uid="{46FCC6E5-9E74-BC41-A6D8-E566FC65638D}">
      <text>
        <r>
          <rPr>
            <sz val="10"/>
            <rFont val="SimSun"/>
            <charset val="134"/>
          </rPr>
          <t>4pcs 1-9-24 DR#73370 SPC OLD DOT</t>
        </r>
      </text>
    </comment>
    <comment ref="G1349" authorId="0" shapeId="0" xr:uid="{5DFDF137-5F8F-EF42-BB7C-A8F648879E22}">
      <text>
        <r>
          <rPr>
            <sz val="10"/>
            <rFont val="SimSun"/>
            <charset val="134"/>
          </rPr>
          <t>4PCS 1-16-23 STF#7515 SPC</t>
        </r>
      </text>
    </comment>
    <comment ref="H1349" authorId="0" shapeId="0" xr:uid="{8529C7C6-6A3A-A340-B3CA-64FF553CFE76}">
      <text>
        <r>
          <rPr>
            <sz val="10"/>
            <rFont val="SimSun"/>
            <charset val="134"/>
          </rPr>
          <t>4PCS 7-4-23 STF#2537 LIPA A</t>
        </r>
      </text>
    </comment>
    <comment ref="G1350" authorId="0" shapeId="0" xr:uid="{9CA0C7F2-DB11-D544-B279-12930FF1AB30}">
      <text>
        <r>
          <rPr>
            <sz val="10"/>
            <rFont val="SimSun"/>
            <charset val="134"/>
          </rPr>
          <t>1PC 5-22-23 STF#8141 SPC
4pcs 2-25-23 STF#7744 SPC
4PCS 2-10-23 STF#7667 SPC
1PC  1-11-23 STF#7482 SPC
4PCS 12-9-22 STF#7357 SPC
1PC 03-18-2022 ST6079 SPC
1PC 03-07-2022 ST006022 SPC
4PCS 1-12-22 STF#5760 SPC
4PC 01-08-2022 ST005749 SPC
4PCS 11-11-21 STF#5511 SPC
4PCS - 11/2/2021 ST001598 LIPA A</t>
        </r>
      </text>
    </comment>
    <comment ref="H1350" authorId="0" shapeId="0" xr:uid="{851ED266-3F3C-E747-AE4F-6A6F02826099}">
      <text>
        <r>
          <rPr>
            <sz val="10"/>
            <rFont val="SimSun"/>
            <charset val="134"/>
          </rPr>
          <t>4PCS 8-9-23 JOz#27377 DAHLIA
1PC 5-18-23 JO#25403 ROSE
4PCS 2-17-23 JO#21783 JARVIS
2PCS 2-5-23 STF#2269 LIPA A
1PC 1-31-23 STF#2253 SPC
1PC 1-27-23 JO#21256 BEL
1PC 1-10-23 JO#20803  BEL
4PC 03-18-2022 JO14178 SALES
2PC 03-05-2022 JO13916 SALES
4PC 02-24-22 ST001648 LIPA A
4PC 02-22-22 JO13676 SALES
2PC 11-27-2021 JO#12114 BEL
4PCS 11/02/2021 JO#11655 JARVIS</t>
        </r>
      </text>
    </comment>
    <comment ref="G1351" authorId="0" shapeId="0" xr:uid="{193F716A-9E89-584D-B3E9-4935E0FAF1EF}">
      <text>
        <r>
          <rPr>
            <sz val="10"/>
            <rFont val="SimSun"/>
            <charset val="134"/>
          </rPr>
          <t>IN 4PCS 10.31.25 DR# 79853-54 HACKET
4PCS 4-28-23 STf#8057 SPC
8PCS 1-11-23 STF#7482 SPC
2PCS 11-9-22 STF#2194 SITE A
2PCS  11-9-22 STF#7217 SPC
4PCS 2-5-22 STF#5873 SPC
4PCS - 11/19/2021 ST005546 SPC
4PCS - 10-29-21 STF#5451 SPC</t>
        </r>
      </text>
    </comment>
    <comment ref="H1351" authorId="0" shapeId="0" xr:uid="{F044797F-D4D5-0948-AC2A-F43C4D3C6F32}">
      <text>
        <r>
          <rPr>
            <sz val="10"/>
            <rFont val="SimSun"/>
            <charset val="134"/>
          </rPr>
          <t>03.02.26
55605 4PCS JARVIS
6pcs 1-9-24 DR#73370 SPC OLD DOT
2PCS 12-28-23 JO#30510 JARVIS
2PCS 4-5-23 JO#24156 JARVIS
2pcs 3-27-23 STF#2368 SPC
3PCS 11-25-22 STF#2091 SPC
1PC 11-17-22 STF#2077 SITE A
4PCS 10-20-22 JO#18898 ALY
4PCS 9-1-22 STF#1958 SPC
1PC 1-11-22 STF#1584 SPC
2PCS 1-4-21 STF#1569 A
1PC 12-16-21 JO#12433 MARIBEL</t>
        </r>
      </text>
    </comment>
    <comment ref="G1352" authorId="0" shapeId="0" xr:uid="{930FEE88-3EAD-FE47-8B68-21E1D3034B9E}">
      <text>
        <r>
          <rPr>
            <sz val="10"/>
            <rFont val="SimSun"/>
            <charset val="134"/>
          </rPr>
          <t>4pcs 2-25-23 STF#7744 SPC
4PCS 1-12-23 STF#7501 SPC</t>
        </r>
      </text>
    </comment>
    <comment ref="H1352" authorId="0" shapeId="0" xr:uid="{D4C7920E-A6C0-DD4A-8A89-D40CA1447B98}">
      <text>
        <r>
          <rPr>
            <sz val="10"/>
            <rFont val="SimSun"/>
            <charset val="134"/>
          </rPr>
          <t>2pcs 1-9-24 DR#73370 SPC OLD DOT
2pcs 5-2-23 stf#2439 LIPA A
4PCS 2-8-23 JO#21559 JARVIS</t>
        </r>
      </text>
    </comment>
    <comment ref="G1353" authorId="0" shapeId="0" xr:uid="{152BE471-D037-EC48-BBF6-67EC34338C97}">
      <text>
        <r>
          <rPr>
            <sz val="10"/>
            <rFont val="SimSun"/>
            <charset val="134"/>
          </rPr>
          <t>4PCS 2-1-23 STF#7607 SPC</t>
        </r>
      </text>
    </comment>
    <comment ref="H1353" authorId="0" shapeId="0" xr:uid="{AF67A53D-1710-0140-8519-0829D40F6BA5}">
      <text>
        <r>
          <rPr>
            <sz val="10"/>
            <rFont val="SimSun"/>
            <charset val="134"/>
          </rPr>
          <t xml:space="preserve">3PCS 9-19-23 DR#72281SPC
1PC 3-13-23 STf#2335 LIPA A
4PC 12-13-2021 ST001548 LIPA A
</t>
        </r>
      </text>
    </comment>
    <comment ref="G1354" authorId="0" shapeId="0" xr:uid="{C287A6FD-9979-B241-8CD0-FD3106989A4A}">
      <text>
        <r>
          <rPr>
            <sz val="10"/>
            <rFont val="SimSun"/>
            <charset val="134"/>
          </rPr>
          <t>IN 4PCS 11.14.25 DR#79878 SPC HACKET
IN 4PCS 10.31.25 DR#79853-54  HACKET
2PCS 4-4-23 STF#7953 SPC
4PCS 2-10-23 STF#7667 SPC
4PCS -10-29-21 STF#5451 SPC</t>
        </r>
      </text>
    </comment>
    <comment ref="H1354" authorId="0" shapeId="0" xr:uid="{5C103318-408A-C64C-AF49-DE4AA0EBA8E3}">
      <text>
        <r>
          <rPr>
            <sz val="10"/>
            <rFont val="SimSun"/>
            <charset val="134"/>
          </rPr>
          <t>01.07.26
53946 4PCS JARVIS
11-11-25
4 PCS 52194 JARVIS
4pcs 1-9-24 DR#73370 SPC OLD DOT
2PCS 3-29-23 JO#23448 BE;L
2PCS 4-4-22 STF#1706 SPC
2pcs 3-15-22 stf#1675 spc
1PC 11-21-21 JO#12042 1PC MARIBEL</t>
        </r>
      </text>
    </comment>
    <comment ref="G1355" authorId="0" shapeId="0" xr:uid="{544778B6-2850-0E42-AF17-71EA0EDE3015}">
      <text>
        <r>
          <rPr>
            <sz val="10"/>
            <rFont val="SimSun"/>
            <charset val="134"/>
          </rPr>
          <t>2PCS 11-24-21 ST005566 SPC</t>
        </r>
      </text>
    </comment>
    <comment ref="H1355" authorId="0" shapeId="0" xr:uid="{8946EE32-3D09-8E45-9330-36B19C6B6B4A}">
      <text>
        <r>
          <rPr>
            <sz val="10"/>
            <rFont val="SimSun"/>
            <charset val="134"/>
          </rPr>
          <t>2PCS 11-24-21 ST001503 LIPA A
2PCS 11-24-21 ST001500 LIPA A
2PCS 11-17-21 JO#11929 PAUL</t>
        </r>
      </text>
    </comment>
    <comment ref="G1356" authorId="0" shapeId="0" xr:uid="{6D314BC4-EC7D-E64E-A268-A5520F9099FD}">
      <text>
        <r>
          <rPr>
            <sz val="10"/>
            <rFont val="SimSun"/>
            <charset val="134"/>
          </rPr>
          <t>4PCVS 3-28-23 STF#7913 SPC
4PCS 1-16-23 STF#7515 SPC
2PCS 7-25-22 STF#6682 A
3PCS 5-11-22 STF#1776 SPC
4PCS 1-12-22 STF#5760 SPC
4PCS 01-10-2022 ST005754 SPC</t>
        </r>
      </text>
    </comment>
    <comment ref="H1356" authorId="0" shapeId="0" xr:uid="{EC4AF430-74BE-764E-BE70-66A80426D4D0}">
      <text>
        <r>
          <rPr>
            <sz val="10"/>
            <rFont val="SimSun"/>
            <charset val="134"/>
          </rPr>
          <t>4PCS 4-1-23 JO#23797 BEL
4pcs 3-3-23 STF#2320 SPC
2PC 7-25-22 JO16931 MARIBEL
2PCS 4-6-22 JO#14564 ALY
3PC 03-09-2022 ST001666 SPC
4PC 03-06-2022 JO13926 SALES
2PC 12-01-2021 JO#12214 MARLO</t>
        </r>
      </text>
    </comment>
    <comment ref="G1358" authorId="0" shapeId="0" xr:uid="{3D315849-59E8-B04C-8F9E-61FC56DFECFE}">
      <text>
        <r>
          <rPr>
            <sz val="10"/>
            <rFont val="SimSun"/>
            <charset val="134"/>
          </rPr>
          <t>4PCS 2-22-23 FROM CEBU
4PCS 2-3-23 STF#7621 SPC
4PCS 1-11-23 STF#7482 SPC
4PCS 10-8-22 STF#7076 SPC
4PCS 11-18-21 STF#5539 SPC</t>
        </r>
      </text>
    </comment>
    <comment ref="H1358" authorId="0" shapeId="0" xr:uid="{03866733-B3DE-EE42-832A-2B595BCEDE6C}">
      <text>
        <r>
          <rPr>
            <sz val="10"/>
            <rFont val="SimSun"/>
            <charset val="134"/>
          </rPr>
          <t>4pcs 1-9-24 DR#73370 SPC
2PCS 1-2-24 JO#30733 JARVIS
4pcs 1-2-24 DR#73997 SPC
4pcs 11-8-23 DR#74258 SPC
3PCS 7-5-22 STF#1861 SPC
1PC 6-11-22 JO15961 SALES
4PCS 4-21-22 STF#1740 SPC</t>
        </r>
      </text>
    </comment>
    <comment ref="G1359" authorId="0" shapeId="0" xr:uid="{6D54C686-53D9-7544-A0BA-E0E2D4DFB2E7}">
      <text>
        <r>
          <rPr>
            <sz val="10"/>
            <rFont val="SimSun"/>
            <charset val="134"/>
          </rPr>
          <t>4PCS 2-22-23 FROM CEBU
2PCS 2-8-23 STF#7646 SPC
8PCS 1-11-23 STF#7482 SPC
4PCS 12-7-22 STF#7348 SPC
4PCS 10-12-22 STF#7093 SPC
1PC 7-1-22 STF#2007 SITE A
4PC 03-23-2022 ST006097 SPC
4PCS 11-18-21 STF#5539 SPC
1PC 11-16-21 STF#5527 SPC</t>
        </r>
      </text>
    </comment>
    <comment ref="H1359" authorId="0" shapeId="0" xr:uid="{34D2505F-953B-D642-B4CC-B0834E1BB537}">
      <text>
        <r>
          <rPr>
            <sz val="10"/>
            <rFont val="SimSun"/>
            <charset val="134"/>
          </rPr>
          <t>4pcs 1-9-24 DR#73369 SPC
2PCS 5-22-23 STF#2469 SPC
4PCS 3-10-23 JO#22266 MARLO
2PCS 2-7-23 JO21552 JARVIS
2PCS 2-2-23 JO#21408 ALY
4PCS 2-1-23 JO#21400 JARVIS
4PCS 11-25-22 JO#19725 JARVIS
1PC 7-1-22 JO#16415 SALES
4PCS 6-23-22 JO16221 SALES
4PCS 2-8-22 JO#13418 PAUL
4PCS 1-23-22 STF#1604 A</t>
        </r>
      </text>
    </comment>
    <comment ref="G1360" authorId="0" shapeId="0" xr:uid="{605938B9-3979-0E4B-952D-3B369A6592BC}">
      <text>
        <r>
          <rPr>
            <sz val="10"/>
            <rFont val="SimSun"/>
            <charset val="134"/>
          </rPr>
          <t>4PCS 1-16-23 STF#7515 SPC
4PC 02-12-2022 ST001772 LIPA A</t>
        </r>
      </text>
    </comment>
    <comment ref="H1360" authorId="0" shapeId="0" xr:uid="{4263136D-1FAE-8646-AB99-7734F28810ED}">
      <text>
        <r>
          <rPr>
            <sz val="10"/>
            <rFont val="SimSun"/>
            <charset val="134"/>
          </rPr>
          <t>1PC 5-22-23 STF#2469 SPC
1PC 4-27-23 STF#2429 LIPA A
2PCS 3-2-23 JO#22111 JARVIS
4PCS 6-3-22 stf#1811 SPC
4PC 02-12-2022 JO13439 MARLO</t>
        </r>
      </text>
    </comment>
    <comment ref="G1361" authorId="0" shapeId="0" xr:uid="{19EF3E3B-AF8A-C047-964F-CBFEEEBE9127}">
      <text>
        <r>
          <rPr>
            <sz val="10"/>
            <rFont val="SimSun"/>
            <charset val="134"/>
          </rPr>
          <t>4PCS 1-11-23 STF#7482 SPC</t>
        </r>
      </text>
    </comment>
    <comment ref="H1361" authorId="0" shapeId="0" xr:uid="{9F59D4FF-4986-3546-8CA2-CCDCBC65B9A0}">
      <text>
        <r>
          <rPr>
            <sz val="10"/>
            <rFont val="SimSun"/>
            <charset val="134"/>
          </rPr>
          <t>2PCS 4-3-23 JO#23808 JARVIS
2PCS 3-17-23 STF#2347 LIPA A</t>
        </r>
      </text>
    </comment>
    <comment ref="G1362" authorId="0" shapeId="0" xr:uid="{FF83DE67-6FB2-734F-8C5D-FF3F9D767C5F}">
      <text>
        <r>
          <rPr>
            <sz val="10"/>
            <rFont val="SimSun"/>
            <charset val="134"/>
          </rPr>
          <t xml:space="preserve">4PC 03-16-2022 ST001825 LIPA A
</t>
        </r>
      </text>
    </comment>
    <comment ref="H1362" authorId="0" shapeId="0" xr:uid="{DCE64F37-A370-A24D-A068-1E8FD28FDBEA}">
      <text>
        <r>
          <rPr>
            <sz val="10"/>
            <rFont val="SimSun"/>
            <charset val="134"/>
          </rPr>
          <t xml:space="preserve">4PC 03-16-2022 JO14125 ALY
4PC 02-13-22 ST001634 SPC
</t>
        </r>
      </text>
    </comment>
    <comment ref="G1363" authorId="0" shapeId="0" xr:uid="{9BCB684B-02F6-1D48-B78C-681EF754B05F}">
      <text>
        <r>
          <rPr>
            <sz val="10"/>
            <rFont val="SimSun"/>
            <charset val="134"/>
          </rPr>
          <t xml:space="preserve">4pcs 4-26-23 STF#2404 LIPA A
4PCS 2-22-23 FROM CEBU
1PC 12-7-22 STF#7348 SPC
2PCS 10-12-22 STF#7093 SPC
4PC 03-31-2022 ST006137 SPC
</t>
        </r>
      </text>
    </comment>
    <comment ref="H1363" authorId="0" shapeId="0" xr:uid="{BAC4CAE0-6B26-C847-B6E9-8A4E9AFF03F3}">
      <text>
        <r>
          <rPr>
            <sz val="10"/>
            <rFont val="SimSun"/>
            <charset val="134"/>
          </rPr>
          <t>4PCS 5-8-23 JO#25159 JARVIS
4PCS 4-13-23 JO#24331 ROSE
2PCS 4-5-23 STf#2380 SPC
2PCS 2-15-23 JO#21740 ALY
1PC 11-15-22 JO#19497 JARVIS
2PC 04-01-2022 JO14436 SALES
1PC 01-20-2022 JO#12988 JARVIS
1PC 01-20-2022 ST001599 SPC
1PC 1-10-22 JO#12865 ALY</t>
        </r>
      </text>
    </comment>
    <comment ref="G1365" authorId="0" shapeId="0" xr:uid="{282F48D7-B077-1048-90FC-20E31339617B}">
      <text>
        <r>
          <rPr>
            <sz val="10"/>
            <rFont val="SimSun"/>
            <charset val="134"/>
          </rPr>
          <t xml:space="preserve">IN 1PCS 8.7.25 DR#78843 SPC HACKET
4PCS 9-21-23 STA CRUZ
4PC 03-26-2022 ST006111 SPC
</t>
        </r>
      </text>
    </comment>
    <comment ref="H1365" authorId="0" shapeId="0" xr:uid="{18A67362-B7C8-084B-92EF-E7F472CB6754}">
      <text>
        <r>
          <rPr>
            <sz val="10"/>
            <rFont val="SimSun"/>
            <charset val="134"/>
          </rPr>
          <t xml:space="preserve">OUT 1PCS 02.18.26 DR80865-68 SPC HACKET
2pcs 1-9-24 DR#73369 SPC
2PCS 10-23-23 JO#29021 BEL
1PC 3-23-23 ST002360 LIPA A
2PC 3-4-23 JO22128 MARIBEL
2pc 7-14-22 JO16666 MARIBEL
1PC 02-13-22 ST001634 SPC
2PC 01-20-2022 ST001599 SPC
</t>
        </r>
      </text>
    </comment>
    <comment ref="G1366" authorId="0" shapeId="0" xr:uid="{FC15FE34-C160-8B49-AAF2-96EE40C18093}">
      <text>
        <r>
          <rPr>
            <sz val="10"/>
            <rFont val="SimSun"/>
            <charset val="134"/>
          </rPr>
          <t>1PC 5-11-22 STF#6319 SPC
4PCS 4-2-22 STF#6149 SPC</t>
        </r>
      </text>
    </comment>
    <comment ref="H1366" authorId="0" shapeId="0" xr:uid="{6FFBD813-BA9C-AF4C-9175-A0F6581CA42E}">
      <text>
        <r>
          <rPr>
            <sz val="10"/>
            <rFont val="SimSun"/>
            <charset val="134"/>
          </rPr>
          <t>4PCS 7-19-22 STF#1880 SPC
1PC 5-4-22 JO#15160 SALES</t>
        </r>
      </text>
    </comment>
    <comment ref="G1367" authorId="0" shapeId="0" xr:uid="{66C3B0FE-19E8-DA42-A449-5FAD73540BE6}">
      <text>
        <r>
          <rPr>
            <sz val="10"/>
            <rFont val="SimSun"/>
            <charset val="134"/>
          </rPr>
          <t xml:space="preserve">4PCS 8-15-23 DR#74084 SPC
4PCS 7-10-23 DR#72627 LIPA A
4PCS 5-24-23 STF#8155 SPC
4pcs 7-28-22 STF#6699 SPC
4PC 03-19-22 ST001830 LIPA A
</t>
        </r>
      </text>
    </comment>
    <comment ref="H1367" authorId="0" shapeId="0" xr:uid="{83787882-B11C-AD46-ABA0-02D4E9569AEC}">
      <text>
        <r>
          <rPr>
            <sz val="10"/>
            <rFont val="SimSun"/>
            <charset val="134"/>
          </rPr>
          <t>OUT 1PCS 06/06/24 DR#75100 SPC KUYA HACKET
OUT 05/13/24 34244 1PCS SALES JARVIS
2pcs 12-27-23 JO#30621 MARLO
4PCS 7-10-23 JO#26617 MARLO
2PCS 6-21-23 JO#26216 JARVIS
2pcs 6-15-23 JO#26044 JARVIS
2PCS 10-12-22 STF#2012 SPC
2PC 8-24-22 JO#17550 JARVIS 
1PC 7-4-22 STF#1855 SPC
OUT 6-28-22 JO16333 1PC ALY
OUT 6-11-22 JO15900 2PC SALES</t>
        </r>
      </text>
    </comment>
    <comment ref="G1368" authorId="0" shapeId="0" xr:uid="{7FFA67D3-ADC6-1A42-804C-649D1BC5865D}">
      <text>
        <r>
          <rPr>
            <sz val="10"/>
            <rFont val="SimSun"/>
            <charset val="134"/>
          </rPr>
          <t>1PC 12-26-21 STF#5701 SPC</t>
        </r>
      </text>
    </comment>
    <comment ref="H1368" authorId="0" shapeId="0" xr:uid="{66D9A5E6-5D48-C646-BE96-31DECF9A02D1}">
      <text>
        <r>
          <rPr>
            <sz val="10"/>
            <rFont val="SimSun"/>
            <charset val="134"/>
          </rPr>
          <t>1PC 12-26-21 JO#12631 JARVIS</t>
        </r>
      </text>
    </comment>
    <comment ref="G1370" authorId="0" shapeId="0" xr:uid="{5CC0F48C-E38C-BF4B-9029-70F2F4BBE07A}">
      <text>
        <r>
          <rPr>
            <sz val="10"/>
            <rFont val="SimSun"/>
            <charset val="134"/>
          </rPr>
          <t>2PCS 5-10-23 STF#8096 SPC
4PCS 1-19-23 STF#7533 SPC
IN 10-23-21 STF#5436 4PC SPC</t>
        </r>
      </text>
    </comment>
    <comment ref="H1370" authorId="0" shapeId="0" xr:uid="{2940AE05-ADAA-4043-B24B-5951D306C2A8}">
      <text>
        <r>
          <rPr>
            <sz val="10"/>
            <rFont val="SimSun"/>
            <charset val="134"/>
          </rPr>
          <t>OUT 1-23-24 DR#73395 2PCS SPC
2pcs 1-9-24 DR#73369 SPC
2pcs 5-1-23 stf#2438 lipa a
2PCS 7-18-22 STF#1879 SPC
2PC 7-16-22 JO16658 OFFICE</t>
        </r>
      </text>
    </comment>
    <comment ref="G1371" authorId="0" shapeId="0" xr:uid="{9B4841D4-BCAB-FE46-91D8-130A2B78734C}">
      <text>
        <r>
          <rPr>
            <sz val="10"/>
            <rFont val="SimSun"/>
            <charset val="134"/>
          </rPr>
          <t>IN 2PCS 07/04/24 DR#75223 SPC KUYA HACKET
IN 4PCS 04/13/24 DR#SPS0021 SPC KUYA EMAN
4PCS 5-10-23 STF#8096 SPC
4PCS 6-27-22 STF#6547 SPC
1PC 6-26-22 ST001995 LIPA A
3PCS 4-2-22 STF#6149 SPC
1PC 01-18-2022 ST001721 LIPA A
4PC 12-07-21 ST005626 SPC</t>
        </r>
      </text>
    </comment>
    <comment ref="H1371" authorId="0" shapeId="0" xr:uid="{16B4B1B5-C35D-1847-A54E-51B317CBA8FE}">
      <text>
        <r>
          <rPr>
            <sz val="10"/>
            <rFont val="SimSun"/>
            <charset val="134"/>
          </rPr>
          <t>OUT 2PCS 2.16.25 DR#77103 SPC
OUT 2PCS 01-02-25 DR#75540 LIPA A
OUT 6-17-24 2PCS DR#75109 LIPA A
1PC 1-10-24 DR#73374 SPC
1PC 10-28-23 JO#29126 JARVIS
2pcs 9-12-23 dr#72266 LIPA A
4PCS 2-10-23 JO#21641 JARVIS
1PC 6-26-22 JO16286 SALES
1PC 6-15-22 STF#1822 SPC
3PCS 4-7-22 STF#1716 LIPA A
1PC 03-23-2022 JO14291 SALES
2PC 02-26-2022 ST001651 LIPA A
1PC 01-18-2022 JO#12958 ALY
2pcs 1-5-22 jo#12772 2pc sales
2PC 12-13-2021 ST001549 LIPA A</t>
        </r>
      </text>
    </comment>
    <comment ref="G1372" authorId="0" shapeId="0" xr:uid="{E69AC3E2-338F-B343-B775-F26D3DC29CAA}">
      <text>
        <r>
          <rPr>
            <sz val="10"/>
            <rFont val="SimSun"/>
            <charset val="134"/>
          </rPr>
          <t>4pcs 9-15-23 DR# SPC
4PCS 5-24-23 STF#8155 SPC
4PCS 1-20-23 STF#7540 SPC</t>
        </r>
      </text>
    </comment>
    <comment ref="H1372" authorId="0" shapeId="0" xr:uid="{D03A6BC3-66D6-5444-98FC-42CD4CE19AE0}">
      <text>
        <r>
          <rPr>
            <sz val="10"/>
            <rFont val="SimSun"/>
            <charset val="134"/>
          </rPr>
          <t>OUT 03/04/2024 32406 1PCS SALES JHONLY
2PCS 10-28-23 JO#29127 JARVIS
2PCS 8-22-23 jo#27620 rose
2PCS 7-28-23 JO#27035 OFFFICE
2PCS  2-21-23 STF#2301 SPC
2PCS 1-31-23 STF#2253 SPC
4PCS 6-14-22 JO#16006 SALES</t>
        </r>
      </text>
    </comment>
    <comment ref="G1373" authorId="0" shapeId="0" xr:uid="{2490BE23-B3CC-9D44-9B8E-83DCADB02F0D}">
      <text>
        <r>
          <rPr>
            <sz val="10"/>
            <rFont val="SimSun"/>
            <charset val="134"/>
          </rPr>
          <t>4PCS 1-7-22 STF#5743 SPC</t>
        </r>
      </text>
    </comment>
    <comment ref="H1373" authorId="0" shapeId="0" xr:uid="{13F71E62-0A76-734A-A4DA-8592C9570F1C}">
      <text>
        <r>
          <rPr>
            <sz val="10"/>
            <rFont val="SimSun"/>
            <charset val="134"/>
          </rPr>
          <t>4PCS 1-8-22 STF#1579 SPA</t>
        </r>
      </text>
    </comment>
    <comment ref="G1374" authorId="0" shapeId="0" xr:uid="{3C102349-C482-A547-AA3C-EE8E7CF3D63D}">
      <text>
        <r>
          <rPr>
            <sz val="10"/>
            <rFont val="SimSun"/>
            <charset val="134"/>
          </rPr>
          <t xml:space="preserve">IN 3PCS 12.12.25 DR#79739 SPC ROBIN
IN 2PCS 9.11.25 DR#79089 spc
IN 4PCS 6.30.25 DR#77781 SPC ALWIN
IN 4PCS 04/21/24 DR#SP0049 SPC
2PCS 10-13-23 DR#72671 LIPA A
2PCS 6-27-23 SPC
1PC 6-14-23 SPC
4PCS 5-10-23 STF#8096 SPC
2PC 01-29-2022 ST001748 LIPA A
</t>
        </r>
      </text>
    </comment>
    <comment ref="H1374" authorId="0" shapeId="0" xr:uid="{E50E0C74-E977-E14E-9D57-5CEA62300802}">
      <text>
        <r>
          <rPr>
            <sz val="10"/>
            <rFont val="SimSun"/>
            <charset val="134"/>
          </rPr>
          <t>OUT 4PCS 02.18.26 DR80865-68 SPC HACKET
OUT 2PCS 10.17.25 DR#79769 SPC LALAMOVE
10-8-25
1 PC 51245 MARLO
7-4-25
2 PCS 48345 ALY
OUT 05/20/24 34467 4PCS SALES BEL
4PCS 10-13-23 JO#28800 JARVIS
2PCS 10-10-23 DR#73912 S[C
2PCS 6-20-23 JO#26079 rose
1PC 5-30-23 JO#25647 MARLO
2PC 01-29-2022 JO13262 ALY
2PC 12-02-2021 JO#12218 MARLO</t>
        </r>
      </text>
    </comment>
    <comment ref="G1375" authorId="0" shapeId="0" xr:uid="{0D473747-CCF5-364D-A999-E9929E639394}">
      <text>
        <r>
          <rPr>
            <sz val="10"/>
            <rFont val="SimSun"/>
            <charset val="134"/>
          </rPr>
          <t>IN 4PCS 12.12.25 DR#79739 SPC ROBIN
IN 4PCS 6.29.25 DR#78089 LIPA A
IN 4PCS 5.21.25 DR#77742 SPC HACKET
IN 1PCS 04/13/24 DR#SPS0021 SPC KUYA EMAN
IN 4PCS 03/10/24 DR# SPC MASTER
4PCS 9-22-23 DR# SPC
4pcs 9-15-23 DR# SPC
2PCS 8-22-23 DR#74100 SPC
4PCS 8-12-23 SPC
12PCS 5-24-23 STF#8155 SPC
4PCS 3-23-23 STF#7891 SPC
4PCS 1-25-23 STF#7566 SPC
4PC 8-6-22 STF#6739 SPC
1PC 6-27-22 STF#6547 SPC
2PCS 5-18-22 STF#6354 SPC
2PC 03-26-2022 ST006111 SPC
4PCS 2-11-22 STF#5904 SPC
4PCS 01-10-2022 ST005754 SPC</t>
        </r>
      </text>
    </comment>
    <comment ref="H1375" authorId="0" shapeId="0" xr:uid="{C20C448F-4D32-4145-98D4-CBF56638D957}">
      <text>
        <r>
          <rPr>
            <sz val="10"/>
            <rFont val="SimSun"/>
            <charset val="134"/>
          </rPr>
          <t>6.21.25
47880 4PCS ALY
6-29-25
4 PCS 48080 ALY
OUT 2PCS 07/10/24 DR#75135-36 SPC KUYA HACKET
OUT 05/01/24 33951 4PCS SALES LEN
OUT 1PC 03/21/24 DR#74731 LIPA A
4PCS 10-25-23 DR#73938 SPC
2pcs 10-23-23 JO#29031 JARVIS
2PCS 10-8-23 JO#28684 MARLO
2PCS 9-22-23 JO#28310 JARVIS
4pcs 8-28-23 dr#72239 spc
2PCS 8-15-23 DR#72218 LIPA A
2PCS 7-6-23 JO#26555 MARLO
4PCS 6-30-23 JO#26324 MARLO
1PC 6-24-23 JO#26228 MARLO
2PCS 6-23-23 JO#26240 JARVIS
2PCS 6-15-23 JO#26040 MARLO
1PC 6-3-23 JO#25780 SALES
4PCS 4-20-23 STF#2412 LIPA A
2PCS 2-18-23 JO#21821 ALY
2PCS 2-8-23 JO#21290 OFFICE
4PCS 12-23-22 JO#20401 ALY
4pcs 8-16-22 JO#17360 ALY
1PC 6-3-22 JO#15765 SALES
2PC 05-05-2022 JO15192 SALES
4PC 02-25-2022 JO13710 SALES
1PC 2-5-22 STF#1619 SPC
2PC 02-01-2022 JO13287 ALY
1PC 1-21-22 JO#13063 ALY
4pcs 12-24-21 STF#1560 SPC</t>
        </r>
      </text>
    </comment>
    <comment ref="G1376" authorId="0" shapeId="0" xr:uid="{23A0DFB8-C02C-B34A-BCD6-FCDA99A90AAE}">
      <text>
        <r>
          <rPr>
            <sz val="10"/>
            <rFont val="SimSun"/>
            <charset val="134"/>
          </rPr>
          <t>4pcs 9-15-23 DR# SPC
3PCS 8-22-23 DR#74100 SPC
8PCS 5-10-23 STF#8096 SPC
5PCS 1-19-23 STF#7533 SPC
1PC  10-8-22 STF#7070 SPC
4PCS 4-2-22 STF#6149 SPC
4PC 03-26-2022 ST006111 SPC
4PCS 01-10-2022 ST005754 SPC
4PCS 01-05-2022 ST005730 SPC
2PCS - 10-20-21 STF#5416 SPC</t>
        </r>
      </text>
    </comment>
    <comment ref="H1376" authorId="0" shapeId="0" xr:uid="{1BFF7BC9-EFA2-A740-B829-D05336643188}">
      <text>
        <r>
          <rPr>
            <sz val="10"/>
            <rFont val="SimSun"/>
            <charset val="134"/>
          </rPr>
          <t>OUT 2PCS 10/13/24 DR#75439 LIPA A
08/16/24
36857 2PCS SALES JARVIS
OUT 4PCS 05/24/24 DR#75085 SPC KUYA HACKET
2pcs 8-5-23 JO#27248 BEL
1PC 7-29-23 JO#27073 MARLO
2PCS 7-27-23 JO#27003 MARLO
4PCS 5-1-23 JO#25015 BEL
4PCS 2-18-23 STF#2293 LIPA A
1PC 10-8-22 STF#2007 SITE A
3PC 9-26-22 JO18310 JARVIS
4PC 8-25-22JO17589 JARVIS
2PCS 4-21-22 JO#14844 SALES
4PCS 1-23-22 STF#1604 A
2PCS 12-30-21 JO#12692 SALES
2PCS 12-15-21 JO#12448 MARIBEL</t>
        </r>
      </text>
    </comment>
    <comment ref="G1377" authorId="0" shapeId="0" xr:uid="{BAA1EB37-EF6D-1446-807C-DD80184D9404}">
      <text>
        <r>
          <rPr>
            <sz val="10"/>
            <rFont val="SimSun"/>
            <charset val="134"/>
          </rPr>
          <t>2PCS 1-23-23 STF#7554 SPC
1PC 5-26-22 STF#6400 SPC
1PC 2-2-22 STF#5859 8PC SPC</t>
        </r>
      </text>
    </comment>
    <comment ref="H1377" authorId="0" shapeId="0" xr:uid="{DEF3EABF-1144-C34A-8D69-8CA628A79BEC}">
      <text>
        <r>
          <rPr>
            <sz val="10"/>
            <rFont val="SimSun"/>
            <charset val="134"/>
          </rPr>
          <t>2PCS 1-23-23 JO#21098 MARLO
4PC S7-19-22 STF#1880 SPC
1PC 5-24-22 JO#15585 SALES
1PC 12-06-2021 JO#12257 MARIBEL</t>
        </r>
      </text>
    </comment>
    <comment ref="G1378" authorId="0" shapeId="0" xr:uid="{FDDF5F82-7794-0843-B787-D654BD3140DE}">
      <text>
        <r>
          <rPr>
            <sz val="10"/>
            <rFont val="SimSun"/>
            <charset val="134"/>
          </rPr>
          <t>IN 1PCS 04/13/24 DR#SPS0021 SPC KUYA EMAN
1PC  10-27-23 DR#74360 SPC
1PC 9-15-23 DR# SPC
4PCS 5-10-23 STF#8096 SPC
2PCS 1-19-23 STF#7533 SPC
4PCS 4-2-22 STF#6149 SPC
4PCS 01-10-2022 ST005754 SPC
4PCS 01-05-2022 ST005730 SPC</t>
        </r>
      </text>
    </comment>
    <comment ref="H1378" authorId="0" shapeId="0" xr:uid="{A31406C8-42AA-DF4E-B9F6-902C56B493E2}">
      <text>
        <r>
          <rPr>
            <sz val="10"/>
            <rFont val="SimSun"/>
            <charset val="134"/>
          </rPr>
          <t>OUT 2PCS 2.16.25 DR#77103 SPC
OUT 2PCS 09/03/24 DR#75396 LIPA A
1PC 1-10-24 DR#73374 SPC
1pc 10-26-23 JO#29077 BEL
2PCS 9-10-23 JO#28072 BEL
2PC 8-31-23 DR#72245 SPC
1PC 7-11-23 JO#26656 MARLO
2PC 9-7-22 JO#17928 ALY 
4PC 03-08-22 JO13944 SALES
4PCS 1-23-22 STF#1604 A</t>
        </r>
      </text>
    </comment>
    <comment ref="G1379" authorId="0" shapeId="0" xr:uid="{570565B8-155A-BA4F-B9C6-6CE3C096B7BD}">
      <text>
        <r>
          <rPr>
            <sz val="10"/>
            <rFont val="SimSun"/>
            <charset val="134"/>
          </rPr>
          <t>IN 4PCS 12.12.25 DR#79739 SPC ROBIN
IN 4PCS 04/13/24 DR#SPS0021 SPC KUYA EMAN
8PCS 5-10-23 STF#8096 SPC
4PCS 1-19-23 STF#7533 SPC
1PC  9-17-22 STF#6940 SPC
2PCS 7-19-22 STf#6668 SPC
4pcs 1-31-22 STF#5843 SPC
4PCS - 10-20-21 STF#5416 SPC</t>
        </r>
      </text>
    </comment>
    <comment ref="H1379" authorId="0" shapeId="0" xr:uid="{064B3302-1E70-9045-BFA2-D2F20FEE1D21}">
      <text>
        <r>
          <rPr>
            <sz val="10"/>
            <rFont val="SimSun"/>
            <charset val="134"/>
          </rPr>
          <t>02.15.26
55174 1PC JARVIS
OUT 2PCS 07/10/24 DR#75135-36 SPC KUYA HACKET
OUT 05/05/24 34045 1PCS SALES MARLO 
OUT 04/29/24 33838 1PCS SALES JHONLY
2pcs 1-9-24 DR#73369 SPC
4pcs 11-21-23 DR#74279 SPC
4PCS 10-15-23 JO#28861 JUSTIN
2PCS 7-4-23 STF#2533 LIPA A
1PC 11-12-22 JO#19442 ALY
4PCS 9-30-22 STF#1997 SPC
1PC 8-31-22 STF#6859 SPC
2 PC 7-16-22 JO16658 OFFICE
4PCS - 10/27/2021 SPC</t>
        </r>
      </text>
    </comment>
    <comment ref="G1380" authorId="0" shapeId="0" xr:uid="{035D5494-17CF-6542-A201-204740E54D55}">
      <text>
        <r>
          <rPr>
            <sz val="10"/>
            <rFont val="SimSun"/>
            <charset val="134"/>
          </rPr>
          <t>IN 2PCS 11/21/24 DR#75716 SPC
1PC 11-17-23 DR#74414 SPC
4pcs 9-15-23 DR# SPC
2PCS 1-16-23 STF#925 STC
3pcs 7-28-22 STF#6699 SPC
1PC 7-25-22 STF#2055 SITE A
4PC 01-20-2022 ST005793 SPC
2PCS - 11/6/2021 ST001608 LIPA A</t>
        </r>
      </text>
    </comment>
    <comment ref="H1380" authorId="0" shapeId="0" xr:uid="{ED116D5F-1E0A-2B4C-8B52-554AF2CD3381}">
      <text>
        <r>
          <rPr>
            <sz val="10"/>
            <rFont val="SimSun"/>
            <charset val="134"/>
          </rPr>
          <t>OUT 2PCS 11/21/24 JO39758 ALY
OUT 1PCS 07/10/24 DR#75135-36 SPC KUYA HACKET
OUT 07/04/24 35705 2PCS SALES BEL
OUT 02-18-2024
32008 1PC SALES JARVIS
1PC  11-11-23 DR#74264  SPC
2PCS 1-18-23 JO#20778 JOJO
2PCS 12-3-22 STF#2112 SPC
2PCS 11-12-22 JO#19379 ALY
1PC 8-17-22 STF#1929 SITE A
1PC 7-26-22 JO16937 MARIBEL
4PC 03-31-2022 JO14415 SALES
2PCS - 11/07/2021 JO#11785 JARVIS</t>
        </r>
      </text>
    </comment>
    <comment ref="G1381" authorId="0" shapeId="0" xr:uid="{0D79E9C5-195A-9C48-BBC6-9E6A4DED6190}">
      <text>
        <r>
          <rPr>
            <sz val="10"/>
            <rFont val="SimSun"/>
            <charset val="134"/>
          </rPr>
          <t>IN 2PCS 01.20.26 DR79983 SPC RONNIE
IN 2PCS 01.12.26 DR79962 SPC HACKET
IN 4PCS 12.22.25 DR#79909 SPC RONNIE
IN 4PCS 04/13/24 DR#SPS0021 SPC KUYA EMAN
IN 2PCS 04/11/24 DR#73449A LIPA A
IN 4PCS 03/10/24 DR# SPC MASTER
1PC 1-31-24 DR#73345  LIPA A
2pcs 1-10-24 DR#73329 LIPA A
4PCS 9-22-23 DR# SPC
3pcs 9-15-23 DR# SPC
2PCS 6-21-23 SPC
2PCS 3-23-23 STF#7891 SPC
4PCS 12-2-22 STF#7317 SPC
4PCS 8-25-22 STF#1943 SPC
4PC 8-6-22 STF#6739 SPC
4PCS 5-26-22 STF#6400 SPC
3PC 04-16-2022 ST006204 SPC
4PC 03-26-2022 ST006111 SPC
4PCS 1-12-22 STF#5760 SPC
4PCS 01-10-2022 ST005754 SPC
4PCS 01-05-2022 ST005730 SPC</t>
        </r>
      </text>
    </comment>
    <comment ref="H1381" authorId="0" shapeId="0" xr:uid="{1D81673C-6314-5C4E-8CFD-56A1BBE589B4}">
      <text>
        <r>
          <rPr>
            <sz val="10"/>
            <rFont val="SimSun"/>
            <charset val="134"/>
          </rPr>
          <t>02.02.26
54748 4PCS BEL
1-12-26
2PCS 54151 MARLO
OUT 2PCS 01.08.26 DR80090 LIPA A
OUT 4PCS 04/15/24 DR#74774 SPC
OUT 04/11/24 33395.1 2PCS SALES JARVIS
OUT 4PCS 04/10/24 DR#74763 SPC KUYA HACKET 
1PC 1-31-24 JO#31526 ROSE
2PCS 1-10-24 30965 SALES
3pcs 11-21-23 DR#74279 SPC
3pcs 11-11-23 DR#74264  SPC
2PCS 10-17-23 JO#28809 MARLO
2pcs 9-10-23 JO#28081 JARVIS
1PC 8-18-23 JO#27567 ROSE
1PC 7-10-23 JO#26610 ROSE
2pcs 6-3-23 JO#25889 JARVIS
2PCS 2-27-23 JO#21896 OFICE COMPANY VEHICLE
2pcs 2-16-23 JO#21753 OFFICE COMPANY VEHICLE NCS 5890
2PCS 2-13-23 JO#21627 OFFICE
COMPANY VEHICLE NCS 5855
4PCS 8-25-22 STF#1943 SPC
5PCS 7-18-22 STF#1879 SPC
1PC 6-22-22 STF#1835 SPC
4pcs 5-11-22 JO#15286 SALES
2pcs 5-25-22 jo#15567 sales
2PC 04-11-2022 JO14691 SALES
1pc 4-6-22 JO#14546 paul
2PC 04-05-2022 JO14556 SALES
2PCS 3-29-22 JO#14359 SALES
2PC 03-04-2022 JO13883 SALES
2PC 01-30-2022 JO13268 ALY</t>
        </r>
      </text>
    </comment>
    <comment ref="G1382" authorId="0" shapeId="0" xr:uid="{17C8AFD3-CA1B-6744-A32C-81368026A740}">
      <text>
        <r>
          <rPr>
            <sz val="10"/>
            <rFont val="SimSun"/>
            <charset val="134"/>
          </rPr>
          <t xml:space="preserve">IN 2PCS 05/06/24 DR# SPC MASTER
IN 4PCS 04/13/24 DR#SPS0021 SPC KUYA EMAN
IN 4PCS 03/10/24 DR# SPC MASTER
1PC 12-20-23 DR#73314 LIPA A
4PCS 5-24-23 STF#8155 SPC
2PCS 1-26-23 STF#7575 SPC
2PCS 1-12-23 STF#7501 SPC
4pcs 6-11-22 STF#6481 SPC
4PC 04-11-2022 ST006192 SPC
4PC 03-26-2022 ST006111 SPC
</t>
        </r>
      </text>
    </comment>
    <comment ref="H1382" authorId="0" shapeId="0" xr:uid="{A6034A18-C33A-D04E-AD12-7D6E4BDB9BF7}">
      <text>
        <r>
          <rPr>
            <sz val="10"/>
            <rFont val="SimSun"/>
            <charset val="134"/>
          </rPr>
          <t xml:space="preserve">OUT 2PCS 07/10/24 DR#75135-36 SPC KUYA HACKET
OUT 05/13/24 34233 2PCS SALES MARLO
OUT 04/27/24 33786 2PCS SALES MARLO 
OUT 04/06/24 33227 4PCS SALES MARLO
OUT 12-20-2023
30373 4PCS SALES MARLO (1PC FROM A)
2PCS 7-17-23 JO#26791 JARVIS
2PCS 6-4-23 JO#25759 SALES
4PCS 4-16-23 JO#24644 JARVIS
4PCS 11-2-22 STF#2044 SPC
4pcs 10-5-22 stf#2002 spc
4PC 04-01-2022 JO14457 SALES
</t>
        </r>
      </text>
    </comment>
    <comment ref="G1383" authorId="0" shapeId="0" xr:uid="{BDDD49A1-ADF9-764B-BD64-905A4201E449}">
      <text>
        <r>
          <rPr>
            <sz val="10"/>
            <rFont val="SimSun"/>
            <charset val="134"/>
          </rPr>
          <t>2PCS 7-27-22 STF#6698 SPC
4PCS 7-2-22 STF#6571 SPC</t>
        </r>
      </text>
    </comment>
    <comment ref="H1383" authorId="0" shapeId="0" xr:uid="{70754909-8367-594F-B9DC-7701F510A25C}">
      <text>
        <r>
          <rPr>
            <sz val="10"/>
            <rFont val="SimSun"/>
            <charset val="134"/>
          </rPr>
          <t>2pcs 7-27-22 JO#16968 SALES
4PC 7-2-22 JO16428 ALY</t>
        </r>
      </text>
    </comment>
    <comment ref="G1384" authorId="0" shapeId="0" xr:uid="{8114A08B-D900-E047-AABA-1E6B0975DA8C}">
      <text>
        <r>
          <rPr>
            <sz val="10"/>
            <rFont val="SimSun"/>
            <charset val="134"/>
          </rPr>
          <t>4PCS 2-21-23 STF#7711 SPC</t>
        </r>
      </text>
    </comment>
    <comment ref="H1384" authorId="0" shapeId="0" xr:uid="{F8E4017D-1CBC-5440-BA18-4C35FCE485BA}">
      <text>
        <r>
          <rPr>
            <sz val="10"/>
            <rFont val="SimSun"/>
            <charset val="134"/>
          </rPr>
          <t>2pcs 4-24-23 jo24814 maribel
2PCS  4-20-23 JO#24725 ROSE</t>
        </r>
      </text>
    </comment>
    <comment ref="G1385" authorId="0" shapeId="0" xr:uid="{6DE34FC9-6890-824C-BA5A-4556FB6809F6}">
      <text>
        <r>
          <rPr>
            <sz val="10"/>
            <rFont val="SimSun"/>
            <charset val="134"/>
          </rPr>
          <t>IN 1PCS 12.12.25 DR#79739 SPC ROBIN
IN 4PCS 5.21.25 DR#77742 SPC HACKET
IN 4PCS 07/21/24 DR#75242 SPC MASTER
IN 1PCS 05/15/24 DR#75037 SPC
IN 4PCS 05/04/24 DR#73473 LIPA
IN 2PCS 04/13/24 DR#SPS0021 SPC KUYA EMAN
4PCS 8-12-23 SPC
1PC 8-1-23 DR#73621 LIPA A
2PCS 6-21-23 SPC
4PCS 5-10-23 STF#8096 SPC
2PCS 4-19-23 STF#8012 SPC
2PCS 9-22-22 STF#6962 SPC
2PCS 8-15-22 STF#6778 SPC
2PCS 8-10-22 STF#6755 SPC
2PCS 7-6-22 STF#6587 SPC
4PCS 5-26-22 STF#6400 SPC
4PC 03-26-2022 ST006111 SPC
IN 12-7-21 STF#5626 4PC SPC</t>
        </r>
      </text>
    </comment>
    <comment ref="H1385" authorId="0" shapeId="0" xr:uid="{E25B692E-159A-AB42-A5FF-60FC00F1A257}">
      <text>
        <r>
          <rPr>
            <sz val="10"/>
            <rFont val="SimSun"/>
            <charset val="134"/>
          </rPr>
          <t>8-25-25
1 pc 49960 JARVIS
5.14.25 3PCS DR#77649 SPC HACKET
OUT 4PCS 2.16.25 DR#77103 SPC
out 1pcs 10/08/24 dr#75436 lipa a
OUT 05/29/24 34691 2PCS SALES JARVIS
OUT 05/05/24 34007 3PCS SALES JARVIS
2pcs 1-10-24 DR#73374 SPC
2ps 11-7-23 jo#29333 JARVIS
1PC 8-1-23 JO#27156 BEL
2pcs 7-17-23 JO#26769 BE;
2PCS 6-24-23 JO#26228 MARLO
2PCS 6-13-23 JO#25996 JARVIS
4pcs 6-9-23 JO#25903 BEL
4PCS 3-25-23 JO#23371 MARLO
2PCS 12-28-22 STF#2175 SPC
4PC 8-20-22 JO17499 4PC BEL
4PC 8-7-22 JO17206 JARVIS
2PC 7-2-22 JO16461 PAUL
4PCS 3-28-22 JO#14354 JARVIS
4PCS - 10/30/2021 JO11230 TIN</t>
        </r>
      </text>
    </comment>
    <comment ref="G1386" authorId="0" shapeId="0" xr:uid="{9635EADB-0435-AF42-BB37-A846CF031547}">
      <text>
        <r>
          <rPr>
            <sz val="10"/>
            <rFont val="SimSun"/>
            <charset val="134"/>
          </rPr>
          <t>IN 4PCS 04/13/24 DR#SPS0021 SPC KUYA EMAN
IN 12-23-23 DR#73316 2PCS LIPA A
4PCS 9-22-23 DR# SPC
4PCS 8-31-23 DR#74178 SPC
4PCS 6-21-23 SPC
1pc 8-3-22 STF#6726 SPC
4PCS 2-15-22 STF#5914 SPC
4PCS - 10-20-21 STF#5416  SPC</t>
        </r>
      </text>
    </comment>
    <comment ref="H1386" authorId="0" shapeId="0" xr:uid="{EC40FB2A-D895-E241-8973-8B2B5B8CF64C}">
      <text>
        <r>
          <rPr>
            <sz val="10"/>
            <rFont val="SimSun"/>
            <charset val="134"/>
          </rPr>
          <t>4PCS 5/10/2024 STA CRUZ
4PCS 12-22-23 JO#30475 BEL
2pcs 11-7-23 jo#29345 len
4PCS 10-1-23 JO#28490 JARVIS
2PCS 11-2-22 STF#2044 SPC
1PC 10-22-22 ST002029 LIPA A
2PCS 9-21-22 STF#1985 SPC
4PC 12-05-2021 ST001525 SPC</t>
        </r>
      </text>
    </comment>
    <comment ref="G1387" authorId="0" shapeId="0" xr:uid="{B0A9F1BE-C8EA-A547-8355-223110D4A8A9}">
      <text>
        <r>
          <rPr>
            <sz val="10"/>
            <rFont val="SimSun"/>
            <charset val="134"/>
          </rPr>
          <t>IN 4PCS 12.12.25 DR#79739 SPC ROBIN
IN 2PCS 03/10/24 DR# SPC MASTER
4pcs 9-15-23 DR# SPC
4PCS 8-12-23 SPC
1PC 7-11-23 DR#72630 LIPA A
8PCS 5-10-23 STF#8096 SPC
2PCS 4-28-23 STf#8057 SPC
4PCS 1-19-23 STF#7533 SPC
4PCS 6-27-22 STF#6547 SPC
4PCS - 10-27-21 STF#5444 SPC</t>
        </r>
      </text>
    </comment>
    <comment ref="H1387" authorId="0" shapeId="0" xr:uid="{6B9C6B8A-3933-8040-84DE-17215BA91299}">
      <text>
        <r>
          <rPr>
            <sz val="10"/>
            <rFont val="SimSun"/>
            <charset val="134"/>
          </rPr>
          <t xml:space="preserve">OUT 3PCS 2.16.25 DR#77103 SPC
12-21-24
40935 1PC SALES DALIA
OUT 1-23-24 DR#73395 4PCS  SPC
2PCS 12-9-23 DR#73962 SPC
4PCS 7-11-23 JO#26678 JARVIS
1PC 6-22-23 jo#26233 jarvis
4pcs 6-11-23 JO#25955 BEL
4PCS 4-29-23 JO#24940 JARVIS
2pcs 4-22-23 JO#24773 JARVIS
1PC 8-15-22 STF#1922 SPC
4PCS 8-13-22 STF#1919 SPC
1PC  6-23-22 STF#1837 SPC
4PCS 6-20-22 JO16129 SALES
</t>
        </r>
      </text>
    </comment>
    <comment ref="G1388" authorId="0" shapeId="0" xr:uid="{9C86BAEB-B26F-3D4D-BC5D-294FBD107584}">
      <text>
        <r>
          <rPr>
            <sz val="10"/>
            <rFont val="SimSun"/>
            <charset val="134"/>
          </rPr>
          <t>IN 2PCS 02.03.26 DR80186 LIPA A
IN 4PCS 12.12.25 DR#79739 SPC ROBIN
IN 1PC 7.2.25 DR#77789 SPC SERVICE
IN 2PCS 7.1.25. DR#78091 LIPA A
IN 2PCS 6.30.25 DR#77781 SPC ALWIN
IN 4PCS 5.21.25 DR#77742 SPC HACKET
IN 4PCS 07/21/24 DR#75242 SPC MASTER
IN 4PCS 03/10/24 DR# SPC MASTER
4pcs 9-15-23 DR# SPC
4PCS 8-12-23 SPC
8PCS 5-10-23 STF#8096 SPC
2PCS 3-27-23 STF#7901 SPC
4PCS 3-23-23 STF#7891 SPC
2PCS 3-4-23 ST002345 LIPA A
2PCS 3-3-23 STF#2345 LIPA A
4PCS 2-27-23 STF#7754 SPC
4PCS 1-19-23 STF#7533 SPC
4PC 8-6-22 STF#6739 SPC
2PCS 7-4-22 STF#6579 SPC
4PCS 6-11-22 STF#1968 LIPA A
4pcs 6-8-22 STF#1963 SITE A
2PCS 5-11-22 STf#6319 SPC
12PC 03-26-2022 ST006111 SPC
2PCS 2-16-22 STF#1779 A
4PCS 2-6-22 STF#1759 A
4PCS 1-29-22 STF#5831 SPC
4PCS 01-05-2022 ST005730 SPC</t>
        </r>
      </text>
    </comment>
    <comment ref="H1388" authorId="0" shapeId="0" xr:uid="{7D7BD703-BE79-CF47-B672-3DF2785EE134}">
      <text>
        <r>
          <rPr>
            <sz val="10"/>
            <rFont val="SimSun"/>
            <charset val="134"/>
          </rPr>
          <t>02.03.26
54806 4PCS BEL
01.22.26
54457 2PCS JARVIS
11.26.25
52645 2PCS MARLO
OUT 2PCS 7.13.25 DR#78364 LIPA A
7.1.25
48273 4PCS ALY
6.6.25
47198 2PCS JARVIS
07/25/24
36255 4pcs sales bel
OUT 4PCS 06/17/24 DR#75110 SPC MASTER
4pcs 10-21-23 DR#73932 SPC
4PCS 8-18-23 JO#27585 JARVIS
4PCS 8-5-23 DR#72205 SPC
4PCS 7-24-23 JO#26967 JARVIS
4PCS 5-3-23 STf#2440 SPC
2pcs 3-24-23 JO#23353 JARVIS
2PCS 3-4-23 JO22129 MARIBEL
2PCS 3-3-23 JO# SALES
4PCS 2-28-23 JO#22053 BEL
4pcs 2-25-23 JO#21991 BEL
4PC 8-11-22 JO17281 JARVIS
4PC 7-15-22 JO16712 MARIBEL
4PC 6-11-22 JO15960 SALES
2PCS 6-9-22 JO# 15912 MARIBEL 
4PCS 6-8-22 JO#15870 SALES
2PCS 6-2-22 JO#15697 SALES
4pcs 5-30-22 JO#15677 SALES
2PCS 5-4-22 JO#15183 SALES
2pcs 4-6-22 JO#14546 SPC
2PCS 3-29-22 JO#14395 BEL
2PC 02-16-2022 JO13558 SALES
4PCS 02-06-22 JO#13394 JARVIS
4PCS 02-06-22 JO#13370 ALY
4PCS 2-2-22 JO#13331 ALY</t>
        </r>
      </text>
    </comment>
    <comment ref="G1389" authorId="0" shapeId="0" xr:uid="{90A6FDA0-E352-4648-91AD-535FF02AD3FC}">
      <text>
        <r>
          <rPr>
            <sz val="10"/>
            <rFont val="SimSun"/>
            <charset val="134"/>
          </rPr>
          <t>IN 4PCS 12.12.25 DR#79739 SPC ROBIN
IN 4PCS 07/21/24 DR#75242 SPC MASTER
IN 4PCS 03/14/24 DR#74868 SPC
3PCS 5-24-23 STF#8155 SPC
4PCS 1-19-23 STF#7533 SPC
4PCS 12-2-22 STF#7317 SPC
4pcs 7-28-22 STF#6699 SPC
3PCS 3-1-22 STF#5993 SPC
4PCS 2-5-22 STF#5873 SPC
4PCS -10-20-21 STF#5416 SPC</t>
        </r>
      </text>
    </comment>
    <comment ref="H1389" authorId="0" shapeId="0" xr:uid="{4D19E414-1326-244B-A483-7797C9CE17DE}">
      <text>
        <r>
          <rPr>
            <sz val="10"/>
            <rFont val="SimSun"/>
            <charset val="134"/>
          </rPr>
          <t>2.16.26
55208 4PCS JARVIS
OUT 2PCS 2.16.25 DR#77103 SPC
08/13/24
36764 2PCS SALES JARVIS
OUT 2PCS 05/24/24 DR#75085 SPC KUYA HACKET
OUT 05/08/24 34123 2PCS SALES JOHNLY
4pcs 11-5-23 dr#73950 LIPA A
4pcs 6-23-23 JO#26261 BEL
1pc 3-21-23 STF#2356 LIPA A
2PCS 2-8-23 JO#21578 ALY
2PCS 10-10-22 STF#2010 SPC
2PCS 9-5-22 JO#17871 JARVIS
4PCS 5-30-22 STF#1806 SITE A
4PC 03-10-2022 JO14033 JARVIS
2PCS 2-10-22 JO#13462 BEL
1PC 2-6-22 JO#13375 MAR IBEL</t>
        </r>
      </text>
    </comment>
    <comment ref="G1390" authorId="0" shapeId="0" xr:uid="{5EB49F0A-9A3F-104F-885E-08E11809E096}">
      <text>
        <r>
          <rPr>
            <sz val="10"/>
            <rFont val="SimSun"/>
            <charset val="134"/>
          </rPr>
          <t>IN 4PCS 12.12.25 DR#79739 SPC ROBIN
IN 2PCS 03/10/24 DR# SPC MASTER
4PCS 9-22-23 DR# SPC
4pcs 9-15-23 DR# SPC
4PCS 1-25-23 STF#7566 SPC
4PCS 1-19-23 STF#7533 SPC
4PCS 11-8-22 TF#7214 SPC
4pcs 7-28-22 STF#6699 SPC
2pcs 7-2-22 STF#6572 SPC
2PC 04-18-2022 ST006214 SPC
4PCS 4-2-22 STF#6149 SPC
1PC - 10-28-21 STF#5448  SPC</t>
        </r>
      </text>
    </comment>
    <comment ref="H1390" authorId="0" shapeId="0" xr:uid="{71169A9A-25EF-DC44-85F8-1A8408763E0A}">
      <text>
        <r>
          <rPr>
            <sz val="10"/>
            <rFont val="SimSun"/>
            <charset val="134"/>
          </rPr>
          <t>02.07.26
54945 4PCS JARVIS
OUT 2PCS 07/10/24 DR#75135-36 SPC KUYA HACKET
OUT 07/05/24 35716 2PCS SALES LEN
2PCS 2-9-24 JO#31764 SALES
4PCS 10-20-23 JO#28948 JARVIS
4PCS 9-4-23 JO#27935 JARVIS
4pcs 7-4-23 stf#2536 SPC
4PCS 12-3-22 STF#2112 SPC
4pcs 8-16-22 STF#1923 SITE A
4pcs 5-11-22 JO#15285 SALES
2PC 04-17-2022 JO14756 BEL
1PC 11-27-21 STF#1508 SPC</t>
        </r>
      </text>
    </comment>
    <comment ref="G1391" authorId="0" shapeId="0" xr:uid="{3DBED3CD-0F38-4C4D-825F-7016EEC112A4}">
      <text>
        <r>
          <rPr>
            <sz val="10"/>
            <rFont val="SimSun"/>
            <charset val="134"/>
          </rPr>
          <t>4pcs 2-24-23 STF#7730 SPC</t>
        </r>
      </text>
    </comment>
    <comment ref="H1391" authorId="0" shapeId="0" xr:uid="{C3926024-506D-A942-9D0F-85A3073335FC}">
      <text>
        <r>
          <rPr>
            <sz val="10"/>
            <rFont val="SimSun"/>
            <charset val="134"/>
          </rPr>
          <t>4PCS 6-16-23 JO#26085 JARVIS</t>
        </r>
      </text>
    </comment>
    <comment ref="G1392" authorId="0" shapeId="0" xr:uid="{4B344B55-7184-784C-B85C-12153C095E62}">
      <text>
        <r>
          <rPr>
            <sz val="10"/>
            <rFont val="SimSun"/>
            <charset val="134"/>
          </rPr>
          <t xml:space="preserve">IN 2PCS 12.12.25 DR#79739 SPC ROBIN
2pcs 9-15-23 DR# SPC
4PCS 5-10-23 STF#8096 SPC
2PCS 4-19-23 STF#8012 SPC
4PCS 1-19-23 STF#7533 SPC
2PCS 11-7-22 STF#7209 SPC
2PCS 7-25-22 STF#6684 SPC
3PC 03-30-2022 ST006127 SPC
1PC 03-09-2022 ST006036 SPC
</t>
        </r>
      </text>
    </comment>
    <comment ref="H1392" authorId="0" shapeId="0" xr:uid="{5899A0EE-0416-9B45-BA0C-546BBBF32C99}">
      <text>
        <r>
          <rPr>
            <sz val="10"/>
            <rFont val="SimSun"/>
            <charset val="134"/>
          </rPr>
          <t>10-26-2025
2PCS DR#79780 LIPA A HACKET
OUT 1PCS 05/24/24 DR#75085 SPC KUYA HACKET
2pcs 1-10-24 DR#73374 SPC
1PC 11-14-23 JO#29467 MARLO
2PCS 7-13-23 JO#26706 BEL
2PCS 7-12-23 JO#26659 MARLO
2PCS 4-13-23 JO#2400 LIPA A
3pcs 12-16-22 JO#20217 JARVIS
4PCS 11-7-22 JO#19287 BEL
4PCS 10-31-22 JO#19134 JARVIS
2PC 10-15-22 JO18815 JARVIS
2PC 7-21-22 JO16797 MARIBEL</t>
        </r>
      </text>
    </comment>
    <comment ref="G1393" authorId="0" shapeId="0" xr:uid="{F5EC141A-F386-5C41-B661-124FA60E1BB1}">
      <text>
        <r>
          <rPr>
            <sz val="10"/>
            <rFont val="SimSun"/>
            <charset val="134"/>
          </rPr>
          <t>IN 4PCS 02.16.26 DR80200 LIPA A
IN 4PCS 12.12.25 DR#79739 SPC ROBIN
IN 3PCS 03/10/24 DR# SPC MASTER
2pcs 12-5-23 DR#74513 SPC
4pcs 9-15-23 DR# SPC
4pcs 8-14-23 spc
1PC STA CRUZ
3pcs 7-30-23 DR#74047 SPC
4PCS 6-17-23 STF#2456 LIPA A
4PCS 5-10-23 STF#8096 SPC
4PCS 3-27-23 STF#7909 SPC
4PCS 3-23-23 STF#7891 SPC
4PCS 1-19-23 STF#7533 SPC
1PC 5-19-22 STf#1932 LIPA A
2PCS 4-13-22 STF#6199 SPC
2PC 04-11-2022 ST006192 SPC
4PC 03-30-2022 ST006127 SPC
2PC 03-10-22 ST001810 LIPA A
4PCS - 10-20-21 STF#5416 SPC</t>
        </r>
      </text>
    </comment>
    <comment ref="H1393" authorId="0" shapeId="0" xr:uid="{00823DE7-C790-C944-8BFF-751B7124DD22}">
      <text>
        <r>
          <rPr>
            <sz val="10"/>
            <rFont val="SimSun"/>
            <charset val="134"/>
          </rPr>
          <t>OUT 2PCS  02.28.26 DR80879 LIPA A
02.07.26
54942 4PCS JARVIS
OUT 2PCS 07/10/24 DR#75135-36 SPC KUYA HACKET
OUT 07/09/24 35845 2PCS SALES MARLO
OUT 01-08-2024
30860 2PCS SALES
4PCS 12-29-23 DR#73988 SPC
1pc 12-16-23 JO#30274 JARVIS
2pcs 11-3-23 JO#29245 BEL
4PCS 8-2-23 JO#27085 JARVIS
2pcs 6-19-23 JO#26161 JARBIS
4PCS 6-17-23 JO#26088 JARVIS
4PCS 6-12-23 JO#25984 BEL
2PCS 6-3-23 JO#25732 BEL
4PCS 3-26-23 JO#23403 JARVIS
4PCS 3-8-23 STF#2326 SPC
1PC 6-15-22 STF#1822 SPC
4PCS 5-22-22 JO#15518 SALES
2PC 04-11-22 JO14673 SALES
2pcs 4-6-22 STF#1713 LIPA A
4PC 03-10-2022 JO14035 JARVIS
2PC 03-10-2022 JO14021 BEL</t>
        </r>
      </text>
    </comment>
    <comment ref="G1394" authorId="0" shapeId="0" xr:uid="{F3B7B9D7-4D38-9A41-B0C1-4C5E58DA5AD9}">
      <text>
        <r>
          <rPr>
            <sz val="10"/>
            <rFont val="SimSun"/>
            <charset val="134"/>
          </rPr>
          <t>IN 4PCS 12.12.25 DR#79739 SPC ROBIN
IN 1PCS 04/13/24 DR#SPS0021 SPC KUYA EMAN
6PCS 9-22-23 DR# SPC
5PCS 5-10-23 STF#8096 SPC
4PCS 1-19-23 STF#7533 SPC
4PC 7-10-22 ST006611 SPC
4PC 04-22-2022 ST006234 SPC
4PC 03-30-2022 ST006127 SPC
4PCS 1-17-22 STF#5778 SPC
2PCS 01-05-2022 ST005730 SPC</t>
        </r>
      </text>
    </comment>
    <comment ref="H1394" authorId="0" shapeId="0" xr:uid="{50D260F2-F5CD-1146-AFB7-A00E02B166E8}">
      <text>
        <r>
          <rPr>
            <sz val="10"/>
            <rFont val="SimSun"/>
            <charset val="134"/>
          </rPr>
          <t>OUT 1PC 02.28.26 DR80879 LIPA A
OUT 2PCS 11/18/2024 JO39731 JARVIS
08/06/24
36597 2PCS SALES JARVIS
OUT 01-09-2024
30952 1PC SALES
6PCS 12-30-23 DR#73994 SPC
4PCS 9-17-23 JO#28232 BEL
1pc 4-11-2023 JO#24278 MARLO
4PC 7-10-22 JO16614 MARLO
1PC  6-23-22 STF#1837 SPC
2PCS 6-16-22 NJO#16067 SALES
1PC 5-22-22 STF#1790 LIPA A
4PCS 4-21-22 STF#1738 SPC
1PC 03-18-2022 ST001683 SPC
2PCS 2-7-22 JO#13378 BEL
1PC 1-24-22 STF#1605 A
4PCS 01-07-2022 ST001577 LIPA A</t>
        </r>
      </text>
    </comment>
    <comment ref="G1395" authorId="0" shapeId="0" xr:uid="{F8A09110-245D-1042-85C4-A24A503F4A28}">
      <text>
        <r>
          <rPr>
            <sz val="10"/>
            <rFont val="SimSun"/>
            <charset val="134"/>
          </rPr>
          <t>IN 4PCS 6.30.25 DR#77781 SPC ALWIN
IN 2PCS 12-04-24 DR#75738 SPC BRIAN
IN 2PCS 11/02/24 DR#76697 SPC KUYA HACKET
IN 4PCS 07/21/24 DR#75242 SPC MASTER
IN 1PCS 04/21/24 DR#SP0049 SPC
IN 4PCS 03/16/24 DR#74869 SPC
IN 1PCS 03/14/24 DR#74868 SPC
4PCS 9-22-23 DR# SPC
1PC9-15-23 DR# SPC
4PCS 5-10-23 STF#8096 SPC
2PCS 4-19-23 STF#8012 SPC
4PCS 9-22-22 STF#6962 SPC
1PC 8-24-22 STF#1942 SPC
2PCS 7-19-22 STf#6668 SPC
2pcs 5-28-22 STF#6411 SPC
4PC 05-07-2022 ST006304 SPC
4PCS 4-2-22 STF#6149 SPC
4PC 03-26-2022 ST006111 SPC
4pcs 1-31-22 STF#5843 SPC</t>
        </r>
      </text>
    </comment>
    <comment ref="H1395" authorId="0" shapeId="0" xr:uid="{62B29E5D-302E-6B48-9861-9AF0659AB721}">
      <text>
        <r>
          <rPr>
            <sz val="10"/>
            <rFont val="SimSun"/>
            <charset val="134"/>
          </rPr>
          <t>OUT 4PCS 7.23.25 DR#78376 LIPA A
OUT 2PCS 6.18.25 DR#78324 SPC HACKET
3-29-25
2 PCS OUT JO44649  JARVIS
OUT 2PCS 12/3/24 JO40328 ALY
OUT 4PCS SALES 11/11/2024
JO39682 
OUT 1PCS 09/04/24 DR#75398 SPC MEET UP BRIAN
08/12/24
36679 1PC SALES JARVIS
OUT 03/1624 32772 2PCS SALES JARVIS
OUT 03/06/24 32399 2PCS SALES JARVIS
1PC 2-10-24 31811 SALES
1PC 01-23-2024 JO#31283 SALES
4PCS 12-30-23 DR#73994 SPC
3PCS 8-23-23 JO#27694 JARVIS
2pcs 6-26-23 JO#26290 MARLO
2PC	4/15/2023 JO24615 MARIBEL
2PCS 2-22-23 STF#2305 SPC
2pcs 9-20-22 JO#18227 BEL
1PC 8-16-22 JO17356 ALY
2PC 7-16-22 JO16743 JARVIS
4pcs 5-27-22 JO#15636 SALES
4PC 05-07-2022 JO15254 SALES
2PCS 5-4-22 JO#15160 SALES
4PC 03-22-2022 JO14267 SALES
4PCS 12-2-21 STF#1519 SPC</t>
        </r>
      </text>
    </comment>
    <comment ref="G1396" authorId="0" shapeId="0" xr:uid="{34CBFA6F-770B-4247-8759-8D545BCD0BAF}">
      <text>
        <r>
          <rPr>
            <sz val="10"/>
            <rFont val="SimSun"/>
            <charset val="134"/>
          </rPr>
          <t>2PCS 9-22-23 DR# SPC
4pcs 2-24-23 STF#7730 SPC
4PCS 8-24-22 STF#1942 SPC</t>
        </r>
      </text>
    </comment>
    <comment ref="H1396" authorId="0" shapeId="0" xr:uid="{5706556F-0683-3D46-8A40-D569CCC1AFA0}">
      <text>
        <r>
          <rPr>
            <sz val="10"/>
            <rFont val="SimSun"/>
            <charset val="134"/>
          </rPr>
          <t>4pcs 1-10-24 DR#73374 SPC
2pcs 9-13-23 jo#28118 jarvis
4pcs 3-28-23 JO#23444 BEL
4PC 11-8-22 JO19325 ALY</t>
        </r>
      </text>
    </comment>
    <comment ref="G1397" authorId="0" shapeId="0" xr:uid="{BF2EE06C-F2D0-504E-A0BF-003BE5BD593B}">
      <text>
        <r>
          <rPr>
            <sz val="10"/>
            <rFont val="SimSun"/>
            <charset val="134"/>
          </rPr>
          <t>IN 4PCS 6.28.25 DR#77778 SPC EMMAN
IN 4PCS 04/13/24 DR#SPS0021 SPC KUYA EMAN
2PCS 1-25-23 STF#7566 SPC
2PCS 9-17-22 STF#6940 SPC
2pcs 8-3-22 STF#6726 SPC</t>
        </r>
      </text>
    </comment>
    <comment ref="H1397" authorId="0" shapeId="0" xr:uid="{0C5799B3-DD9E-0441-89D8-A6F87D18C60F}">
      <text>
        <r>
          <rPr>
            <sz val="10"/>
            <rFont val="SimSun"/>
            <charset val="134"/>
          </rPr>
          <t>OUT 4PCS 9.8.25 DR#79251 S.V MEET UP
OUT 3PCS 07/10/24 DR#75135-36 SPC KUYA HACKET
OUT 06/02/24 34796 1PCS SALES BEL
2pcs 1-9-24 DR#73369 SPC
2PCS 5-22-23 JO#25476 BEL
2PCS 8-11-22 STF#1916 SITE A
2PC 7-15-22 JO16733 PAUL</t>
        </r>
      </text>
    </comment>
    <comment ref="G1398" authorId="0" shapeId="0" xr:uid="{83E640CD-5327-4D41-88CD-4CA6BB771009}">
      <text>
        <r>
          <rPr>
            <sz val="10"/>
            <rFont val="SimSun"/>
            <charset val="134"/>
          </rPr>
          <t>IN 4PCS 6.28.25 DR#77778 SPC EMMAN
IN 2PCS 07/15/24 DR#76059 LIPA A
4PCS 12-7-22 STF#7348 SPC
4PCS 8-27-22 STF#6846 SPC
4PCS 6-27-22 STF#6547 SPC
2PC 03-16-2022 ST001824 LIPA A
4PCS 01-05-2022 ST005730 SPC</t>
        </r>
      </text>
    </comment>
    <comment ref="H1398" authorId="0" shapeId="0" xr:uid="{2E876649-9D89-3649-B933-E481D9163233}">
      <text>
        <r>
          <rPr>
            <sz val="10"/>
            <rFont val="SimSun"/>
            <charset val="134"/>
          </rPr>
          <t xml:space="preserve">OUT 4PCS 7.9.25 DR#78355 SPC BRY
07/15/24
35985 2PC SALES DAHLIA
4pcs 1-9-24 DR#73369 SPC
2PCS 10-20-22 JO#18888 BEL
2pcs 9-5-22 STF#1963 SPC
4PC 03-16-2022 JO14131 SALES
2PC 03-02-2022 JO13848 SALES
</t>
        </r>
      </text>
    </comment>
    <comment ref="G1399" authorId="0" shapeId="0" xr:uid="{5629F06D-3B24-7F48-A803-460B570602AB}">
      <text>
        <r>
          <rPr>
            <sz val="10"/>
            <rFont val="SimSun"/>
            <charset val="134"/>
          </rPr>
          <t>IN 2PCS 03/10/24 DR# SPC MASTER
4pcs 9-15-23 DR# SPC
2pcs 7-19-23 dr# 72642 lipa a
2PCS 7-8-23 DR#72626 LIPA A
8PCS 5-24-23 STF#8155 SPC
4PC 03-26-2022 ST006111 SPC
4PCS 01-05-2022 ST005730 SPC</t>
        </r>
      </text>
    </comment>
    <comment ref="H1399" authorId="0" shapeId="0" xr:uid="{12723067-D3AB-3E40-B7F1-D5B94AFFFD3A}">
      <text>
        <r>
          <rPr>
            <sz val="10"/>
            <rFont val="SimSun"/>
            <charset val="134"/>
          </rPr>
          <t>OUT 4PCS 07/14/24 DR#75142 SPC SERVICE
2pcs 11-8-23 DR#74258 SPC
2PCS 10-27-23 JO#29097 JARVIS
2PCS 7-19-23 JO#26847 MARLO
4PCS 7-8-23 JO#26596 JARVIS
4PCS 7-7-23 STF#2542 SPC
4pcs 6-20-23 JO#26170 ROSE
2PCS 4-11-23 JO#24274 MARLO
4PCS 5-26-22 STF#1795 SPC
2PCS 2-16-22 STF#1638 SPC
2PCS 2-11-22 STF#1632 A</t>
        </r>
      </text>
    </comment>
    <comment ref="G1400" authorId="0" shapeId="0" xr:uid="{A902D10D-6E97-174A-BD4A-C6601453E5C9}">
      <text>
        <r>
          <rPr>
            <sz val="10"/>
            <rFont val="SimSun"/>
            <charset val="134"/>
          </rPr>
          <t>IN 2PCS 07/08/24 DR#76512 SPC
4PCS 3-6-23 ST007791 SPC
4PCS 6-27-22 STF#6547 SPC
4PCS 4-13-22 STF#6199 SPC
4PC 01-21-2022 ST001729 LIPA A
4PCS 01-05-2022 ST005730 SPC</t>
        </r>
      </text>
    </comment>
    <comment ref="H1400" authorId="0" shapeId="0" xr:uid="{345A9C88-4411-624A-A811-E2ACECB8AB3D}">
      <text>
        <r>
          <rPr>
            <sz val="10"/>
            <rFont val="SimSun"/>
            <charset val="134"/>
          </rPr>
          <t>08/08/24
36628 2PCS SALES JARVIS
1PC 1-10-24 DR#73374 SPC
1PC 1-9-24 DR#73369 SPC
2PCS 10-17-23 JO#28850 JARVIS
2pcs 5-3-23 JO#25045 JARVIS
4PCS 7-18-22 STF#1879 SPC
4PCS 6-11-22 stf#1817 spc
4PCS 4-4-22 STF#1706 SPC
4PC 01-15-2022 JO#12910 MARLO</t>
        </r>
      </text>
    </comment>
    <comment ref="G1401" authorId="0" shapeId="0" xr:uid="{37E1CB47-58E0-2847-B4EA-AC7D9177130B}">
      <text>
        <r>
          <rPr>
            <sz val="10"/>
            <rFont val="SimSun"/>
            <charset val="134"/>
          </rPr>
          <t>IN 4PCS 12.26.25 DR79915-17 SPC HACKET
IN 2PCS 07/01/24 DR#76051 LIPA A
IN 2PCS 06/11/24 DR#73491 LIPA A
IN 2PCS 03/28/24 DR#74885 SPC KUYA HACKET
IN 3PCS 03/10/24 DR#74862 SPC MASTER
IN 3PCS 03/16/24 DR#74869 SPC
4PCS 9-22-23 DR# SPC
4PCS 8-22-23 DR#74100 SPC
1PC 7-17-23 SPC
4PCS 3-23-23 STF#7891 SPC
2PCS 7-4-22 STF#6579 SPC
2PCS 6-27-22 STF#6547 SPC
4PCS 6-9-22 STF#6470 SPC
2pcs 1-31-22 STF#5843 SPC</t>
        </r>
      </text>
    </comment>
    <comment ref="H1401" authorId="0" shapeId="0" xr:uid="{03B57291-5A26-B844-948F-F26B8210967E}">
      <text>
        <r>
          <rPr>
            <sz val="10"/>
            <rFont val="SimSun"/>
            <charset val="134"/>
          </rPr>
          <t>OUT 2PCS 01.28.26 DR80224 LIPA A
OUT 07/01/24 35605 2PCS SALES BEL
OUT 06/11/24 35024 4PCS SALES MARLO
OUT 05/08/24 34090 4PCS SALES MARLO
OUT 3PCS 04/25/24 DR#74791 SPC MASTER
3PCS 12-30-23 DR#73994 SPC
4PCS 10-13-23 JO#28803 MARLO 
4PCS 9-15-23 JO#28201 MARLO
4PCS 7-17-23 JO#26805 BEL
1PC 7-17-23 JO#26804 BEL
4pcs 7-9-22 STF#1869 SPC
2PCS 6-18-22 STF#1828 SPC
4PCS 5-26-22 STF#1795 SPC
2PCS 1-21-22 JO#12998 PAUL</t>
        </r>
      </text>
    </comment>
    <comment ref="G1402" authorId="0" shapeId="0" xr:uid="{FCBC068F-5CC8-C54D-8EC4-9F7A32BEC128}">
      <text>
        <r>
          <rPr>
            <sz val="10"/>
            <rFont val="SimSun"/>
            <charset val="134"/>
          </rPr>
          <t>IN 3PCS 04/21/24 DR#SP0049 SPC
8PCS 9-22-23 DR# SPC
1PC  8-22-23 DR#74100 SPC
4PCS 6-27-22 STF#6547 SPC
2pcs 1-31-22 STF#5843 SPC</t>
        </r>
      </text>
    </comment>
    <comment ref="H1402" authorId="0" shapeId="0" xr:uid="{5BB6E20C-DDCE-084C-B6C7-8FFB916B5BBC}">
      <text>
        <r>
          <rPr>
            <sz val="10"/>
            <rFont val="SimSun"/>
            <charset val="134"/>
          </rPr>
          <t>OUT 2PCS 2.16.25 DR#77103 SPC
OUT 2PCS 10/02/24 REF#75720 STC KUYA HACKET
2PCS 2-4-24 JO#31632 LEN
3pcs 1-10-24 DR#73374 SPC
2PCS 12-30-23 DR#73994 SPC
2pcs 12-10-23 JO#30155 K=JARVIS
1PC 10-24-23 JO#29039 JARVIS
2PCS 9-20-23 JO#28280 JARVIS
2pcs 9-5-23 JO#27894 JARVIS
1PC 7-28-23 DR#73888 SPC
4PCS 10-7-22 STF#2005 SITE A
4PCS 5-27-22 STF#1800 SPC</t>
        </r>
      </text>
    </comment>
    <comment ref="G1403" authorId="0" shapeId="0" xr:uid="{67F6EFE6-0FC1-B147-B917-A389FA98834E}">
      <text>
        <r>
          <rPr>
            <sz val="10"/>
            <rFont val="SimSun"/>
            <charset val="134"/>
          </rPr>
          <t>4PCS 1-30-23 STF#7594 SPC</t>
        </r>
      </text>
    </comment>
    <comment ref="G1405" authorId="0" shapeId="0" xr:uid="{EE865CFC-A11D-EB4D-8B4E-ADDD3901331F}">
      <text>
        <r>
          <rPr>
            <sz val="10"/>
            <rFont val="SimSun"/>
            <charset val="134"/>
          </rPr>
          <t>4PCS 7-4-22 STF#6579 SPC
2PCS 1-12-22 STF#5760 SPC
2PCS 01-10-2022 ST005754 SPC</t>
        </r>
      </text>
    </comment>
    <comment ref="H1405" authorId="0" shapeId="0" xr:uid="{30B106C0-101D-7143-BE36-F8CB0F0A451A}">
      <text>
        <r>
          <rPr>
            <sz val="10"/>
            <rFont val="SimSun"/>
            <charset val="134"/>
          </rPr>
          <t xml:space="preserve">4pcs 7-13-22 stf#1874 SITE A
4PC 05-03-2022 ST6001763 LIPA A
</t>
        </r>
      </text>
    </comment>
    <comment ref="G1406" authorId="0" shapeId="0" xr:uid="{CD13D52A-965B-ED4F-B01C-A0D02E94B673}">
      <text>
        <r>
          <rPr>
            <sz val="10"/>
            <rFont val="SimSun"/>
            <charset val="134"/>
          </rPr>
          <t>4PCS 6-27-22 STF#6547 SPC
4PCS 2-15-22 STF#5914 SPC</t>
        </r>
      </text>
    </comment>
    <comment ref="H1406" authorId="0" shapeId="0" xr:uid="{7F30498D-0307-0849-B993-6A6051B9D668}">
      <text>
        <r>
          <rPr>
            <sz val="10"/>
            <rFont val="SimSun"/>
            <charset val="134"/>
          </rPr>
          <t>4PCS 12-6-23 JO#30023 MAM JEN
4PC 6-12-22 JO16001 SALES
4PC 03-09-2022 ST001666 SPC
4PC 02-11-2022 ST001631 SPC</t>
        </r>
      </text>
    </comment>
    <comment ref="G1407" authorId="0" shapeId="0" xr:uid="{7D5EC46B-2949-1F4D-918E-06B7D5F240A0}">
      <text>
        <r>
          <rPr>
            <sz val="10"/>
            <rFont val="SimSun"/>
            <charset val="134"/>
          </rPr>
          <t>IN 2PCS 10.1.25 DR#78714 LIPA A
IN 4PCS 6.30.25 DR#77781 SPC ALWIN
IN 4PCS 6.28.25 DR#77778 SPC EMMAN
IN 2PCS 3.13.25 DR#77090 LIPA A
IN 4PCS 07/21/24 DR#75242 SPC MASTER
IN 2PCS 07/09/24 DR#76055 LIPA A
IN 2PCS 04/13/24 DR#SPS0021 SPC KUYA EMAN
IN 2PCS 03/10/24 DR# SPC MASTER
4PCS 12-26-23 DR#73317 LIPA A
4PCS 9-22-23 DR# SPC
8PCS 5-24-23 STF#8155 SPC
2PCS 5-8-23 stf#2413 lipa a
2PCS 1-26-23 STF#7575 SPC
4PCS 1-20-23 STF#7540 SPC
4PCS 8-24-22 STF#6824 SPC
2PCS 03-07-2022 ST001806 SPC
2PCS 1-6-22 STF#1703 A
4PCS 01-05-2022 ST005730 SPC</t>
        </r>
      </text>
    </comment>
    <comment ref="H1407" authorId="0" shapeId="0" xr:uid="{93B43B43-506A-1940-931F-A4B16201B5A1}">
      <text>
        <r>
          <rPr>
            <sz val="10"/>
            <rFont val="SimSun"/>
            <charset val="134"/>
          </rPr>
          <t>10-1-25
 2 PCS 51027 ALY
8-15-25
 4PCS 49687 JARVIS
6-29-25
4 PCS 48112 JARVIS
3.16.25
42729 2PCS SALE JARVIS
08/25/24
37086 4PCS SALES JARVIS
OUT 07/09/24 35853 2PCS SALES JARVIS
OUT 06/22/24 35307 2PCS SALES JARVIS
OUT 04/07/24 33270 4PCS SALES  JARVIS
OUT 1-09-2024
30888 2PCS SALES JARVIS
2PCS 11-25-23 JO#29727 JARVIS
2PCS 10-16-23 JO#28843 JARVIS
2PCS 10-7-23 JO#28648 JARVIS
2PCS 10-2-23 JO#28250 JARVIS
2PCS 8-2-23 JO#27166 JARVIS
2pcs 7-31-23 JO#27122 JARVIS
2pcs 7-16-23 JO#26765 JARVIS
2PCS 6-28-23 JO#26335 JARVIS
2PCS 5-8-23 JO#25157 JARVIS
2PCS 4-22-23 JO#24775 JARVIS
2PCS 4-19-23 JO#24708 JARVIS
2pcs 1-24-23 JO#21165 JARVIS
4pcs 9-28-22 STF#1994 SPC
2PC 6-2-22 STF#1809 SPC
2pcs 3-21-22 JO#14263 JARVIS
1PC 03-20-2022 JO14251 SALES
1PC 03-07-2022 JO13953 SALES
2PCS 1-6-22 JO#12785 JARVIS
4PCS 11-29-21 JO#12053 LIZA</t>
        </r>
      </text>
    </comment>
    <comment ref="G1408" authorId="0" shapeId="0" xr:uid="{49303282-6181-8B46-823D-BD5FDB762FBA}">
      <text>
        <r>
          <rPr>
            <sz val="10"/>
            <rFont val="SimSun"/>
            <charset val="134"/>
          </rPr>
          <t>IN 2PCS 7.25.25 DR#78891 SPC HACKET
IN 4PCS 07/21/24 DR#75242 SPC MASTER
IN 1PCS 06/08/24 DR#75179 SPC KUYA MIKE
4PCS 4-19-23 STF#8012 SPC
4PCS 2-16-23 STF#7686 SPC
4PCS 1-20-23 STF#7540 SPC
1PC 11-30-22 STF#7302 SPC
2PCS 11-5-22 STF#7201 SPC
4PC 04-22-2022 ST06234 SPC
4PCS - 10-23-21 STF#5436 SPC</t>
        </r>
      </text>
    </comment>
    <comment ref="H1408" authorId="0" shapeId="0" xr:uid="{56E80112-23A3-DA43-A250-2158721BCF7D}">
      <text>
        <r>
          <rPr>
            <sz val="10"/>
            <rFont val="SimSun"/>
            <charset val="134"/>
          </rPr>
          <t xml:space="preserve">02.02.26
54758 1PC JENB
12.28.25
53647 3PCS ALY
7-9-25
2 PCS 48470 JARVIS
OUT 06/19/24 35216 1PC SALES MARLO
1PC 10-2-23 DR#72299 SPC
1PC 6-8-23 JO#25882 ROSE
2PCS 5-22-23- JO#25493 BEL
4PCS 4-16-23 JO#24144 MARLO
4PCS 2-15-23 JO#217 JARVIS
1PC 11-30-22 19869 ALY
2pcs 11-26-22 jo#19757 aly
2pcs 11-20-22 JO#19621 ALY
2PCS 11-5-22 STF#2055 SITE A
2pc 8-27-22 jo17673 maribel
4PC 04-18-2022 JO14794 SALES
</t>
        </r>
      </text>
    </comment>
    <comment ref="G1409" authorId="0" shapeId="0" xr:uid="{4023C794-75A3-F14E-BC54-44D8B820926F}">
      <text>
        <r>
          <rPr>
            <sz val="10"/>
            <rFont val="SimSun"/>
            <charset val="134"/>
          </rPr>
          <t>IN 2PCS 04/22/24 DR#SP0050 SPC
IN  4PCS 04/03/24 DR#74892 SPC 
IN 2PCS 03/10/24 DR#73422 LIPA A
IN 2PCS 03/09/24 DR#73423 LIPA A
IN 2PCS 03/10/24 DR# SPC MASTER
4pcs 9-15-23 DR# SPC
2PCS 1-30-23 STF#7594 SPC
4PCS 1-19-23 STF#7533 SPC
4PCS 12-7-22 STF#7348 SPC
2PC 05-17-2022 ST006345 SPC
4PCS 3-1-22 STF#5993 SPC</t>
        </r>
      </text>
    </comment>
    <comment ref="H1409" authorId="0" shapeId="0" xr:uid="{B61304D8-65DA-EE42-A8A8-26863937953C}">
      <text>
        <r>
          <rPr>
            <sz val="10"/>
            <rFont val="SimSun"/>
            <charset val="134"/>
          </rPr>
          <t>OUT 4PCS 04/26/24 DR#74793 LIPA A
OUT 04/03/24 33180 2PCS SALES MARLO
OUT 04/03/24 33212 2PCS SALES JARVIS
OUT 3/10/24 32587 2PCS SALES MARLO
OUT 3/09/24 32592 1PCS SALES OFFICE
4PCS 11-27-23 JO#29810 JARVS
4pcs 2-21-23 JO#21639 JOJO
2pcs 1-28-23 stf#2248 LIPA A
4PC 12-13-22 JO20152 MARLO
1PC 7-4-22 STF#1855 SPC
1PC 7-3-22 JO16445 MARIBEL
2PC 6-19-22 ST001830 LIPA A
2PC 05-13-2022 JO15280 SALES
4PC 02-19-2022 JO13588 SALES
4PCS 10/30/2021 JO#11230 TIN</t>
        </r>
      </text>
    </comment>
    <comment ref="G1410" authorId="0" shapeId="0" xr:uid="{54E2447D-7809-4443-9BF2-DA43A785A67B}">
      <text>
        <r>
          <rPr>
            <sz val="10"/>
            <rFont val="SimSun"/>
            <charset val="134"/>
          </rPr>
          <t>IN 4PCS 6.28.25 DR#77778 SPC EMMAN
IN 1PCS 07/06/24 DR#75226 SPC MASTER
IN 1PC 05/31/24 DR#75169 SPC KUYA HACKET
IN 2PCS 04/13/24 DR#SPS0021 SPC KUYA EMAN
IN 3PCS 03/10/24 DR#74862 SPC MASTER
1PC  9-22-23 DR# SPC
4PCS 6-21-23 SPC
2PCS 9-24-22 STF#6977 SPC
1PC 7-4-22 STF#6579 SPC
4PC 04-11-2022 ST006192 SPC
4PC 03-26-2022 ST006111 SPC
IN 12-7-21 STF#5626 4PC SPC</t>
        </r>
      </text>
    </comment>
    <comment ref="H1410" authorId="0" shapeId="0" xr:uid="{93726A1F-FE7E-9344-9D8C-2195D3823E03}">
      <text>
        <r>
          <rPr>
            <sz val="10"/>
            <rFont val="SimSun"/>
            <charset val="134"/>
          </rPr>
          <t>07/13/24
35939 1PCS SALES BEL
OUT 1PCS 06/06/24 DR#75100 SPC KUYA HACKET
OUT 06/04/24 347871 3PCS SALES BOSS JUN
OUT 1PC 05/15/24 DR#75068 LIPA A
OUT 04/11/24 33405 2PCS SALES MARLO
4PCS 11-14-23 JO#29487 JARVIS
1pc 9-12-23 JO#28131 BEL
1pc 7-18-23 JO#26843 MARLO
2PCS 9-24-22 JO#18337 BEL
3PCS 8-4-22 stf#1904 SPC
1PC 7-18-22 JO16660 OFFICE
1pc 6-29-22 STF#1846 SPC
4PCS 4-6-22 JO#14561 ALY
2pcs 3-15-22 stf#1675 spc
2PCS 2-6-22 STF#1623 A</t>
        </r>
      </text>
    </comment>
    <comment ref="G1411" authorId="0" shapeId="0" xr:uid="{D71707BD-940E-4940-A391-5EC295CCB389}">
      <text>
        <r>
          <rPr>
            <sz val="10"/>
            <rFont val="SimSun"/>
            <charset val="134"/>
          </rPr>
          <t>2PCS 6-9-22 STF#6465 SPC</t>
        </r>
      </text>
    </comment>
    <comment ref="H1411" authorId="0" shapeId="0" xr:uid="{50F4F1B2-D0CE-4246-B01D-9D0373C3A0B7}">
      <text>
        <r>
          <rPr>
            <sz val="10"/>
            <rFont val="SimSun"/>
            <charset val="134"/>
          </rPr>
          <t>4PCS 11-22-22 STF#2085 SPC</t>
        </r>
      </text>
    </comment>
    <comment ref="G1412" authorId="0" shapeId="0" xr:uid="{0613E077-7C43-A743-85B0-11031E4E6A49}">
      <text>
        <r>
          <rPr>
            <sz val="10"/>
            <rFont val="SimSun"/>
            <charset val="134"/>
          </rPr>
          <t>IN 4PCS 12.12.25 DR#79739 SPC ROBIN
IN 1PCS 05/13/24 DR#73479 LIPA A
4pcs 9-15-23 DR# SPC
4PCS 8-31-23 DR#74178 SPC
2PCS 6-23-23 SI#72613 A
2PCS 6-14-23 STF# LIPA A
4PCS 5-10-23 STF#8096 SPC
4PCS 4-19-23 STF#8012 SPC
4PCS 1-19-23 STF#7533 SPC
3PCS 4-13-22 STF#6199 SPC
1PC 04-11-2022 ST006192 SPC
4PCS 2-11-22 STF#5904 SPC
2PCS 1-7-22 STF#5743 SPC
4PCS 12-29-21 STF#5708 SPC
4PCS  11-30-21 STF#5630 SPC
2PCS - 10-27-21 STF#5444  SPC</t>
        </r>
      </text>
    </comment>
    <comment ref="H1412" authorId="0" shapeId="0" xr:uid="{419CBA56-26C4-F140-9CC4-C250F97C3CA5}">
      <text>
        <r>
          <rPr>
            <sz val="10"/>
            <rFont val="SimSun"/>
            <charset val="134"/>
          </rPr>
          <t>OUT 1PC 02.21.26 DR80872 LIPA A
OUT 1PCS 06/06/24 DR#75100 SPC KUYA HACKET
OUT 05/13/24 34238 4PCS SALES MARLO
4PCS 10-11-23 JO#28710 ROSE
2PCS 6-23-23 JO#26253 JARVIS
4PCS 6-14-23 JIO#26033 MARLO
2PCS 6-6-23 JO#25807 JARVIS
4PCS 6-2-23  JO#25724 JARVIS
4PCS 2-2-23 STF#2258 LIPA A
2PCS 5-21-22 STF#1788 SPC
2PC 05-16-2022 JO15421 SALES
3PC 04-11-22 ST001724 LIPA A
1PC 4-6-22 JO#14563 ALY
2PCS 1-7-22 JO#12819 ALY
4PCS 12-30-21 JO#12691 SALES
2PC 12-13-2021 JO#12358 SALES
2PCS 12-10-21 JO#12315 JARVIS
4PCS - 11/07/2021 JO#11759 MARIBEL</t>
        </r>
      </text>
    </comment>
    <comment ref="G1413" authorId="0" shapeId="0" xr:uid="{04AC2CAC-CA4D-B242-8E3D-ED9A13EE4240}">
      <text>
        <r>
          <rPr>
            <sz val="10"/>
            <rFont val="SimSun"/>
            <charset val="134"/>
          </rPr>
          <t>IN 4PCS 6.28.25 DR#77778 SPC EMMAN
2pcs 6-8-22 STF#1963 SITE A
2PC 04-25-2022 ST001887 LIPA A
4PCS 4-21-22 STF#6224 SPC
4PCS 2-15-22 STF#5914 SPC</t>
        </r>
      </text>
    </comment>
    <comment ref="H1413" authorId="0" shapeId="0" xr:uid="{8AF12C86-42B0-DE41-B01E-289910FE38B3}">
      <text>
        <r>
          <rPr>
            <sz val="10"/>
            <rFont val="SimSun"/>
            <charset val="134"/>
          </rPr>
          <t xml:space="preserve">4PCS 6-14-22 JO#16033 SALES
4PC 05-16-2022 JO15396 SALES
4PC 04-04-2022 JO14507 SALES
</t>
        </r>
      </text>
    </comment>
    <comment ref="G1414" authorId="0" shapeId="0" xr:uid="{7BAD45D7-7BC4-3B40-AB00-37D19D7D2B23}">
      <text>
        <r>
          <rPr>
            <sz val="10"/>
            <rFont val="SimSun"/>
            <charset val="134"/>
          </rPr>
          <t>4PCS 1-27-23 STF#7586 SPC</t>
        </r>
      </text>
    </comment>
    <comment ref="H1414" authorId="0" shapeId="0" xr:uid="{495F6555-F048-4340-9DCA-0F025E3D9CD5}">
      <text>
        <r>
          <rPr>
            <sz val="10"/>
            <rFont val="SimSun"/>
            <charset val="134"/>
          </rPr>
          <t>4PCS 4-5-23 ST002381 LIPA A</t>
        </r>
      </text>
    </comment>
    <comment ref="G1415" authorId="0" shapeId="0" xr:uid="{110F7755-7DAA-6344-88AD-B4169B4BC601}">
      <text>
        <r>
          <rPr>
            <sz val="10"/>
            <rFont val="SimSun"/>
            <charset val="134"/>
          </rPr>
          <t>IN 4PCS 12.22.25 DR#79909 SPC RONNIE
IN 4PCS 04/13/24 DR#SPS0021 SPC KUYA EMAN
2pcs 8-9-23 sta cruz
5PCS 5-10-23 STF#8096 SPC
4PCS 4-19-23 STF#8012 SPC
4PCS 1-19-23 STF#7533 SPC
1PC 9-23-22 STF#6969 SPC
2PCS 7-6-22 STF#6587 SPC
4PCS 4-2-22 STF#6149 SPC</t>
        </r>
      </text>
    </comment>
    <comment ref="H1415" authorId="0" shapeId="0" xr:uid="{763727CD-3D29-6B47-BB12-E47E56F4D132}">
      <text>
        <r>
          <rPr>
            <sz val="10"/>
            <rFont val="SimSun"/>
            <charset val="134"/>
          </rPr>
          <t>02.09.26
54446 2PCS HANA
OUT 04/27/24 33819 4PCS SALES JARVIS
2PCS 8-10-23 JO#27396 JARVIS
2PCS 7-31-23 DR#73893 LIPA A
1PC 7-13-23 JO#26702 MARLO
4PCS 6-14-23 JO#25930 MARLO
1PC 6-10-23 JO#25921 MARLO
1PC 5-2-23 JO#25019 BEL
2PCS 4-6-23 JO#24145 MARLO
1PC 2-23-23 STf#2306 SPC
1PC 2-11-23 JO#21655 1PC ALY
4PCS 12-11-22 JO#20097 ALY
1pc 8-31-22 stf#1956 site a
2PCS 7-5-22 STF#1859 SITE A</t>
        </r>
      </text>
    </comment>
    <comment ref="G1416" authorId="0" shapeId="0" xr:uid="{5F9711B5-60C9-F94A-8875-6C362699EE5E}">
      <text>
        <r>
          <rPr>
            <sz val="10"/>
            <rFont val="SimSun"/>
            <charset val="134"/>
          </rPr>
          <t>3pcs 12-9-223 DR#73306 LIPA A
1PC 9-15-23 DR# SPC
4PCS 11-3-22 STF#7189 SPC
2PC 9-19-22 ST006945 SPC
4PCS 6-27-22 STF#6547 SPC
2PCS 4-13-22 STF#6199 SPC</t>
        </r>
      </text>
    </comment>
    <comment ref="H1416" authorId="0" shapeId="0" xr:uid="{7CDE2241-F261-AE4B-ACFE-15293DF1C965}">
      <text>
        <r>
          <rPr>
            <sz val="10"/>
            <rFont val="SimSun"/>
            <charset val="134"/>
          </rPr>
          <t xml:space="preserve">4PCS 2-9-24 JO#31779 SAELS
4PCS 6-3-23 JO#25771 BEL
2PCS 9-20-22 STF#1981 SPC
4PCS 6-29-22 STF#1847 SITE A
2pcs 6-10-22 STF#1816 SPC
2PCS 5-4-22 JO#15160 SALES
2PC 04-04-2022 JO14541 SALES
</t>
        </r>
      </text>
    </comment>
    <comment ref="G1417" authorId="0" shapeId="0" xr:uid="{F89E6171-C2F6-8444-B57C-C5210ED52D52}">
      <text>
        <r>
          <rPr>
            <sz val="10"/>
            <rFont val="SimSun"/>
            <charset val="134"/>
          </rPr>
          <t>4PCS 11-3-22 STF#7189 SPC</t>
        </r>
      </text>
    </comment>
    <comment ref="H1417" authorId="0" shapeId="0" xr:uid="{EC4DE24E-F2F2-8447-BDB0-3F74E0BEBB02}">
      <text>
        <r>
          <rPr>
            <sz val="10"/>
            <rFont val="SimSun"/>
            <charset val="134"/>
          </rPr>
          <t>4PCS 11-4-22 STF#2050 SPC</t>
        </r>
      </text>
    </comment>
    <comment ref="G1418" authorId="0" shapeId="0" xr:uid="{9FCC84AB-B242-7C48-BCBF-4827B9740E18}">
      <text>
        <r>
          <rPr>
            <sz val="10"/>
            <rFont val="SimSun"/>
            <charset val="134"/>
          </rPr>
          <t>4pcs 12-3-22 STF#7327 SPC
2PCS 6-30-22 STF#6561 SPC
4PCS 4-21-22 STF#6224 SPC
2PC 03-11-2022 ST006049 SPC</t>
        </r>
      </text>
    </comment>
    <comment ref="H1418" authorId="0" shapeId="0" xr:uid="{5B11AE9D-D4A0-6340-8FDC-A37DAA824BCF}">
      <text>
        <r>
          <rPr>
            <sz val="10"/>
            <rFont val="SimSun"/>
            <charset val="134"/>
          </rPr>
          <t xml:space="preserve">4PCS 12-3-22 JO#19992 ALY
2PC 6-30-22 JO16362 MARLO
4PCS 6-2-22 JO#15756 SALES
2PC 03-11-2022 JO14045 SALES
</t>
        </r>
      </text>
    </comment>
    <comment ref="G1419" authorId="0" shapeId="0" xr:uid="{6F70F12F-9B4D-DE49-9D5A-C7DBC66F1A72}">
      <text>
        <r>
          <rPr>
            <sz val="10"/>
            <rFont val="SimSun"/>
            <charset val="134"/>
          </rPr>
          <t>IN 4PCS 12.22.25 DR#79909 SPC RONNIE
IN 2PCS 11/02/24 DR#76697 SPC KUYA HACKET
IN 2PCS 09/09/24 DR#76529 SPC MASTER
IN 1PCS 08/11/24 DR#76519 SPC MASTER
IN 4PCS 07/21/24 DR#75242 SPC MASTER
IN 4PCS 04/13/24 DR#SPS0021 SPC KUYA EMAN
IN 4PCS 03/14/24 DR#74868 SPC
IN 4PCS 03/10/24 DR#74862 SPC MASTER
2PCS 11-25-23 STA CRUZ
2pcs 11-11-23 DR#72693 LIPA A
6PCS 8-31-23 DR#74178 SPC
2PCS 8-12-23 SPC
PCS 7-8-23 DR#72624 LIPA A
4PCS 7-7-23 DR#72623 LIPA A
6PCS 5-24-23 STF#8155 SPC
4pcs 2-25-23 STF#7746 SPC
2PCS 1-25-23 STF#7566 SPC
4PCS 1-19-23 STF#7533 SPC
2PCS 8-24-22 STF#6821 SPC
2pcs 8-12-22 stf#6771 spc
2PCS 7-15-22 STF#6640 SPC
4pcs 1-31-22 STF#5843 SPC
2PCS 12-22-21 STF#5691 SPC</t>
        </r>
      </text>
    </comment>
    <comment ref="H1419" authorId="0" shapeId="0" xr:uid="{66B23060-51EE-5247-897E-A3CDD5D56260}">
      <text>
        <r>
          <rPr>
            <sz val="10"/>
            <rFont val="SimSun"/>
            <charset val="134"/>
          </rPr>
          <t>10.4.25
51140 4PCS JARVIS
OUT 2PCS 5.6.25 DR#77640 SPC ALWIN
10/11/24
38362 2PCS SALES ALY
08/18/24
36878 2PCS SALES JARVIS
8-1-24
36438 2PCS JARVIS
07/24/24
36236 2pcs sales jarvis
07/24/24
36233 1PC SALES JARVIS
07/19/24
36096 1PC SALES BEL
OUT 06/06/24 34905 1PCS SALES BEL
OUT 6PCS 04/22/24 DR#74785 SPC SIR ADWIN
2PCS 12-7-23 JO#30005 JARVIS
2PCS 11-12-23 29419 JARVIS
4PCS 10-29-23 JO#29168 BEL
4PCS 9-9-23 JO#28030 BEL
2PCS 8-29-23 JO#27811 JARVIS
2PCS 7-8-23 JO#26584 BEL
4PCS 7-7-23 J0#26567 BEL
4PCS 6-23-23 JO#26264 BEL
2PCS 6-2-23 JO#25721 JARVIS
2PCS 5-7-23 JO#25152 JARVIS
2PCS 2-15-23 JO#21717 MARLO
2PCS 1-31-23 JO#21391 JARVIS
2PC 1-21-23 JO21060 JARVIS
2pcs 8-29-22 STF#1950 SITE A
4PCS 8-16-22 STF#1924 SITE A
2PC 05-20-2022 JO15491 SALES
2PC 04-25-2022 JO15001 SALES
4PC 01-29-2022 JO13266 ALY
2PC 12-12-2021 ST001544 LIPA A</t>
        </r>
      </text>
    </comment>
    <comment ref="G1420" authorId="0" shapeId="0" xr:uid="{2568ADCD-7D5D-9941-8546-583A29A6F1EC}">
      <text>
        <r>
          <rPr>
            <sz val="10"/>
            <rFont val="SimSun"/>
            <charset val="134"/>
          </rPr>
          <t>IN 4PCS 6.28.25 DR#77778 SPC EMMAN
IN 1PC 07/05/24 DR#45228 SPC
4PCS 6-21-23 SPC
8PCS 1-19-23 STF#7533 SPC
4PCS 1-31-22 STF#5843 SPC
2PCS 11-23-21 STF#1626 A</t>
        </r>
      </text>
    </comment>
    <comment ref="H1420" authorId="0" shapeId="0" xr:uid="{C09F5DCC-CC5C-F145-8F80-2075CB22D661}">
      <text>
        <r>
          <rPr>
            <sz val="10"/>
            <rFont val="SimSun"/>
            <charset val="134"/>
          </rPr>
          <t>OUT 4PCS 02.13.26 DR80851 BINAN
OUT 07/05/24 35709 1PCS SALES  BEL
4pc 8-4-23 dr#72201 SPC
1PC 3-28*-23 STF#2369 LIPA A
4PC 03-18-2022 ST001683 SPC
2PCS 11-23-21 JO#12034 PAUL
4PCS 11-13-21 STF#1480 LIPA A</t>
        </r>
      </text>
    </comment>
    <comment ref="H1421" authorId="0" shapeId="0" xr:uid="{8E0516D7-D6EA-BC4E-A477-B84E7CB546B8}">
      <text>
        <r>
          <rPr>
            <sz val="10"/>
            <rFont val="SimSun"/>
            <charset val="134"/>
          </rPr>
          <t>2PCS 11-13-21 STF#1480 LIPA A</t>
        </r>
      </text>
    </comment>
    <comment ref="G1422" authorId="0" shapeId="0" xr:uid="{A46F167C-4ED2-F44E-89AA-E4629D7EA448}">
      <text>
        <r>
          <rPr>
            <sz val="10"/>
            <rFont val="SimSun"/>
            <charset val="134"/>
          </rPr>
          <t>IN 4PCS 6.28.25 DR#77778 SPC EMMAN
IN 4PCS 07/21/24 DR#75242 SPC MASTER
IN 2PCS 04/22/24 DR#SP0050 SPC
4PCS 6-21-23 SPC</t>
        </r>
      </text>
    </comment>
    <comment ref="H1422" authorId="0" shapeId="0" xr:uid="{ECFBAA8D-8A3C-8A49-B2C9-1778A39E4CB6}">
      <text>
        <r>
          <rPr>
            <sz val="10"/>
            <rFont val="SimSun"/>
            <charset val="134"/>
          </rPr>
          <t>OUT 2PCS 02.18.26 DR80865-68 SPC HACKET
11-7-25
2 PCS 52092 ALY
OUT 4PCS 6.11.25 DR#78317 SPC BRY
OUT 4PCS 2.16.25 DR#77101 BIÑAN KUYA RONNIE
4PCS 11-3-23 DR#73949 LIPA A</t>
        </r>
      </text>
    </comment>
    <comment ref="G1423" authorId="0" shapeId="0" xr:uid="{7568CC0D-84F2-FA47-AC63-4A77DE49A8AD}">
      <text>
        <r>
          <rPr>
            <sz val="10"/>
            <rFont val="SimSun"/>
            <charset val="134"/>
          </rPr>
          <t>IN 4PCS 6.28.25 DR#77778 SPC EMMAN
4PCS 8-22-23 DR#74100 SPC
4PCS 5-24-23 STF#8155 SPC
2pcs 2-24-23 STF#7733 SPC
2PCS 1-26-23 STF#7575 SPC
4PCS 1-25-23 STF#7566 SPC
2PCS 11-2-22 STF#7182 SPC
2PCS 10-20-22 STF#7127 SPC
2PCS 7-1-22 STF#6565 SPC
4PCS 1-12-22 STF#5760 SPC
4PCS 01-10-2022 ST005754 SPC
4PCS 01-05-2022 ST005730 SPC
4PCS -  10-27-21 STF#5444 SPC</t>
        </r>
      </text>
    </comment>
    <comment ref="H1423" authorId="0" shapeId="0" xr:uid="{FF9A19CA-83B2-F947-B207-AAF46AF4C347}">
      <text>
        <r>
          <rPr>
            <sz val="10"/>
            <rFont val="SimSun"/>
            <charset val="134"/>
          </rPr>
          <t>10.11.25
51342 4PCS ALY
OUT 03/13/24 4PCS DR#74707 LIPA A
2pcs 10-18-23 JO#28905 JARVIS
2PCS 10-7-23 JO#28660 BEL
2PCS 7-2-23 JO#26450 BEL
2pcs 6-16-23 JO#26082 JARVIS
4PCS 2-24-23 JO#21909 JARVIS
2pcs 2-13-23 STF#2280 SPC
2PCS 1-31-23 STF#2253 SPC
2pcs 11-29-22 JO#19799 JARVIS
2PCS 10-20-22 JO#18893 ALY
2PCS 9-3-22 STF#1960 SITE A
2PC 04-05-2022 ST001709 SPC
4PCS 3-29-22 JO#14366 OFFICE
2PC 01-27-2022 JO13145 PAUL
4PCS 1-23-22 STF#1604 A
1PC 12-13-2021 ST001545 SPC
1PC 12-8-21 JO#12303 MARIBEL
2PCS 11-19-21 JO#11975 SALES</t>
        </r>
      </text>
    </comment>
    <comment ref="G1424" authorId="0" shapeId="0" xr:uid="{E8C18865-B250-2C4B-8C5E-DAED5C559482}">
      <text>
        <r>
          <rPr>
            <sz val="10"/>
            <rFont val="SimSun"/>
            <charset val="134"/>
          </rPr>
          <t>2pcs 9-15-23 DR# SPC
2PCS 8-15-23 DR#74084 SPC
4pcs 2-25-23 STF#7746 SPC
2PCS 11-2-22 STF#7182 SPC
4PCS - 10-27-21 STF#5444 SPC</t>
        </r>
      </text>
    </comment>
    <comment ref="H1424" authorId="0" shapeId="0" xr:uid="{F397D1FB-70F0-6843-9233-450D6CADBE78}">
      <text>
        <r>
          <rPr>
            <sz val="10"/>
            <rFont val="SimSun"/>
            <charset val="134"/>
          </rPr>
          <t>OUT 2PCS 07/10/24 DR#75135-36 SPC KUYA HACKET
OUT 05/28/24 34617 2PCS SALES JARVIS
2PCS 8-13-23 JO#27430 JARVIS
2pcs 5-13-23 jo25265 rose
2PCS 2-16-23 JO#21768 JARVIS
OUT 2-9-23 STF#2273 LIPA A
OUT 12-13-21 ST001545 1PC SPC
OUT 12-8-21 JO#12303 1PC SALES
OUT 11-19-21 JO#11975 2PC SALES</t>
        </r>
      </text>
    </comment>
    <comment ref="G1425" authorId="0" shapeId="0" xr:uid="{63E527C7-9617-9842-832E-C98464417FCE}">
      <text>
        <r>
          <rPr>
            <sz val="10"/>
            <rFont val="SimSun"/>
            <charset val="134"/>
          </rPr>
          <t>2PCS 6-21-23 SPC
1PC 2-8-23 STF#7646 SPC
1PC 2-4-23 STF#7621 SPC
4PCS 1-20-23 STF#7540 SPC
1PC 12-17-22 STF#7394 SPC
2PCS  11-9-22 STF#7217 SPC
4PCS 11-2-22 STF#7182 SPC
3PCS 5-26-22 STF#6400 SPC
4PCS 5-26-22 STF#6400 SPC</t>
        </r>
      </text>
    </comment>
    <comment ref="H1425" authorId="0" shapeId="0" xr:uid="{7E51C3A8-513D-CF48-894B-9883FEF0ED24}">
      <text>
        <r>
          <rPr>
            <sz val="10"/>
            <rFont val="SimSun"/>
            <charset val="134"/>
          </rPr>
          <t xml:space="preserve">2pcs 1-9-24 DR#73369 SPC
2PCS 7-27-23 JO#27025 JARVIS
2PCS 5-8-23 stf#2446 lipa a
2PCS 2-4-23 JO#21504 JARVIS
2PC 12-17-22 JO20219 JARVIS
2PCS 12-16-22 JO#20215 JARVIS
1PC 12-9-22 STF#2127 LIPA A
2PCS 11-2-22 JO#19165 JARVIS
2PCS 8-13-22 STF#1919 SPC
2PCS 8-12-22 STF#1917 SPC
3PC 04-28-2022 JO15035 SALES
</t>
        </r>
      </text>
    </comment>
    <comment ref="G1426" authorId="0" shapeId="0" xr:uid="{4F748916-5FF8-1845-9AD3-2D6DB30D6E20}">
      <text>
        <r>
          <rPr>
            <sz val="10"/>
            <rFont val="SimSun"/>
            <charset val="134"/>
          </rPr>
          <t xml:space="preserve">2PCS 5-10-23 STF#8096 SPC
4PCS 1-20-23 STF#7540 SPC
4PC 04-18-2022 ST006214 SPC
</t>
        </r>
      </text>
    </comment>
    <comment ref="H1426" authorId="0" shapeId="0" xr:uid="{A32AFBEB-27CA-F643-BEE8-27A6186E9343}">
      <text>
        <r>
          <rPr>
            <sz val="10"/>
            <rFont val="SimSun"/>
            <charset val="134"/>
          </rPr>
          <t>1PC 9-21-23 DR#72284 SPC
2PCS 9-14-23 DR#72272 LIPA A
1PC 8-11-23 JO#27424 JARVIS
2pcs 4-9-23 st002389 spc
2PCS 5-26-22 STF#1795 SPC
1PC 05-10-2022 ST001775 SPC
1pc 4-20-22 JO#14875 SALES</t>
        </r>
      </text>
    </comment>
    <comment ref="G1427" authorId="0" shapeId="0" xr:uid="{E7225AE7-3A6B-E74B-9F15-F0AB88262F7B}">
      <text>
        <r>
          <rPr>
            <sz val="10"/>
            <rFont val="SimSun"/>
            <charset val="134"/>
          </rPr>
          <t xml:space="preserve">2PCS 5-10-23 STF#8096 SPC
4PCS 3-23-23 STF#7891 SPC
4PCS 1-20-23 STF#7540 SPC
2PC 03-09-2022 ST006036 SPC
2PC 03-05-2022 ST006016 SPC
</t>
        </r>
      </text>
    </comment>
    <comment ref="H1427" authorId="0" shapeId="0" xr:uid="{67E1D617-2880-004F-A3AD-0CC27653785E}">
      <text>
        <r>
          <rPr>
            <sz val="10"/>
            <rFont val="SimSun"/>
            <charset val="134"/>
          </rPr>
          <t>2PCS 9-23-23 JO#28375 JARVIS
2PCS 7-13-23 JO#26704 BEL
2PCS 4-10-23 JO#24239 MARLO
1PC 6-15-22 STF#1822 SPC
2PCS 4-27-22 STf#1751 SPC
1PC 03-26-2022 JO14283 SALES</t>
        </r>
      </text>
    </comment>
    <comment ref="G1428" authorId="0" shapeId="0" xr:uid="{3D083286-E3A8-D34C-8359-CF0AC0DC228A}">
      <text>
        <r>
          <rPr>
            <sz val="10"/>
            <rFont val="SimSun"/>
            <charset val="134"/>
          </rPr>
          <t xml:space="preserve">2pcs 9-23-23 DR#72663 LIPA A
4pcs 2-25-23 STF#7746 SPC
4pcs 7-28-22 STF#6699 SPC
4PCS  4-21-22 STF#6224 SPC
2PC 03-05-2022 ST006016 SPC
</t>
        </r>
      </text>
    </comment>
    <comment ref="H1428" authorId="0" shapeId="0" xr:uid="{BF0FDF7B-5D25-8C4B-BD69-DC1611653B86}">
      <text>
        <r>
          <rPr>
            <sz val="10"/>
            <rFont val="SimSun"/>
            <charset val="134"/>
          </rPr>
          <t xml:space="preserve">2pcs 1-10-24 DR#73374 SPC
4PCS 8-29-23 DR#72241 SPC
2PCS 1-4-22 STF#2187 SPC
2PC 8-15-22 JO17337 JARVIS
4PCS  5-27-22 JO#15367 SALES
2PC 03-11-2022 JO14016 SALES
</t>
        </r>
      </text>
    </comment>
    <comment ref="G1429" authorId="0" shapeId="0" xr:uid="{47468D17-2277-794A-9848-597785DCF765}">
      <text>
        <r>
          <rPr>
            <sz val="10"/>
            <rFont val="SimSun"/>
            <charset val="134"/>
          </rPr>
          <t>2PCS 8-31-23 DR#74178 SPC
4PCS 3-23-23 STF#7891 SPC
4PCS 1-20-23 STF#7540 SPC
4PCS 2-11-22 STF#5904 SPC</t>
        </r>
      </text>
    </comment>
    <comment ref="H1429" authorId="0" shapeId="0" xr:uid="{7DAAA508-CF4B-C044-AD8B-6CE2AD88AA4B}">
      <text>
        <r>
          <rPr>
            <sz val="10"/>
            <rFont val="SimSun"/>
            <charset val="134"/>
          </rPr>
          <t>OUT 1PC 03/30/24 DR#74745-46 SPC KUYA HACKET 
2pcs 1-10-24 DR#73374 SPC
1pc 12-19-23 jo#30299 jacko
2PCS 6-8-23 JO#25878 BEL
4PCS 3-6-23 JO#22170 BEL
1PC 8-24-22 STF#1942 SPC
1PC 8-17-22 STF#1931 SPC
2PCS 7-9-22 STF#1870 SPC
4pcs 12-6-21 stf#1528 spc</t>
        </r>
      </text>
    </comment>
    <comment ref="G1430" authorId="0" shapeId="0" xr:uid="{6B69B68E-F9E1-3743-BBA0-480B6FE6C2C5}">
      <text>
        <r>
          <rPr>
            <sz val="10"/>
            <rFont val="SimSun"/>
            <charset val="134"/>
          </rPr>
          <t>IN 2PCS 10.10.25 DR#78721 LIPA A
IN 4PCS 5.21.25 DR#77742 SPC HACKET
IN 2PCS 04/21/24 DR#SP0049 SPC
IN 4PCS 04/10/24 DR#74829 SPC
IN 4PCS 03/10/24 DR# SPC MASTER
4PCS 9-7-23 DR#72654 LIPA A
4PCS 8-12-23 SPC
2PCS 6-14-23 SPC
4PCS 4-19-23 STF#8012 SPC
4pcs 2-24-23 STF#7730 SPC
4PCS 2-10-23 STF#7667 SPC
4PCS 1-20-23 STF#7540 SPC
2PCS 8-27-22 STF#6846 SPC
2PCS 7-26-22 STF#6695 SPC
4PCS 6-17-22 STF#6497 SPC
4PCS 4-13-22 STF#6199 SPC
4PC 03-26-2022 ST006111 SPC
4PCS 1-12-22 STF#5760 SPC
4PCS 01-10-2022 ST005754 SPC
4PCS 01-06-2022 ST005734 SPC
4PCS - 10-27-21 STF#5444 SPC</t>
        </r>
      </text>
    </comment>
    <comment ref="H1430" authorId="0" shapeId="0" xr:uid="{BE251D99-E31C-B548-92E3-42AF21894784}">
      <text>
        <r>
          <rPr>
            <sz val="10"/>
            <rFont val="SimSun"/>
            <charset val="134"/>
          </rPr>
          <t>OUT 4PCS 11.22.25 DR#77885 SPC
9-21-25
2 PCS 50781 JARVIS
OUT 05/18/24 34389 4PCS SALES MARLO
OUT 04/12/24 33451 2PCS SALES JARVIS
OUT 4PCS 03/23/24 DR#74735 SPC KUYA MIKE
2pcs 11-11-23 dr#74265 LIPA A
2PCS 10-16-23 JO#28873 BEL
4PCS 9-7-23 JO#28012 BEL
4PCS 8-28-23 JO#27793 BEL
4PCS 8-3-23 JO# 27186 JARVIS
2PCS 6-2-23 JO#25714 MARIBEL
4PCS 3-4-23 JO22120 JARVIS 2PC 2-23-23 STf#2306 SPC
2pcs 2-13-23 JO#21710 BEL
2PCS 2-6-23 JO21531 ALY
4pcs 1-25-23 JO#21206 ALY
1PC 9-15-22 JO#18133 OFFICE
2pcs 9-2-22 JO#17767 BEL
1PC 9-1-22 JO#17647 MARIBEL
2PCS 8-26-22 JO#17612 JARVIS
2PCS 7-25-22 STF#1888 LIPA A
4PC 6-11-22 JO15982 SALES
4PC 04-02-2022 JO14502 SALES
4PCS 2-2-22 JO#13331 ALY
4PCS 01-27-2022 JO13163 BEL
4PCS 1-23-22 STF#1604 A
4PCS - 10/30/2021 JO11579 JARVIS</t>
        </r>
      </text>
    </comment>
    <comment ref="G1431" authorId="0" shapeId="0" xr:uid="{39BA12D9-3447-DD40-A3AC-7E016294EE5F}">
      <text>
        <r>
          <rPr>
            <sz val="10"/>
            <rFont val="SimSun"/>
            <charset val="134"/>
          </rPr>
          <t>IN 4PCS 5-24-24 DR#73482 LIPA A
IN 2PCS 03/10/24 DR# SPC MASTER
IN 1PCS SALES 2/29/24 DR#74842 SPC
4pcs 9-15-23 DR# SPC
3PCS 8-22-23 DR#74100 SPC
4PCS 6-21-23 SPC
4PCS 3-23-23 STF#7891 SPC
4PCS 2-24-23 STF#2336 LIAP A
2PCS 1-26-23 STF#7575 SPC
2PCS 12-13-22 STF#7373 SPC
2PCS 8-13-22 STF#6775 SPC
2PC 8-6-22 STF#6739 SPC
3PCS 6-3-22 STF#6443 SPC
4PC 03-26-2022 ST006111 SPC
4PC 03-07-2022 ST006022 SPC
4PC 02-23-2022 ST001791 LIPA A
4PC 01-08-2022 ST005749 SPC
4PCS 10-27-21 STF#5444 SPC</t>
        </r>
      </text>
    </comment>
    <comment ref="H1431" authorId="0" shapeId="0" xr:uid="{D36090FE-AEE4-DE4B-84A5-4EAB06658E3E}">
      <text>
        <r>
          <rPr>
            <sz val="10"/>
            <rFont val="SimSun"/>
            <charset val="134"/>
          </rPr>
          <t>OUT 05/25/24 34577 4PCS SALES BOSS JUN
OUT 04/11/24 33422 2PCS SALES BEL
OUT 03/1624 32771 2PCS SALES JARVIS
OUT 2/28/24 32257 2PCS SALES JARVIS
2PCS 1-17-24 JO#31152 JARVIS
2pcs 10-21-23 jo#28968 JARVS
2PCS 8-11-23 JO#27400 JARVIS
1PC 7-18-23 JO#26837 JARVIS
2PCS 6-17-23 JO#26090 JARVIS
2PCS 6-2-23 JO#25723 JARVIS
4PCS 2-24-23 JO#21890 MARLO
4PCS 2-24-23 JO#21972 ALY
4PCS 1-24-23 JO#21197 BEL
4PCS 12-11-22 JO#20103 BEL
2pcs 8-10-22 JO#17247 JARVIS
2PCS 8-4-22 JO#17122 SALES
2pcs 5-27-22 JO#15638 SALES
1PC 5-31-22 JO#15713 SALES
2PC 03-22-2022 JO14268 SALES
2pcs 3-21-22 JO#14263 JARVIS
4PCS 2-28-22 JO#13776 JARVIS
2PC 02-24-2022 JO13713 SALES
2pcs 12-20-21 jo#1523 sales
2pcs 12-20-21 jo#1524 sales</t>
        </r>
      </text>
    </comment>
    <comment ref="G1432" authorId="0" shapeId="0" xr:uid="{13042ED4-4E8C-654E-B831-11570233875B}">
      <text>
        <r>
          <rPr>
            <sz val="10"/>
            <rFont val="SimSun"/>
            <charset val="134"/>
          </rPr>
          <t xml:space="preserve">IN 4PCS 5.21.25 DR#77742 SPC HACKET
</t>
        </r>
      </text>
    </comment>
    <comment ref="H1432" authorId="0" shapeId="0" xr:uid="{04718904-1B5F-1041-9F4C-2F9D49558E97}">
      <text>
        <r>
          <rPr>
            <sz val="10"/>
            <rFont val="SimSun"/>
            <charset val="134"/>
          </rPr>
          <t>12.28.25
53683 1PC JARVIS</t>
        </r>
      </text>
    </comment>
    <comment ref="G1433" authorId="0" shapeId="0" xr:uid="{2CB5547D-3FE0-AB41-96DB-3F1A7DE2C2F7}">
      <text>
        <r>
          <rPr>
            <sz val="10"/>
            <rFont val="SimSun"/>
            <charset val="134"/>
          </rPr>
          <t>IN 2PCS 05/01/24 DR#73472 LIPA A
IN 4PCS 04/13/24 DR#SPS0021 SPC KUYA EMAN
1PC 8-17-23 DR#73279  LIPA A
1PC 8-17-23 dr#74089 SPC
2PCS 7-8-23 DR#72625 LIPA A
1PC 7-3-23 LIPA A
1PC 5-9-23 STF#2415 LIPA A
4PCS 1-30-23 STF#7594 SPC
4PCS 1-20-23 STF#7540 SPC
4PCS 01-06-2022 ST005734 SPC</t>
        </r>
      </text>
    </comment>
    <comment ref="H1433" authorId="0" shapeId="0" xr:uid="{17AF98C0-7AD4-FA43-B8F5-C4FA838C048F}">
      <text>
        <r>
          <rPr>
            <sz val="10"/>
            <rFont val="SimSun"/>
            <charset val="134"/>
          </rPr>
          <t>OUT 05/01/24 33932 2PCS SALES LEN
OUT 04/27/24 33796 4PCS SALES BEL
OUT 12-23-2023
30512 2PCS SALES MARLO
12/2/20223 29923 2PCS SALES
1PC 8-29-23 JO#27826 BEL
1pc 7-3-23 jo#26484 BEL
1pc 5-9-23 JO#25204 BEL
4PCS 3-16-23 JO#22671 ROSE
4PCS 1-27-23 STF#2243 LIPA A
4PCS 01-14-2022 ST001589 LIPA A</t>
        </r>
      </text>
    </comment>
    <comment ref="G1434" authorId="0" shapeId="0" xr:uid="{DD2BF640-1FB6-F34F-B4F5-8C2B3233F62A}">
      <text>
        <r>
          <rPr>
            <sz val="10"/>
            <rFont val="SimSun"/>
            <charset val="134"/>
          </rPr>
          <t>4PCS 2-3-23 STF#7621 SPC
4PCS 11-4-22 STF#7196 SPC
4PC 05-06-2022 ST001906 LIPA A</t>
        </r>
      </text>
    </comment>
    <comment ref="H1434" authorId="0" shapeId="0" xr:uid="{0BC252F7-0E8B-3A42-A4D0-89F8DB9E96CE}">
      <text>
        <r>
          <rPr>
            <sz val="10"/>
            <rFont val="SimSun"/>
            <charset val="134"/>
          </rPr>
          <t xml:space="preserve">OUT 2/26/24 32225 2PCS SALES
4pcs 7-14-23 JO#26732 BEL
4PCS 11-4-22 JO#19241 4PCS JOJO
4PCS 5-20-22 STF#1787 SPC
4PC 02-18-2022 JO13539 SALES
2PCS 2-11-22 STF#1631 SPC
2PC 01-20-2022 JO#13023 SALES
</t>
        </r>
      </text>
    </comment>
    <comment ref="G1435" authorId="0" shapeId="0" xr:uid="{47FE034B-AE04-9B4B-9184-548249FFF011}">
      <text>
        <r>
          <rPr>
            <sz val="10"/>
            <rFont val="SimSun"/>
            <charset val="134"/>
          </rPr>
          <t xml:space="preserve">IN 4PCS 03/14/24 DR#74868 SPC
IN 2PCS 03/10/24 DR# SPC MASTER
4PCS 9-22-23 DR# SPC
4PCS 9-14-23 DR#72261 LIPA A
4PCS 8-22-23 DR#74100 SPC
4PCS 8-17-23 DR#74089 SPC
4PCS 6-21-23 SPC
2pcs 6-10-23 SPC
4PCS 6-6-23 STF#2446 LIPA A
4PCS 3-23-23 STF#7891 SPC
4PCS 1-20-23 STF#7540 SPC
4PCS 11-28-22 STF#7294 SPC
2pcs 10-24-22 STF#7150 SPC
2PCS 10-19-22 STF#7124 SPC
4pcs 7-28-22 STF#6699 SPC
2PCS 7-15-22 STF#6640 SPC
2PCS 4-25-22 STF#1886 LIPA A
1PC  1-2-22 STF#1694 A
</t>
        </r>
      </text>
    </comment>
    <comment ref="H1435" authorId="0" shapeId="0" xr:uid="{90F4F75B-5873-E949-9E92-9DB5D98F7BAB}">
      <text>
        <r>
          <rPr>
            <sz val="10"/>
            <rFont val="SimSun"/>
            <charset val="134"/>
          </rPr>
          <t>OUT 2PCS 07/10/24 DR#75135-36 SPC KUYA HACKET
OUIT 2PCS 04/27/24 DR#74799 SPC SERVICE
OUT 4PCS 04/20/24 DR#74783 SPC KUYA EMAN
4PCS 10-16-23 JO#28830 OFFICE
4PCS 9-15-23 JO#28201 MARLO
4pcs 8-20-23 JO#27608 MARLO
4PCS 7-8-23 JO#26596 JARVIS
4PCS 6-6-23 JO#25824 BEL
4PCS 5-28-23 JO#25631 BEL
4PCS 2-8-23 JO#21578 ALY
\2PCS 1-13-23 STF#2210 SPC
2pcs 1-5-23 stF#2194 spc
4PCS 12-3-22 STF#2112 SPC
2PCS 10-24-22 JO#18989 SALES
2pcs 10-19-22 JO#18868 JARVIS 
4PCS 10-10-22 STF#2010 SPC
2pcs 7-22-22 JO#16750 SALES
2PC 04-25-2022 JO14925 SALES
1PC 1-2-22 JO#12721 MARLO</t>
        </r>
      </text>
    </comment>
    <comment ref="G1436" authorId="0" shapeId="0" xr:uid="{449F2EF6-2C60-1D4C-B411-8455CCB133ED}">
      <text>
        <r>
          <rPr>
            <sz val="10"/>
            <rFont val="SimSun"/>
            <charset val="134"/>
          </rPr>
          <t>IN 4PCS 06/20/24 DR#75189 SPC KUYA MIKE 
2PCS 10-10-23 DR#73750 SPC
4PCS 8-15-23 DR#74084 SPC
2PCS 6-27-23 S[C
4PCS 6-21-23 SPC
4PCS 3-27-23 STF#7901 SPC
4PCS 1-20-23 STF#7540 SPC
2PCS 12-11-22 STF#882 STC
4PCS 12-4-22 STF#7332 SPC
2PC 05-03-2022 ST001902 LIPA A</t>
        </r>
      </text>
    </comment>
    <comment ref="H1436" authorId="0" shapeId="0" xr:uid="{E532B58F-FEE0-FC4F-9ED1-4DDA3600FF13}">
      <text>
        <r>
          <rPr>
            <sz val="10"/>
            <rFont val="SimSun"/>
            <charset val="134"/>
          </rPr>
          <t xml:space="preserve">OUT 1PC 07/16/24 FOR WARRANTY KUYA MARLO&amp;ROSE FOR SHERMAN 
6/21/2024 35279 4PCS MARLO
OUT 1PC 03/30/24 DR#74745-46 SPC KUYA HACKET 
OUT 3PCS 03/27/24 DR#74743 LIPA A
OUT 12-20-2023
30402 1PC SALES LEN
1pc 11-17-23 JO#29584 BEL
2PCS 10-7-23 JO#28671 JARVIS
2PCS 6-28-23 JO#26349 BEL
4pcs 5-22-23 st002518 lipa a
4PCS 5-9-23 JO#25194 JARVIS
2PCS 1-7-23 STF#2197 LIPA A
2PCS 1-5-23 STF#2191 SPC
2PCS 12-12-22 JO#20086 BEL
2PC 05-03-2022 JO15098 SALES
</t>
        </r>
      </text>
    </comment>
    <comment ref="G1437" authorId="0" shapeId="0" xr:uid="{1ED5E637-C122-7246-AC69-C0E067140EDD}">
      <text>
        <r>
          <rPr>
            <sz val="10"/>
            <rFont val="SimSun"/>
            <charset val="134"/>
          </rPr>
          <t>IN 4PCS 04/13/24 DR#SPS0021 SPC KUYA EMAN
1pc 5-20-23 stf#8138 spc
4pcs 2-24-23 STF#7730 SPC
4PCS 1-22-23 STF#7550 SPC
4PCS 9-23-22 STF#6968 SPC</t>
        </r>
      </text>
    </comment>
    <comment ref="H1437" authorId="0" shapeId="0" xr:uid="{896460D1-05DA-514D-B210-7B1251A73BA5}">
      <text>
        <r>
          <rPr>
            <sz val="10"/>
            <rFont val="SimSun"/>
            <charset val="134"/>
          </rPr>
          <t>08/05/24
36517 4PCS SALES JARVIS
1pc 5-20-23 stf#2467 spc
3PCS 5-20-23 STF#2465 LIPA A
1PC 3-21-23 JO#22773 BEL
2PCS 2-8-23 JO#21578 ALY
2PCS 2-5-23 STF#2268 LIPA A
4PC 9-26-22 JO18307 JARVIS</t>
        </r>
      </text>
    </comment>
    <comment ref="G1438" authorId="0" shapeId="0" xr:uid="{50B6E763-80C8-BA41-B978-5E4E0EB23C60}">
      <text>
        <r>
          <rPr>
            <sz val="10"/>
            <rFont val="SimSun"/>
            <charset val="134"/>
          </rPr>
          <t>IN 1PCS 7.2.25 DR#77758 SPC BRY
IN 4PCS 5.21.25 DR#77742 SPC HACKET
2pcs 11-2-23 DR# LIPA A
4pcs 9-15-23 DR# SPC
4PCS 6-21-23 SPC
2PCS 5-16-23 STF#2425 LIPA A
4pcs 2-24-23 STF#7735 SPC
2PC 02-21-22 ST001785 LIPA A
4PCS 01-05-2022 ST005730 SPC
4PCS 11-23-21 STF#1627 A</t>
        </r>
      </text>
    </comment>
    <comment ref="H1438" authorId="0" shapeId="0" xr:uid="{691EF6C5-0766-8849-BBD4-772792262D26}">
      <text>
        <r>
          <rPr>
            <sz val="10"/>
            <rFont val="SimSun"/>
            <charset val="134"/>
          </rPr>
          <t>OUT 4PCS 7.9.25 DR#78356 LIPA A
OUT 1PC 6.25.25 DR#78336 STC
5pcs 1-9-24 DR#73369 SPC
1PC 10-2-23 JO#28526 JARVIS
4PCS 8-4-23 DR#73900 LIPA A
2PCS 5-16-23 JO#25317 MARLO
4pcs 4-26-23 STF#2427 SPC
4PCS 2-2-22 JO#13331 ALY
4PCS 11-23-21 JO#12063 JARVIS</t>
        </r>
      </text>
    </comment>
    <comment ref="G1439" authorId="0" shapeId="0" xr:uid="{30FCDEB7-B495-CD47-AD1B-C7B961B12635}">
      <text>
        <r>
          <rPr>
            <sz val="10"/>
            <rFont val="SimSun"/>
            <charset val="134"/>
          </rPr>
          <t>4PCS 2-3-23 STF#7621 SPC</t>
        </r>
      </text>
    </comment>
    <comment ref="H1439" authorId="0" shapeId="0" xr:uid="{E3CFE630-9875-4440-BE2B-5FCC204A5D62}">
      <text>
        <r>
          <rPr>
            <sz val="10"/>
            <rFont val="SimSun"/>
            <charset val="134"/>
          </rPr>
          <t>3PCS 5-26-23 STF#2474 LIPA A
1PC 5-9-23 JO#25211 ROSE</t>
        </r>
      </text>
    </comment>
    <comment ref="G1440" authorId="0" shapeId="0" xr:uid="{BB92D5A4-721D-FB40-9F22-89D16BA196BC}">
      <text>
        <r>
          <rPr>
            <sz val="10"/>
            <rFont val="SimSun"/>
            <charset val="134"/>
          </rPr>
          <t>IN 4PCS 04/13/24 DR#SPS0021 SPC KUYA EMAN
4PCS 9-22-23 DR# SPC
4PCS 7-21-23 S=DR#74029 SPC
4PCS 5-10-23 STF#8096 SPC
1pc 9-13-22 JO#2118 SITE A
4pcs 7-28-22 STF#6699 SPC
4PCS 4-26-22 STF#1891 LIPA A
4PC 03-07-2022 ST006022 SPC</t>
        </r>
      </text>
    </comment>
    <comment ref="H1440" authorId="0" shapeId="0" xr:uid="{700F2081-A3D7-2147-9F8C-83DC42004822}">
      <text>
        <r>
          <rPr>
            <sz val="10"/>
            <rFont val="SimSun"/>
            <charset val="134"/>
          </rPr>
          <t>OUT 4PCS 3.28.25 DR#77195 SPC EMMAN
09/16/24
37648 2PCS SALES BEL
OUT 02-17-2024
32004 4PCS SALES JARVIS
2PCS 11-6-23 DR#74257 LIPA A
4PCS 7-7-23 JO#26556 MARLO
1pc 9-20-22 STF#1983 SPC DEFFECTIVE
4PCS 9-13-22 JO#18034 ALY
4pcs 6-10-22 STF#1816 SPC
2PCS 4-21-22 JO#14891 SALES
2PCS 4-20-22 STF#1737 SPC
4PCS 12-12-21 JO#12369 JARVIS</t>
        </r>
      </text>
    </comment>
    <comment ref="G1441" authorId="0" shapeId="0" xr:uid="{D18852A6-87A3-DE4E-8E09-F837D96FBB69}">
      <text>
        <r>
          <rPr>
            <sz val="10"/>
            <rFont val="SimSun"/>
            <charset val="134"/>
          </rPr>
          <t>2PCS 4-19-23 STF#8012 SPC
4PCS 1-30-23 STF#7594 SPC</t>
        </r>
      </text>
    </comment>
    <comment ref="H1441" authorId="0" shapeId="0" xr:uid="{7286CB0F-A889-2549-A4A4-D51202751186}">
      <text>
        <r>
          <rPr>
            <sz val="10"/>
            <rFont val="SimSun"/>
            <charset val="134"/>
          </rPr>
          <t>4PCS 4-23-23 JO#24682 HANNAH
2PCS 3-27-23 STF#2367 LIPA A</t>
        </r>
      </text>
    </comment>
    <comment ref="G1442" authorId="0" shapeId="0" xr:uid="{3C87B8A7-259C-2B48-8432-2AB4E2C4317F}">
      <text>
        <r>
          <rPr>
            <sz val="10"/>
            <rFont val="SimSun"/>
            <charset val="134"/>
          </rPr>
          <t>IN 4PCS 12.26.25 DR79915-17 SPC HACKET
IN 4PCS 03/14/24 DR#74868 SPC
3PCS 6-27-23 SPC
4PCS 6-21-23 SPC
4PCS 01-06-2022 ST005734 SPC</t>
        </r>
      </text>
    </comment>
    <comment ref="H1442" authorId="0" shapeId="0" xr:uid="{A5860343-2F7B-FB4D-A68C-6AC819AB2834}">
      <text>
        <r>
          <rPr>
            <sz val="10"/>
            <rFont val="SimSun"/>
            <charset val="134"/>
          </rPr>
          <t>02.23.24
55503 1PC MARLO
OUT 2PCS 2.16.25 DR#77103 SPC
2pcs 8-1-24 jo#36437 jarvis
OUT 4PCS 04/22/24 DR#74785 SPC SIR ADWIN
1PC 6-23-23 JO#26238 JARVIS
2PCS 6-22-23 JO#26226 MARLO
2PCS 11-17-22 STF#2073 SPC
2PC 10-25-22 JO19005 JARVIS
4PCS 1-4-21 STF#1570 A
4PC 12-22-21 ST001558 S&amp;R ALY</t>
        </r>
      </text>
    </comment>
    <comment ref="G1443" authorId="0" shapeId="0" xr:uid="{851B240A-D058-B94B-867A-DC84204AF7C9}">
      <text>
        <r>
          <rPr>
            <sz val="10"/>
            <rFont val="SimSun"/>
            <charset val="134"/>
          </rPr>
          <t>IN 4PCS 12.26.25 DR79915-17 SPC HACKET
IN 2PCS 5-24-24 DR#73482 LIPA A
1PC  2-7-24 DR#74650;74801 SPC
4PCS 9-22-23 DR# SPC
3PCS 8-22-23 DR#74100 SPC
3PCS 8-15-23 DR#74084 SPC
4PCS 5-10-23 STF#8096 SPC
4PCS 4-19-23 STF#8012 SPC
4PCS 8-24-22 STF#6824 SPC
2PCS 6-22-22 STF#6519 SPC
4PC 03-26-2022 ST006111 SPC
4PCS 01-06-2022 ST005734 SPC</t>
        </r>
      </text>
    </comment>
    <comment ref="H1443" authorId="0" shapeId="0" xr:uid="{24FAF5F5-4912-4743-9470-92AA79EA869F}">
      <text>
        <r>
          <rPr>
            <sz val="10"/>
            <rFont val="SimSun"/>
            <charset val="134"/>
          </rPr>
          <t xml:space="preserve">OUT 2PCS 07/10/24 DR#75135-36 SPC KUYA HACKET
OUT 05/23/24 34519 2PCS SALES JARVIS
OUT 04/11/24 33404 2PCS SALES MARLO
OUT 01-20-2024
31243 4PCS SALES JARVIS
4PCS 12-28-23 JO#30633 JARVIS
4PCS 6-17-23 JO#26124 JARVIS
1PC 6-12-23 JO#25950 JARVIS
2PCS 6-2-23 JO#25708 JARVIS
4PCS 8-24-22 JO#17520 SALES 
4PCS 7-22-22 JO#16772 SALES
4PC 6-17-22 JO16083 SALES
2PC 05-14-2022 JO15385 SALES
</t>
        </r>
      </text>
    </comment>
    <comment ref="G1444" authorId="0" shapeId="0" xr:uid="{82CE3A02-3AE1-BC4F-93A5-7070BCC3BC6B}">
      <text>
        <r>
          <rPr>
            <sz val="10"/>
            <rFont val="SimSun"/>
            <charset val="134"/>
          </rPr>
          <t>4PCS 1-26-23 STF#7575 SPC</t>
        </r>
      </text>
    </comment>
    <comment ref="H1444" authorId="0" shapeId="0" xr:uid="{6CB0763F-3F23-4441-9187-8CE277CB041F}">
      <text>
        <r>
          <rPr>
            <sz val="10"/>
            <rFont val="SimSun"/>
            <charset val="134"/>
          </rPr>
          <t>4pcs 7-25-23 JO#26974 MARLO</t>
        </r>
      </text>
    </comment>
    <comment ref="G1445" authorId="0" shapeId="0" xr:uid="{CB11C872-0567-3443-988A-5062E4D08725}">
      <text>
        <r>
          <rPr>
            <sz val="10"/>
            <rFont val="SimSun"/>
            <charset val="134"/>
          </rPr>
          <t>2pcs 12-23-23 DR#73316 LIPA A
4PCS 1-22-23 STF#7550 SPC</t>
        </r>
      </text>
    </comment>
    <comment ref="H1445" authorId="0" shapeId="0" xr:uid="{8B3245EF-E930-A94D-813B-4540D1651748}">
      <text>
        <r>
          <rPr>
            <sz val="10"/>
            <rFont val="SimSun"/>
            <charset val="134"/>
          </rPr>
          <t>OUT 12-23-2023
30502 4PCS SALES JARVIS (2PCS FROM LIPA A NO IN)
2PCS 5-24-23 JO#25525 MARLO</t>
        </r>
      </text>
    </comment>
    <comment ref="G1447" authorId="0" shapeId="0" xr:uid="{184524DC-55F7-E746-8746-DF92D78E9A74}">
      <text>
        <r>
          <rPr>
            <sz val="10"/>
            <rFont val="SimSun"/>
            <charset val="134"/>
          </rPr>
          <t>4PCS 1-30-23 STF#7594 SPC</t>
        </r>
      </text>
    </comment>
    <comment ref="H1447" authorId="0" shapeId="0" xr:uid="{D9117EA4-5B9A-A34D-B6DD-362581BFD481}">
      <text>
        <r>
          <rPr>
            <sz val="10"/>
            <rFont val="SimSun"/>
            <charset val="134"/>
          </rPr>
          <t>4pcs 11-25-23 DR#74291 SPC</t>
        </r>
      </text>
    </comment>
    <comment ref="G1449" authorId="0" shapeId="0" xr:uid="{7227FF87-A789-3A44-9CEB-27A69D6B0FA7}">
      <text>
        <r>
          <rPr>
            <sz val="10"/>
            <rFont val="SimSun"/>
            <charset val="134"/>
          </rPr>
          <t>2pcs 9-15-23 DR#74213 SPC
4PCS 6-21-23 SPC
2PCS 6-1-23 STF#2444 LIPA A
2PCS 3-23-23 STF#7891 SPC
2PCS 2-3-23 STF#7621 SPC
4PCS 1-22-23 STF#7550 SPC
1PCS 04-05-2022 ST006161 SPC
4PCS 01-06-2022 ST005734 SPC</t>
        </r>
      </text>
    </comment>
    <comment ref="H1449" authorId="0" shapeId="0" xr:uid="{7E6EB45B-9191-8347-9026-CFBED10C567F}">
      <text>
        <r>
          <rPr>
            <sz val="10"/>
            <rFont val="SimSun"/>
            <charset val="134"/>
          </rPr>
          <t>OUT 03/17/24 32764 4PCS SALES OFFICE
2pcs 7-20-23 jo#26872 BEL
4PCS 6-1-23 JO#25699 MARLO SPC
2pcs 3-29-23 JO#29713 JARVIS
2PCS 3-17-23 JO#22667 BEL
2PCS 1-30-23 JO#21328 ALY
2PC 05-10-2022 ST001775 SPC
2PC 05-02-2022 JO15095 SALES
1PC 1-25-22 STF#1606 A</t>
        </r>
      </text>
    </comment>
    <comment ref="G1450" authorId="0" shapeId="0" xr:uid="{3DF5E345-0497-AD43-835F-3C021D96CDB2}">
      <text>
        <r>
          <rPr>
            <sz val="10"/>
            <rFont val="SimSun"/>
            <charset val="134"/>
          </rPr>
          <t>4pcs 6-19-23 STF#2457 LIPA A
4PCS 1-26-23 STF#7575 SPC</t>
        </r>
      </text>
    </comment>
    <comment ref="H1450" authorId="0" shapeId="0" xr:uid="{19836887-996A-1343-BE5A-D274218EBBF3}">
      <text>
        <r>
          <rPr>
            <sz val="10"/>
            <rFont val="SimSun"/>
            <charset val="134"/>
          </rPr>
          <t>1PC 8-31-23 DR#72245 SPC
2PCS 7-12-23 JO#26681 JARVIS
4PCS 6-18-23 jo#26134 bel
1pc 3-10-23 JO#22249 BEL</t>
        </r>
      </text>
    </comment>
    <comment ref="G1451" authorId="0" shapeId="0" xr:uid="{1D1168A0-F1AB-2842-8E4D-6C7FBF412A6B}">
      <text>
        <r>
          <rPr>
            <sz val="10"/>
            <rFont val="SimSun"/>
            <charset val="134"/>
          </rPr>
          <t>IN 4PCS 12.22.25 DR#79909 SPC RONNIE
IN 2PCS 9.9.25 DR#78631 LIPA A
IN 4PCS 5.21.25 DR#77742 SPC HACKET
IN 4PCS 04/08/24 DR# SPC
4PCS 8-30-23 DR#74173 SPC
4pcs 8-18-23 DR#74094 SPC</t>
        </r>
      </text>
    </comment>
    <comment ref="H1451" authorId="0" shapeId="0" xr:uid="{362B6E5D-346D-1B4B-935D-DCDAF497FCCA}">
      <text>
        <r>
          <rPr>
            <sz val="10"/>
            <rFont val="SimSun"/>
            <charset val="134"/>
          </rPr>
          <t>9-9-25
4 PCS 50402 JARVIS
8-16-25
2 PCS 49712 JARVIS
4PCS 4-8-24 3331 ROSE
OUT 1PC 03/30/24 DR#74745-46 SPC KUYA HACKET 
2PC 12-03-23 DR#73952 SPC
1PC 8-30-23 JO#27769 ROSE
4PCS 8-18-23 JO#27592 BEL</t>
        </r>
      </text>
    </comment>
    <comment ref="G1452" authorId="0" shapeId="0" xr:uid="{B922D42A-D948-FA4A-81A1-EE136D4B55E0}">
      <text>
        <r>
          <rPr>
            <sz val="10"/>
            <rFont val="SimSun"/>
            <charset val="134"/>
          </rPr>
          <t>2PCS 4-28-22 STF#6251 SPC
2PC 03-05-2022 ST006016 SPC
2PCS 1-4-22 STF#5727 SPC</t>
        </r>
      </text>
    </comment>
    <comment ref="H1452" authorId="0" shapeId="0" xr:uid="{1AE74050-366E-D44F-B427-4964FF8177F6}">
      <text>
        <r>
          <rPr>
            <sz val="10"/>
            <rFont val="SimSun"/>
            <charset val="134"/>
          </rPr>
          <t>2PC 04-28-2022 JO15018 SALES
2pcs 3-21-22 JO#14263 JARVIS
2pcs 1-4-22 JO#12769 JARVIS</t>
        </r>
      </text>
    </comment>
    <comment ref="G1453" authorId="0" shapeId="0" xr:uid="{7290512B-8E3C-624D-9110-E4F675BC615F}">
      <text>
        <r>
          <rPr>
            <sz val="10"/>
            <rFont val="SimSun"/>
            <charset val="134"/>
          </rPr>
          <t>IN 4PCS 12.26.25 DR79915-17 SPC HACKET
IN 4PCS 12.22.25 DR#79909 SPC RONNIE
IN 4PCS 6.28.25 DR#77778 SPC EMMAN
IN 4PCS 07/21/24 DR#75242 SPC MASTER
4PCS 6-21-23 SPC
4PCS 1-30-23 STF#7594 SPC
4PCS 4-28-22 STF#6253 SPC</t>
        </r>
      </text>
    </comment>
    <comment ref="H1453" authorId="0" shapeId="0" xr:uid="{08AAC8D9-9181-AE4D-8964-D84553C17466}">
      <text>
        <r>
          <rPr>
            <sz val="10"/>
            <rFont val="SimSun"/>
            <charset val="134"/>
          </rPr>
          <t>OUT 4PCS 01.30.26 DR80230 SPC HACKET
OUT 4PCS 4PCS 9.25.25 DR#79277 LIPA A
09/06/24
37409 4PCS SALES
3PCS 8-1-23 JO#27160 BEL
2PCS 7-28-23 JO#27044 JARVIS
2pc 4-23-23 st002417 spc
4PCS 5-4-22 JO#15160 SALES
4PC 12-11-2021 ST001542 LIPA A</t>
        </r>
      </text>
    </comment>
    <comment ref="G1454" authorId="0" shapeId="0" xr:uid="{E41251AE-97AA-1042-B0CC-C50211808315}">
      <text>
        <r>
          <rPr>
            <sz val="10"/>
            <rFont val="SimSun"/>
            <charset val="134"/>
          </rPr>
          <t>1PC 7-24-22 ST002050 LIPA A
4PC 02-23-2022 ST005963 SPC</t>
        </r>
      </text>
    </comment>
    <comment ref="H1454" authorId="0" shapeId="0" xr:uid="{00D82C7A-E226-C04A-84D2-032B4EF179BB}">
      <text>
        <r>
          <rPr>
            <sz val="10"/>
            <rFont val="SimSun"/>
            <charset val="134"/>
          </rPr>
          <t xml:space="preserve">1PC 7-25-22 JO16901 ALY
4PC 02-24-2022 JO13708 SALES
</t>
        </r>
      </text>
    </comment>
    <comment ref="G1455" authorId="0" shapeId="0" xr:uid="{920DE37C-9179-2340-9632-AA0D3B458C4F}">
      <text>
        <r>
          <rPr>
            <sz val="10"/>
            <rFont val="SimSun"/>
            <charset val="134"/>
          </rPr>
          <t>4PCS 1-22-23 STF#7550 SPC
4PCS 7-26-22 STF#6695 SPC
2PCS 01-06-2022 ST005734 SPC</t>
        </r>
      </text>
    </comment>
    <comment ref="H1455" authorId="0" shapeId="0" xr:uid="{0F841286-765E-974B-A769-4A057B85F793}">
      <text>
        <r>
          <rPr>
            <sz val="10"/>
            <rFont val="SimSun"/>
            <charset val="134"/>
          </rPr>
          <t>4pcs 1-10-24 DR#73374 SPC
OUT 01-08-2024
30933 2PCS SALES MARIBEL
1pc 5-24-23 JO#25514 ROSE
4PCS 9-30-22 STF#1997 SPC
4PCS 2-6-22 STF#1621 A
2PCS - 10/26/2021 JO11492 JARVIS</t>
        </r>
      </text>
    </comment>
    <comment ref="G1456" authorId="0" shapeId="0" xr:uid="{FD8F4EC5-975C-9348-8269-85724E05B078}">
      <text>
        <r>
          <rPr>
            <sz val="10"/>
            <rFont val="SimSun"/>
            <charset val="134"/>
          </rPr>
          <t xml:space="preserve">
4pcs 9-22-23 dr#72287 spc
4PCS 1-26-23 STF#7575 SPC
1PC 03-12-2022 ST006055 SPC</t>
        </r>
      </text>
    </comment>
    <comment ref="H1456" authorId="0" shapeId="0" xr:uid="{C28B4C6C-BC2D-7646-AA14-E0B3DE03E258}">
      <text>
        <r>
          <rPr>
            <sz val="10"/>
            <rFont val="SimSun"/>
            <charset val="134"/>
          </rPr>
          <t xml:space="preserve">4pcs 9-22-23 dr#72287 spc
1PC 5-16-23 JO#25339 JARVIS
4pcs 4-17-23 JO#24652 MARIBEL
1PC 03-12-2022 JO14064 SALES
</t>
        </r>
      </text>
    </comment>
    <comment ref="G1457" authorId="0" shapeId="0" xr:uid="{DFD1FC8B-73C9-4942-9945-AEDE04542509}">
      <text>
        <r>
          <rPr>
            <sz val="10"/>
            <rFont val="SimSun"/>
            <charset val="134"/>
          </rPr>
          <t xml:space="preserve">4PC 03-26-2022 ST006111 SPC
</t>
        </r>
      </text>
    </comment>
    <comment ref="H1457" authorId="0" shapeId="0" xr:uid="{B84F8926-6B3D-7C46-AE18-B86C616B744D}">
      <text>
        <r>
          <rPr>
            <sz val="10"/>
            <rFont val="SimSun"/>
            <charset val="134"/>
          </rPr>
          <t>4PCS 7-18-22 STF#1879 SPC</t>
        </r>
      </text>
    </comment>
    <comment ref="G1458" authorId="0" shapeId="0" xr:uid="{2EB357AE-DD18-6443-9464-9A16493C91A1}">
      <text>
        <r>
          <rPr>
            <sz val="10"/>
            <rFont val="SimSun"/>
            <charset val="134"/>
          </rPr>
          <t>IN 4PCS 12.26.25 DR79915-17 SPC HACKET
3pcs 10-27-23 DR#74360 SPC
1PC 10-24-23 DR#72680 LIPA A
1PC 9-15-23 DR# SPC
5PCS 5-10-23 STF#8096 SPC
4PCS 4-13-23 STF# LIPA A
4PCS 1-26-23 STF#7575 SPC
2PC 04-11-2022 ST006192 SPC
4PC 03-26-2022 ST006111 SPC
4PCS 1-17-22 STF#5778 SPC
4PCS 1-6-22 STF#5734 SPC</t>
        </r>
      </text>
    </comment>
    <comment ref="H1458" authorId="0" shapeId="0" xr:uid="{57650C11-ED86-764E-A2F3-72E27D21D003}">
      <text>
        <r>
          <rPr>
            <sz val="10"/>
            <rFont val="SimSun"/>
            <charset val="134"/>
          </rPr>
          <t xml:space="preserve">OUT 2PCS 07/10/24 DR#75135-36 SPC KUYA HACKET
OUT 05/18/24 34388 1PCS SALES MARLO 
OUT 05/16/24 34348 2PCS SALES JARVIS
1PC  1-10-24 DR#73374 SPC
4pcs 10-24-23 JO#29042 BEL
2PCS 10-3-23 JO#28529 JARVIS
1PC  7-25-23 DR#73885 LIPA A
1pc 4-13-23 JO#24306 MARLO
2PCS 3-7-23 JO#22180 JARVIS
2PCS 2-24-23 JO#21908 JARVIS
2pcs 6-10-22 STF#1816 SPC
2PCS 6-3-22 STf#1811 SPC
2PCS 4-6-22 JO#14547 JARVIS
4PCS 2-22-22 STF#1642 SPC
1PC 2-16-22 STF#1638 SPC
2PC 02-13-22 JO13487 PAUL
1PC 01-20-2022 JO#12380 SALES
4PCS - 11/7/2021 JO#11762 PAUL
</t>
        </r>
      </text>
    </comment>
    <comment ref="G1459" authorId="0" shapeId="0" xr:uid="{48043F0F-DC0E-C443-8F5C-A601BA789416}">
      <text>
        <r>
          <rPr>
            <sz val="10"/>
            <rFont val="SimSun"/>
            <charset val="134"/>
          </rPr>
          <t>2PCS 3-29-2022 STF#6122 SPC</t>
        </r>
      </text>
    </comment>
    <comment ref="H1459" authorId="0" shapeId="0" xr:uid="{3A7E2B8B-C901-4947-BFAD-D8C66C8265FA}">
      <text>
        <r>
          <rPr>
            <sz val="10"/>
            <rFont val="SimSun"/>
            <charset val="134"/>
          </rPr>
          <t xml:space="preserve">1PC 5-11-22 STF#1776 SPC
1PC 03-31-2022 JO14410 SALES
</t>
        </r>
      </text>
    </comment>
    <comment ref="G1460" authorId="0" shapeId="0" xr:uid="{358BD5AD-09FA-E34F-95A6-0D027490422F}">
      <text>
        <r>
          <rPr>
            <sz val="10"/>
            <rFont val="SimSun"/>
            <charset val="134"/>
          </rPr>
          <t>2PCS 3-29-2022 STF#6122 SPC</t>
        </r>
      </text>
    </comment>
    <comment ref="H1460" authorId="0" shapeId="0" xr:uid="{F4E7B1AA-F7D2-E24F-8A8E-0FAF2F52B45C}">
      <text>
        <r>
          <rPr>
            <sz val="10"/>
            <rFont val="SimSun"/>
            <charset val="134"/>
          </rPr>
          <t xml:space="preserve">1PC 5-11-22 STF#1776 SPC
1PC 03-31-2022 JO14410 SALES
</t>
        </r>
      </text>
    </comment>
    <comment ref="G1462" authorId="0" shapeId="0" xr:uid="{2A27C255-24E3-A74A-90DA-224174F27C09}">
      <text>
        <r>
          <rPr>
            <sz val="10"/>
            <rFont val="SimSun"/>
            <charset val="134"/>
          </rPr>
          <t>IN 4PCS 12.26.25 DR79915-17 SPC HACKET
IN 4PCS 04/13/24 DR#SPS0021 SPC KUYA EMAN
4PCS 8-12-23 SPC
4PCS 6-14-23 SPC
4PCS 1-19-23 STF#7533 SPC
1PC 12-12-22 STF#7369 SPC
4PCS 8-9-22 STF#6751 SPC
4PCS 6-27-22 STF#6547 SPC
2pcs 1-31-22 STF#5843 SPC
4PCS 01-06-2022 ST005734 SPC
4pcs 10-1-21 STF#5372 SPC</t>
        </r>
      </text>
    </comment>
    <comment ref="H1462" authorId="0" shapeId="0" xr:uid="{FAD15331-6FC1-D246-90B0-C86BA5A19740}">
      <text>
        <r>
          <rPr>
            <sz val="10"/>
            <rFont val="SimSun"/>
            <charset val="134"/>
          </rPr>
          <t>OUT 1PC 02.02.26 DR80233 SPC LALAMOVE
OUT 2PCS 07/10/24 DR#75135-36 SPC KUYA HACKET
OUT 05/06/24 34082 2PCS SALES MARLO 
OUT 03/13/24 4PCS DR#74707 LIPA A
4PCS 7-7-23 JO#26566 BEL
4PCS 6-10-23 JO#25944 JARVIS
4PCS 1-7-23 STF#2197 LIPA A
2PCS 11-30-22 STF#2102 SITE A
2PC 11-16-22 ST002071 SPC
1PC 10-21-22 STF#2025 SPC
4PCS 06-19-22 JO16118 SALES
2PCS 01-19-2022 JO#13019 ALY
3pcs 12-18-21 STf#1553 SPC
OUT 10-1-21 JO#10687 4PC SALES
4PCS 12-17-21 JO#12481 ALY</t>
        </r>
      </text>
    </comment>
    <comment ref="G1463" authorId="0" shapeId="0" xr:uid="{86FDFD65-8739-D147-8A9D-DCFEE6EB4663}">
      <text>
        <r>
          <rPr>
            <sz val="10"/>
            <rFont val="SimSun"/>
            <charset val="134"/>
          </rPr>
          <t>2PCS 8-31-23 DR#74178 SPC
4PCS 1-22-23 STF#7550 SPC
IN 9-14-22 STF#2120 4PCS SPC</t>
        </r>
      </text>
    </comment>
    <comment ref="H1463" authorId="0" shapeId="0" xr:uid="{2E36BF4A-907A-574B-9E33-D3D3B407D5A3}">
      <text>
        <r>
          <rPr>
            <sz val="10"/>
            <rFont val="SimSun"/>
            <charset val="134"/>
          </rPr>
          <t>6pcs 1-9-24 DR#73369 SPC
4PCS 9-14-22 JO#1811 ALY
4PC 7-24-22 JO16911 OFFICE</t>
        </r>
      </text>
    </comment>
    <comment ref="G1464" authorId="0" shapeId="0" xr:uid="{89D48E0E-7000-EA42-8D05-3714E79B12F4}">
      <text>
        <r>
          <rPr>
            <sz val="10"/>
            <rFont val="SimSun"/>
            <charset val="134"/>
          </rPr>
          <t>4PCS 10-24-22 STF#7146 SPC
4PCS 5-21-22 STF#6360 SPC</t>
        </r>
      </text>
    </comment>
    <comment ref="H1464" authorId="0" shapeId="0" xr:uid="{1AB09764-DA80-834E-AA4B-BF14EC733658}">
      <text>
        <r>
          <rPr>
            <sz val="10"/>
            <rFont val="SimSun"/>
            <charset val="134"/>
          </rPr>
          <t>2pcs 11-26-22 jo19764 marlo
2PCS 11-24-22 JO#19669 MARLO
4PC 6-2-22 STF#1809 SPC</t>
        </r>
      </text>
    </comment>
    <comment ref="G1465" authorId="0" shapeId="0" xr:uid="{CDD29CC1-89B8-FC4C-AAD5-67D5741C21B5}">
      <text>
        <r>
          <rPr>
            <sz val="10"/>
            <rFont val="SimSun"/>
            <charset val="134"/>
          </rPr>
          <t>in 4pcs 04/30/24 dr#31950 svb</t>
        </r>
      </text>
    </comment>
    <comment ref="H1465" authorId="0" shapeId="0" xr:uid="{5DBF5AD3-3C81-AE49-8D48-F7A22F8DF174}">
      <text>
        <r>
          <rPr>
            <sz val="10"/>
            <rFont val="SimSun"/>
            <charset val="134"/>
          </rPr>
          <t>OUT 04/30/24 33895 4PCS SALES JHONLY</t>
        </r>
      </text>
    </comment>
    <comment ref="G1466" authorId="0" shapeId="0" xr:uid="{0E1B4134-11CD-3F4B-A0D2-95B99FEFC051}">
      <text>
        <r>
          <rPr>
            <sz val="10"/>
            <rFont val="SimSun"/>
            <charset val="134"/>
          </rPr>
          <t>IN 2PCS 11.22.25 DR#24289 GUDA</t>
        </r>
      </text>
    </comment>
    <comment ref="H1466" authorId="0" shapeId="0" xr:uid="{E2631983-018C-BA43-AD51-8139A297FFB2}">
      <text>
        <r>
          <rPr>
            <sz val="10"/>
            <rFont val="SimSun"/>
            <charset val="134"/>
          </rPr>
          <t xml:space="preserve">11-22-25
2 PCS 52530 ALY
</t>
        </r>
      </text>
    </comment>
    <comment ref="G1472" authorId="0" shapeId="0" xr:uid="{B3C7B3CA-070F-C541-B73D-E394D7A19D38}">
      <text>
        <r>
          <rPr>
            <sz val="10"/>
            <rFont val="SimSun"/>
            <charset val="134"/>
          </rPr>
          <t>IN 2PCS 1-21-25 DR#1402 COMETZ</t>
        </r>
      </text>
    </comment>
    <comment ref="H1472" authorId="0" shapeId="0" xr:uid="{8943623F-60DC-0448-AAD2-B6DEBE68F0D4}">
      <text>
        <r>
          <rPr>
            <sz val="10"/>
            <rFont val="SimSun"/>
            <charset val="134"/>
          </rPr>
          <t>2PC OUT 1/21/25 JO41860 MARLO</t>
        </r>
      </text>
    </comment>
    <comment ref="G1473" authorId="0" shapeId="0" xr:uid="{DD7EFCE4-6243-4145-A52E-FCEE9BE9DF3F}">
      <text>
        <r>
          <rPr>
            <sz val="10"/>
            <rFont val="SimSun"/>
            <charset val="134"/>
          </rPr>
          <t>IN 2PCS 11/22/24 DR#34096 SVB</t>
        </r>
      </text>
    </comment>
    <comment ref="H1473" authorId="0" shapeId="0" xr:uid="{C7248D84-D493-3442-8B90-1FD912E73BEA}">
      <text>
        <r>
          <rPr>
            <sz val="10"/>
            <rFont val="SimSun"/>
            <charset val="134"/>
          </rPr>
          <t>2PCS OUT 11/22/24 JO 39964 MARIBEL</t>
        </r>
      </text>
    </comment>
    <comment ref="G1480" authorId="0" shapeId="0" xr:uid="{ECC763E9-D175-9E48-8051-ADB5799DAE7B}">
      <text>
        <r>
          <rPr>
            <sz val="10"/>
            <rFont val="SimSun"/>
            <charset val="134"/>
          </rPr>
          <t>2PCS 7-25-22 STF#6684 SPC
4PCS 6-17-22 STF#6497 SPC</t>
        </r>
      </text>
    </comment>
    <comment ref="H1480" authorId="0" shapeId="0" xr:uid="{204788FB-6A0E-474E-8AC9-7720E9C52311}">
      <text>
        <r>
          <rPr>
            <sz val="10"/>
            <rFont val="SimSun"/>
            <charset val="134"/>
          </rPr>
          <t>4PC 8-23-22 STF#1940 SPC
1PC 8-9-22 STF#1912 SPC
1PC 7-11-22 JO#16509 SALES
6-4-22 STF#1811 SPC</t>
        </r>
      </text>
    </comment>
    <comment ref="G1481" authorId="0" shapeId="0" xr:uid="{1AAFC2EE-4966-AC46-A27D-1B3ABFBA2F56}">
      <text>
        <r>
          <rPr>
            <sz val="10"/>
            <rFont val="SimSun"/>
            <charset val="134"/>
          </rPr>
          <t>8PC 03-19-2022 ST006081 SPC</t>
        </r>
      </text>
    </comment>
    <comment ref="H1481" authorId="0" shapeId="0" xr:uid="{2139E5D1-CAC8-F740-9B61-18ABE326C858}">
      <text>
        <r>
          <rPr>
            <sz val="10"/>
            <rFont val="SimSun"/>
            <charset val="134"/>
          </rPr>
          <t>4PCS 6-3-22 JO#1811 SPC
4PCS 4-27-22 STF#1753 SPC</t>
        </r>
      </text>
    </comment>
    <comment ref="G1483" authorId="0" shapeId="0" xr:uid="{97CC22D8-15FD-324C-B734-6CF4557D50CA}">
      <text>
        <r>
          <rPr>
            <sz val="10"/>
            <rFont val="SimSun"/>
            <charset val="134"/>
          </rPr>
          <t>4PCS 6-17-22 STF#6497 SPC
8PC 03-19-2022 ST006081 SPC</t>
        </r>
      </text>
    </comment>
    <comment ref="H1483" authorId="0" shapeId="0" xr:uid="{1A276145-EC1E-604B-8FF7-A8F46D35CB95}">
      <text>
        <r>
          <rPr>
            <sz val="10"/>
            <rFont val="SimSun"/>
            <charset val="134"/>
          </rPr>
          <t xml:space="preserve">8PCS 12-2-22 STF#2107 SPC
1PC 6-22-22 STF#1835 SPC
3PC 05-17-2022 ST001783 SPC
</t>
        </r>
      </text>
    </comment>
    <comment ref="G1484" authorId="0" shapeId="0" xr:uid="{6C406436-A47D-3145-9716-42D40DC5C8A8}">
      <text>
        <r>
          <rPr>
            <sz val="10"/>
            <rFont val="SimSun"/>
            <charset val="134"/>
          </rPr>
          <t xml:space="preserve">4PCS 11-4-22 STF#7198 SPC
2PCS 6-9-22 STF#6465 SPC
2PC 04-25-2022 ST006237 SPC
</t>
        </r>
      </text>
    </comment>
    <comment ref="H1484" authorId="0" shapeId="0" xr:uid="{C50E4181-40E5-1B42-824D-72EF9A0B46DC}">
      <text>
        <r>
          <rPr>
            <sz val="10"/>
            <rFont val="SimSun"/>
            <charset val="134"/>
          </rPr>
          <t>1PC 1-11-23 STF#2206 SPC
1PC 11-10-22 JO#19383 MARLO
2PCS 11-4-22 JO#19177 MARLO
4PCS 11-2-22 STF#2044 SPC</t>
        </r>
      </text>
    </comment>
    <comment ref="G1485" authorId="0" shapeId="0" xr:uid="{6B2425A7-17D0-5F42-AA20-1E8A1AEE720E}">
      <text>
        <r>
          <rPr>
            <sz val="10"/>
            <rFont val="SimSun"/>
            <charset val="134"/>
          </rPr>
          <t>4PC 03-19-2022 ST006081 SPC8PCS 11-29-21 STF#5596 SPC</t>
        </r>
      </text>
    </comment>
    <comment ref="H1485" authorId="0" shapeId="0" xr:uid="{C17F0960-F610-8440-B73A-028759F1CB32}">
      <text>
        <r>
          <rPr>
            <sz val="10"/>
            <rFont val="SimSun"/>
            <charset val="134"/>
          </rPr>
          <t>4PCS 10-24-22 STF#2031 SPC
1PCS 9-30-22 STF#1996 SPC
1PC  6-10-22 STF#1816 SPC
2PCS 5-28-22 STF#1802 LIPA A
4PCS 1-4-21 STF#1569 A</t>
        </r>
      </text>
    </comment>
    <comment ref="G1486" authorId="0" shapeId="0" xr:uid="{C74584FA-DE9D-824E-B2E6-4A02E98B0EC5}">
      <text>
        <r>
          <rPr>
            <sz val="10"/>
            <rFont val="SimSun"/>
            <charset val="134"/>
          </rPr>
          <t xml:space="preserve">8PC 04-25-2022 ST006237 SPC
</t>
        </r>
      </text>
    </comment>
    <comment ref="H1486" authorId="0" shapeId="0" xr:uid="{EE935F98-C286-2148-8472-B97343866F6F}">
      <text>
        <r>
          <rPr>
            <sz val="10"/>
            <rFont val="SimSun"/>
            <charset val="134"/>
          </rPr>
          <t xml:space="preserve">4PCS 6-25-22 STF#1839 SPC
2PCS 5-28-22 STF#1802 LIPA A
2PC 05-17-2022 ST001783 SPC
</t>
        </r>
      </text>
    </comment>
    <comment ref="G1487" authorId="0" shapeId="0" xr:uid="{4377CD24-FE1A-6440-96C0-F5EE1B03AF0F}">
      <text>
        <r>
          <rPr>
            <sz val="10"/>
            <rFont val="SimSun"/>
            <charset val="134"/>
          </rPr>
          <t>2PCS 1-3-23 DR#73323 LIPA A
2PCS 12-26-23 DR#73317 LIPA A
8PCS 8-8-23 DR#74067 SPC</t>
        </r>
      </text>
    </comment>
    <comment ref="H1487" authorId="0" shapeId="0" xr:uid="{EFE9D7AE-4929-A44E-B6D7-37B2D38557BF}">
      <text>
        <r>
          <rPr>
            <sz val="10"/>
            <rFont val="SimSun"/>
            <charset val="134"/>
          </rPr>
          <t>2PCS 1-3-23 JO#30772 MARLO
4PCS 12-26-23 JO#30566 MARLO
2PCS 12-9-23 JO#30132 MARLO
4PCS 10-2-23 DR#72299 SPC</t>
        </r>
      </text>
    </comment>
    <comment ref="G1488" authorId="0" shapeId="0" xr:uid="{9D490A87-C233-6641-965B-C313885A5488}">
      <text>
        <r>
          <rPr>
            <sz val="10"/>
            <rFont val="SimSun"/>
            <charset val="134"/>
          </rPr>
          <t xml:space="preserve">4PC 04-25-2022 ST006237 SPC
</t>
        </r>
      </text>
    </comment>
    <comment ref="H1488" authorId="0" shapeId="0" xr:uid="{A025819A-F758-DD49-951C-D78D5A387186}">
      <text>
        <r>
          <rPr>
            <sz val="10"/>
            <rFont val="SimSun"/>
            <charset val="134"/>
          </rPr>
          <t>4PCS 9-1-22 STF#1958 SPC</t>
        </r>
      </text>
    </comment>
    <comment ref="G1489" authorId="0" shapeId="0" xr:uid="{6BBDF0BB-600E-2449-9BE8-8F5C1EF654F6}">
      <text>
        <r>
          <rPr>
            <sz val="10"/>
            <rFont val="SimSun"/>
            <charset val="134"/>
          </rPr>
          <t xml:space="preserve">4PC 04-25-2022 ST006237 SPC
</t>
        </r>
      </text>
    </comment>
    <comment ref="H1489" authorId="0" shapeId="0" xr:uid="{E960E1A5-4E95-4440-A5D3-F601147819AD}">
      <text>
        <r>
          <rPr>
            <sz val="10"/>
            <rFont val="SimSun"/>
            <charset val="134"/>
          </rPr>
          <t>2pcs 9-5-22 STF#1963 SPC
2PCS 8-9-22 JO#17244 JARVIS</t>
        </r>
      </text>
    </comment>
    <comment ref="G1490" authorId="0" shapeId="0" xr:uid="{F1B1194B-C773-F143-904E-BA2D9ED8D518}">
      <text>
        <r>
          <rPr>
            <sz val="10"/>
            <rFont val="SimSun"/>
            <charset val="134"/>
          </rPr>
          <t xml:space="preserve">1PC  12-19-22 STF#7403 SPC
4PCS 5-30-22 STF#6418 SPC
4PC 04-25-2022 ST006237 SPC
</t>
        </r>
      </text>
    </comment>
    <comment ref="H1490" authorId="0" shapeId="0" xr:uid="{C552BDC1-4EF0-5344-B278-E6760017B936}">
      <text>
        <r>
          <rPr>
            <sz val="10"/>
            <rFont val="SimSun"/>
            <charset val="134"/>
          </rPr>
          <t>1PC 12-19-22 JO#20275 BEL
4PCS 7-18-22 STF#1879 SPC
4PCS 5-26-22 STF#1795 SPC</t>
        </r>
      </text>
    </comment>
    <comment ref="G1491" authorId="0" shapeId="0" xr:uid="{B80A9EBA-572E-1E42-A13B-3AB31AC989D2}">
      <text>
        <r>
          <rPr>
            <sz val="10"/>
            <rFont val="SimSun"/>
            <charset val="134"/>
          </rPr>
          <t>2PCS 12-28-22 STF#7435 SPC
2PCS  11-9-22 STF#7217 SPC
4PCS 11-29-21 STF#5596 SPC</t>
        </r>
      </text>
    </comment>
    <comment ref="H1491" authorId="0" shapeId="0" xr:uid="{B693A04A-3A19-7944-B39B-660C9FD27496}">
      <text>
        <r>
          <rPr>
            <sz val="10"/>
            <rFont val="SimSun"/>
            <charset val="134"/>
          </rPr>
          <t>4pcs 2-13-23 STF#2280 SPC
2pcs 12-19-22 STF#2162 SPC
2PCS 12-13-22 STF#2148 SPC</t>
        </r>
      </text>
    </comment>
    <comment ref="G1492" authorId="0" shapeId="0" xr:uid="{DE5A259F-0C24-734B-9BDA-75589A09A715}">
      <text>
        <r>
          <rPr>
            <sz val="10"/>
            <rFont val="SimSun"/>
            <charset val="134"/>
          </rPr>
          <t xml:space="preserve">4PC 04-25-2022 ST006237 SPC
</t>
        </r>
      </text>
    </comment>
    <comment ref="H1492" authorId="0" shapeId="0" xr:uid="{0C5CF31F-96BB-2442-942B-4233154F34E9}">
      <text>
        <r>
          <rPr>
            <sz val="10"/>
            <rFont val="SimSun"/>
            <charset val="134"/>
          </rPr>
          <t>4PCS 9-24-22 JO#18342 BEL</t>
        </r>
      </text>
    </comment>
    <comment ref="G1493" authorId="0" shapeId="0" xr:uid="{0F3AFD3B-49A6-0649-B1BF-B902E7848A69}">
      <text>
        <r>
          <rPr>
            <sz val="10"/>
            <rFont val="SimSun"/>
            <charset val="134"/>
          </rPr>
          <t xml:space="preserve">4PCS 8-18-22 STF#6800 SPC
12PC 03-19-2022 ST006081 SPC
</t>
        </r>
      </text>
    </comment>
    <comment ref="H1493" authorId="0" shapeId="0" xr:uid="{6E50F481-57E3-184C-BC61-0A43950AA065}">
      <text>
        <r>
          <rPr>
            <sz val="10"/>
            <rFont val="SimSun"/>
            <charset val="134"/>
          </rPr>
          <t>4PCS 12-2-22 JO#19939 BEL
2PCS 11-13-22 JO#19462 MARLO
2PCS 11-11-22 JO#19385 MARLO
4PCS 9-1-22 STF#1958 SPC
4PCS 8-16-22 STF#1925 SPC</t>
        </r>
      </text>
    </comment>
    <comment ref="G1494" authorId="0" shapeId="0" xr:uid="{6D2797E1-F7B7-BB48-AB36-A7F101D99D04}">
      <text>
        <r>
          <rPr>
            <sz val="10"/>
            <rFont val="SimSun"/>
            <charset val="134"/>
          </rPr>
          <t xml:space="preserve">4PC 04-25-2022 ST006237 SPC
</t>
        </r>
      </text>
    </comment>
    <comment ref="H1494" authorId="0" shapeId="0" xr:uid="{A1B02473-FE14-384E-8061-347E1BBD3CBD}">
      <text>
        <r>
          <rPr>
            <sz val="10"/>
            <rFont val="SimSun"/>
            <charset val="134"/>
          </rPr>
          <t>4PCS 7-11-22 STF#1871 SPC</t>
        </r>
      </text>
    </comment>
    <comment ref="G1495" authorId="0" shapeId="0" xr:uid="{E6B504F9-07C6-E447-8F5F-CB9DE167B44B}">
      <text>
        <r>
          <rPr>
            <sz val="10"/>
            <rFont val="SimSun"/>
            <charset val="134"/>
          </rPr>
          <t>4PCS 6-17-22 STF#6497 SPC</t>
        </r>
      </text>
    </comment>
    <comment ref="H1495" authorId="0" shapeId="0" xr:uid="{1E2A2454-3EB6-104A-B0DD-3E4FA7283EDA}">
      <text>
        <r>
          <rPr>
            <sz val="10"/>
            <rFont val="SimSun"/>
            <charset val="134"/>
          </rPr>
          <t>2PC 8-3-22 JO#1902 SPC
2pcs 7-30-22 STF#1900SPC
2PCS 7-7-22 STF#1865 SPC</t>
        </r>
      </text>
    </comment>
    <comment ref="G1496" authorId="0" shapeId="0" xr:uid="{C82E94C1-ED95-7C4B-A969-D41F53D0487F}">
      <text>
        <r>
          <rPr>
            <sz val="10"/>
            <rFont val="SimSun"/>
            <charset val="134"/>
          </rPr>
          <t>2PCS 7-13-22 STF#6626 SPC
4PCS 6-3-22 STF#6443 SPC
4PCS 5-30-22 STF#6418 SPC</t>
        </r>
      </text>
    </comment>
    <comment ref="H1496" authorId="0" shapeId="0" xr:uid="{D45FBF6B-BEA0-CB4D-805C-1CC45186DB41}">
      <text>
        <r>
          <rPr>
            <sz val="10"/>
            <rFont val="SimSun"/>
            <charset val="134"/>
          </rPr>
          <t>4PCS 7-19-22 STF#1880 SPC
2PC 6-20-22 ST001832 LIPA A
2PCS 6-15-22 STF#1822 SPC
2PCS 6-2-22 JO#15752 SALES</t>
        </r>
      </text>
    </comment>
    <comment ref="G1497" authorId="0" shapeId="0" xr:uid="{D2D4F6D3-75CD-5E4D-BE9F-5044CB8DD53B}">
      <text>
        <r>
          <rPr>
            <sz val="10"/>
            <rFont val="SimSun"/>
            <charset val="134"/>
          </rPr>
          <t xml:space="preserve">2PC 05-17-2022 ST006345 SPC
4PC 04-25-2022 ST006237 SPC
</t>
        </r>
      </text>
    </comment>
    <comment ref="H1497" authorId="0" shapeId="0" xr:uid="{917A061B-7BF6-5C47-A0C5-54AE3D2459FA}">
      <text>
        <r>
          <rPr>
            <sz val="10"/>
            <rFont val="SimSun"/>
            <charset val="134"/>
          </rPr>
          <t xml:space="preserve">2PC 7-20-22 STF#1881 SPC
2PC 7-12-22 JO16619 MARLO
2PC 05-15-2022 JO15386 SALES
</t>
        </r>
      </text>
    </comment>
    <comment ref="G1498" authorId="0" shapeId="0" xr:uid="{9AE23DAE-C3ED-874C-90D4-1DBB6D1B1BE0}">
      <text>
        <r>
          <rPr>
            <sz val="10"/>
            <rFont val="SimSun"/>
            <charset val="134"/>
          </rPr>
          <t xml:space="preserve">4PCS 6-17-22 STF#6497 SPC
4PC 04-08-22 ST001863 LIPA A
4PC 03-19-2022 ST006081 SPC
</t>
        </r>
      </text>
    </comment>
    <comment ref="H1498" authorId="0" shapeId="0" xr:uid="{D132A985-C861-1242-AE73-757AF1801F63}">
      <text>
        <r>
          <rPr>
            <sz val="10"/>
            <rFont val="SimSun"/>
            <charset val="134"/>
          </rPr>
          <t>4PCS 7-13-22 JO#16639 JARVIS
4PC 04-08-2022 JO14589 SALES
4PC 04-08-22 ST001719 LIPA A</t>
        </r>
      </text>
    </comment>
    <comment ref="G1500" authorId="0" shapeId="0" xr:uid="{90788A52-C267-D540-AD88-4FB8B1635FA9}">
      <text>
        <r>
          <rPr>
            <sz val="10"/>
            <rFont val="SimSun"/>
            <charset val="134"/>
          </rPr>
          <t>4pcs 5-9-22 STF#6307 SPC
4PC 12-07-2021 ST005626 SPC</t>
        </r>
      </text>
    </comment>
    <comment ref="H1500" authorId="0" shapeId="0" xr:uid="{4F1B2E8A-72A6-EC42-9EFE-D05F2C235151}">
      <text>
        <r>
          <rPr>
            <sz val="10"/>
            <rFont val="SimSun"/>
            <charset val="134"/>
          </rPr>
          <t>3PCS 9-3-22 STF#1959 SPC
1pc 6-21-22 STF#1833 LIPA A
2PCS 2-2-22 STF#1615 SPC
2PC 12-19-2021 JO#12522 JARVIS</t>
        </r>
      </text>
    </comment>
    <comment ref="G1501" authorId="0" shapeId="0" xr:uid="{BEE9C355-E568-0B49-86A2-020080F69C12}">
      <text>
        <r>
          <rPr>
            <sz val="10"/>
            <rFont val="SimSun"/>
            <charset val="134"/>
          </rPr>
          <t xml:space="preserve">
4PC 12-07-2021 ST005626 SPC</t>
        </r>
      </text>
    </comment>
    <comment ref="H1501" authorId="0" shapeId="0" xr:uid="{7882E87C-A9CA-204D-AC7E-7268BB0E37E4}">
      <text>
        <r>
          <rPr>
            <sz val="10"/>
            <rFont val="SimSun"/>
            <charset val="134"/>
          </rPr>
          <t xml:space="preserve">
2PCS 2-2-22 STF#1615 SPC
2PC 12-19-2021 JO#12522 JARVIS</t>
        </r>
      </text>
    </comment>
    <comment ref="G1502" authorId="0" shapeId="0" xr:uid="{19C9A85B-90BB-044F-B18F-BE7E033079AB}">
      <text>
        <r>
          <rPr>
            <sz val="10"/>
            <rFont val="SimSun"/>
            <charset val="134"/>
          </rPr>
          <t>4PCS 6-9-22 STF#6465 SPC
4PCS 6-2-22 STF#6428 SPC</t>
        </r>
      </text>
    </comment>
    <comment ref="H1502" authorId="0" shapeId="0" xr:uid="{BCBC27ED-93B3-1B4E-82FF-7890D6CA6895}">
      <text>
        <r>
          <rPr>
            <sz val="10"/>
            <rFont val="SimSun"/>
            <charset val="134"/>
          </rPr>
          <t>OUT 6-19-22 JO16125 4PC SALES
OUT 6-7-22 JO#15871 4PC SALES
4PCS 12-2-21 STF#1519 SPC</t>
        </r>
      </text>
    </comment>
    <comment ref="G1503" authorId="0" shapeId="0" xr:uid="{28206A87-7C9E-544C-AA93-A8F0B8308F06}">
      <text>
        <r>
          <rPr>
            <sz val="10"/>
            <rFont val="SimSun"/>
            <charset val="134"/>
          </rPr>
          <t>4PCS 6-17-22 STF#6497 SPC</t>
        </r>
      </text>
    </comment>
    <comment ref="H1503" authorId="0" shapeId="0" xr:uid="{576D4B6B-0EC0-D342-AA99-60008732C2D1}">
      <text>
        <r>
          <rPr>
            <sz val="10"/>
            <rFont val="SimSun"/>
            <charset val="134"/>
          </rPr>
          <t>2PCS 9-1-22 STF#1958 SPC
2PC 7-11-22 JO16615 MARLO</t>
        </r>
      </text>
    </comment>
    <comment ref="G1506" authorId="0" shapeId="0" xr:uid="{10ACDF5A-1615-E744-8680-2B37BD98212E}">
      <text>
        <r>
          <rPr>
            <sz val="10"/>
            <rFont val="SimSun"/>
            <charset val="134"/>
          </rPr>
          <t>4PCS - 10-29-21 STF#5451 SPC</t>
        </r>
      </text>
    </comment>
    <comment ref="H1506" authorId="0" shapeId="0" xr:uid="{1D3134B3-A38E-9B4E-8390-91B620AECA89}">
      <text>
        <r>
          <rPr>
            <sz val="10"/>
            <rFont val="SimSun"/>
            <charset val="134"/>
          </rPr>
          <t>4PCS 11-29-21 STF#1514  SPC</t>
        </r>
      </text>
    </comment>
    <comment ref="G1507" authorId="0" shapeId="0" xr:uid="{1C062DD2-68F2-484D-B8E0-61192657F558}">
      <text>
        <r>
          <rPr>
            <sz val="10"/>
            <rFont val="SimSun"/>
            <charset val="134"/>
          </rPr>
          <t xml:space="preserve">4PC 03-23-2022 ST006097 SPC
</t>
        </r>
      </text>
    </comment>
    <comment ref="G1508" authorId="0" shapeId="0" xr:uid="{2B803E44-3325-1746-8D45-7AD0DD5BE62B}">
      <text>
        <r>
          <rPr>
            <sz val="10"/>
            <rFont val="SimSun"/>
            <charset val="134"/>
          </rPr>
          <t xml:space="preserve">4PC 03-23-2022 ST006097 SPC
</t>
        </r>
      </text>
    </comment>
    <comment ref="H1508" authorId="0" shapeId="0" xr:uid="{6498226A-43BC-AF47-A169-F0786628C948}">
      <text>
        <r>
          <rPr>
            <sz val="10"/>
            <rFont val="SimSun"/>
            <charset val="134"/>
          </rPr>
          <t>4PC 6-2-22 STF#1809 SPC
4PCS 3-29-22 JO#14388 ALY
4PC 11-27-2021 JO#12117 BEL</t>
        </r>
      </text>
    </comment>
    <comment ref="G1509" authorId="0" shapeId="0" xr:uid="{E721C0B8-507A-2448-99BE-88AE8A719600}">
      <text>
        <r>
          <rPr>
            <sz val="10"/>
            <rFont val="SimSun"/>
            <charset val="134"/>
          </rPr>
          <t xml:space="preserve">8PCS 04-05-2022 ST006161 SPC
4PCS 11-29-21 STF#5595 A
4PCS - 11-04-21 STF#5476  SPC </t>
        </r>
      </text>
    </comment>
    <comment ref="H1509" authorId="0" shapeId="0" xr:uid="{74B19DFB-EF79-8245-81DB-B46E2F043F85}">
      <text>
        <r>
          <rPr>
            <sz val="10"/>
            <rFont val="SimSun"/>
            <charset val="134"/>
          </rPr>
          <t>4PCS 11-29-21 JO#12168 JARVIS
4PCS 11-21-21 JO#11966 SALES</t>
        </r>
      </text>
    </comment>
    <comment ref="G1510" authorId="0" shapeId="0" xr:uid="{E9E1DE89-889B-EC41-8871-A38CDC1FFA9A}">
      <text>
        <r>
          <rPr>
            <sz val="10"/>
            <rFont val="SimSun"/>
            <charset val="134"/>
          </rPr>
          <t xml:space="preserve">4PC 03-23-2022 ST006097 SPC
</t>
        </r>
      </text>
    </comment>
    <comment ref="H1510" authorId="0" shapeId="0" xr:uid="{3108B905-AFF5-8D45-8DE3-25BEDFA383CD}">
      <text>
        <r>
          <rPr>
            <sz val="10"/>
            <rFont val="SimSun"/>
            <charset val="134"/>
          </rPr>
          <t>4PCS 5-23-22 JO#15530 SALES
4PCS 5-21-22 STF#1789 SPC
4PCS 12-24-21 STF#1560 SPC</t>
        </r>
      </text>
    </comment>
    <comment ref="H1511" authorId="0" shapeId="0" xr:uid="{7F4B348D-443D-B34A-A453-51F835A961E6}">
      <text>
        <r>
          <rPr>
            <sz val="10"/>
            <rFont val="SimSun"/>
            <charset val="134"/>
          </rPr>
          <t>4PC 6-2-22 STF#1809 SPC</t>
        </r>
      </text>
    </comment>
    <comment ref="H1512" authorId="0" shapeId="0" xr:uid="{71FFCA2D-422A-5A4F-A283-B7053276C798}">
      <text>
        <r>
          <rPr>
            <sz val="10"/>
            <rFont val="SimSun"/>
            <charset val="134"/>
          </rPr>
          <t>4PCS 7-14-22 STF#1875 SPC</t>
        </r>
      </text>
    </comment>
    <comment ref="H1513" authorId="0" shapeId="0" xr:uid="{8C9949AA-4E9F-034D-A80A-1A5DFE4B24C9}">
      <text>
        <r>
          <rPr>
            <sz val="10"/>
            <rFont val="SimSun"/>
            <charset val="134"/>
          </rPr>
          <t>1PC 11-27-21 STF#1508 SPC
1PC 10/30/2021 JO#11538 MARLO</t>
        </r>
      </text>
    </comment>
    <comment ref="G1514" authorId="0" shapeId="0" xr:uid="{62B08152-DBAB-1F4D-8C43-B6253A9F14FF}">
      <text>
        <r>
          <rPr>
            <sz val="10"/>
            <rFont val="SimSun"/>
            <charset val="134"/>
          </rPr>
          <t xml:space="preserve">4PC 03-23-2022 ST006097 SPC
</t>
        </r>
      </text>
    </comment>
    <comment ref="H1514" authorId="0" shapeId="0" xr:uid="{2F75AB65-C66E-C044-80B7-F26F36997E9B}">
      <text>
        <r>
          <rPr>
            <sz val="10"/>
            <rFont val="SimSun"/>
            <charset val="134"/>
          </rPr>
          <t>2PCS 11/02/2021 JO#11553 LIZA</t>
        </r>
      </text>
    </comment>
    <comment ref="H1515" authorId="0" shapeId="0" xr:uid="{65B9C2CB-0756-C248-9B81-66D9699C14BE}">
      <text>
        <r>
          <rPr>
            <sz val="10"/>
            <rFont val="SimSun"/>
            <charset val="134"/>
          </rPr>
          <t>4PC 6-2-22 STF#1809 SPC</t>
        </r>
      </text>
    </comment>
    <comment ref="G1516" authorId="0" shapeId="0" xr:uid="{7B7EB168-6F38-E242-A42F-C329E71D4C8D}">
      <text>
        <r>
          <rPr>
            <sz val="10"/>
            <rFont val="SimSun"/>
            <charset val="134"/>
          </rPr>
          <t xml:space="preserve">4PC 03-31-2022 ST001850 LIPA A
</t>
        </r>
      </text>
    </comment>
    <comment ref="H1516" authorId="0" shapeId="0" xr:uid="{A969D81A-9F2C-614D-979F-3E84B1C81619}">
      <text>
        <r>
          <rPr>
            <sz val="10"/>
            <rFont val="SimSun"/>
            <charset val="134"/>
          </rPr>
          <t xml:space="preserve">4PC 04-07-2022 JO14584 SALES
</t>
        </r>
      </text>
    </comment>
    <comment ref="H1517" authorId="0" shapeId="0" xr:uid="{BE4C2F8E-CAFC-9B4D-B0EF-05A5323067A9}">
      <text>
        <r>
          <rPr>
            <sz val="10"/>
            <rFont val="SimSun"/>
            <charset val="134"/>
          </rPr>
          <t xml:space="preserve">4PC 04-23-2022 JO14846 SALES
</t>
        </r>
      </text>
    </comment>
    <comment ref="G1518" authorId="0" shapeId="0" xr:uid="{70E92C9C-7B76-2247-9531-BE10DA6374E4}">
      <text>
        <r>
          <rPr>
            <sz val="10"/>
            <rFont val="SimSun"/>
            <charset val="134"/>
          </rPr>
          <t>4PCS 5-11-22 STF#1915 LIPA A
1PC 04-25-2022 ST006237 SPC
1PC 04-16-2022 ST001873 LIPA A
4PC 03-25-22 ST006110 SPC</t>
        </r>
      </text>
    </comment>
    <comment ref="H1518" authorId="0" shapeId="0" xr:uid="{416F90A4-9A19-0843-A4DA-FFC04D750836}">
      <text>
        <r>
          <rPr>
            <sz val="10"/>
            <rFont val="SimSun"/>
            <charset val="134"/>
          </rPr>
          <t xml:space="preserve">4PCS 5-26-22 STF#1795 SPC
1PC 04-25-2022 JO14926 SALES
1PC 04-16-2022 JOJO14763 SALES
4PC 04-11-2022 JO14692 SALES
</t>
        </r>
      </text>
    </comment>
    <comment ref="G1519" authorId="0" shapeId="0" xr:uid="{9A376F9F-644B-0148-9D00-489C6C36F81E}">
      <text>
        <r>
          <rPr>
            <sz val="10"/>
            <rFont val="SimSun"/>
            <charset val="134"/>
          </rPr>
          <t>4pcs 4-4-22 stf#1854 lipa a
4PC 03-25-22 ST006110 SPC</t>
        </r>
      </text>
    </comment>
    <comment ref="H1519" authorId="0" shapeId="0" xr:uid="{253B06FD-48D7-ED48-BD74-0A493A2087A9}">
      <text>
        <r>
          <rPr>
            <sz val="10"/>
            <rFont val="SimSun"/>
            <charset val="134"/>
          </rPr>
          <t>4PC 04-04-2022 JO14516 SALES
4PCS 3-29-22 JO#14392 BEL</t>
        </r>
      </text>
    </comment>
    <comment ref="G1520" authorId="0" shapeId="0" xr:uid="{74D51AAF-5BCB-7D48-92E8-FAB36766A600}">
      <text>
        <r>
          <rPr>
            <sz val="10"/>
            <rFont val="SimSun"/>
            <charset val="134"/>
          </rPr>
          <t>4PCS 01-04-22 STF# 1699 A</t>
        </r>
      </text>
    </comment>
    <comment ref="H1520" authorId="0" shapeId="0" xr:uid="{A22417F1-2A64-9D40-986E-C96DEDE16763}">
      <text>
        <r>
          <rPr>
            <sz val="10"/>
            <rFont val="SimSun"/>
            <charset val="134"/>
          </rPr>
          <t xml:space="preserve">
4PCS 1-18-22 STF#1596 SPC
4PCS - 11/04/2021 JO#11621 MARLO</t>
        </r>
      </text>
    </comment>
    <comment ref="G1521" authorId="0" shapeId="0" xr:uid="{05B7E490-138F-F745-860D-244C48560A59}">
      <text>
        <r>
          <rPr>
            <sz val="10"/>
            <rFont val="SimSun"/>
            <charset val="134"/>
          </rPr>
          <t>IN 12-7-21 STF#5626 4PC SPC</t>
        </r>
      </text>
    </comment>
    <comment ref="H1521" authorId="0" shapeId="0" xr:uid="{F13406A6-103C-7E4F-92E3-11B8434234A0}">
      <text>
        <r>
          <rPr>
            <sz val="10"/>
            <rFont val="SimSun"/>
            <charset val="134"/>
          </rPr>
          <t>2PCS 10-28-22 STF#2039 SPC
2PCS 6-17-22 STF#1828 SPC
4PCS - 11/06/2021 JO#11784 JARVIS</t>
        </r>
      </text>
    </comment>
    <comment ref="H1522" authorId="0" shapeId="0" xr:uid="{7FBE97CE-86F3-2B45-9A48-2703D7D4D005}">
      <text>
        <r>
          <rPr>
            <sz val="10"/>
            <rFont val="SimSun"/>
            <charset val="134"/>
          </rPr>
          <t>2PC 9-6-22 JO17913 MARLO
1PC 05-03-2022 ST001764 SPC</t>
        </r>
      </text>
    </comment>
    <comment ref="G1523" authorId="0" shapeId="0" xr:uid="{F9C1C79D-CEA9-5A47-9088-B85435E53B40}">
      <text>
        <r>
          <rPr>
            <sz val="10"/>
            <rFont val="SimSun"/>
            <charset val="134"/>
          </rPr>
          <t>4PCS 9-22-22 STF#6962 SPC
4PC 02-25-2022 ST005974 SPC</t>
        </r>
      </text>
    </comment>
    <comment ref="H1523" authorId="0" shapeId="0" xr:uid="{5086F63A-F240-3B43-A2BE-5F48A3484C24}">
      <text>
        <r>
          <rPr>
            <sz val="10"/>
            <rFont val="SimSun"/>
            <charset val="134"/>
          </rPr>
          <t xml:space="preserve">4PC 10-24-22 JO18969 JARVIS
1PC 4-21-22 STF#1740 SPC
3PC 03-23-2022 JO14246  SALES
</t>
        </r>
      </text>
    </comment>
    <comment ref="G1524" authorId="0" shapeId="0" xr:uid="{F75D1451-48D7-0A4F-8AB8-AC2035F78B8C}">
      <text>
        <r>
          <rPr>
            <sz val="10"/>
            <rFont val="SimSun"/>
            <charset val="134"/>
          </rPr>
          <t>1PC 8-13-22 STF#6775 SPC
2PCS 6-27-22 STF#6547 SPC
4PC 03-30-2022 ST006127 SPC</t>
        </r>
      </text>
    </comment>
    <comment ref="H1524" authorId="0" shapeId="0" xr:uid="{32865346-B2BA-C24F-92E3-450308E4779A}">
      <text>
        <r>
          <rPr>
            <sz val="10"/>
            <rFont val="SimSun"/>
            <charset val="134"/>
          </rPr>
          <t>1pc 8-14-22 jo#17347 company vehicle
2PC 7-4-22 STF#1855 SPC
1PC 04-21-2022 ST001740 SPC</t>
        </r>
      </text>
    </comment>
    <comment ref="G1525" authorId="0" shapeId="0" xr:uid="{C42A03AA-9270-D640-B34E-EA0AAC4A0DAF}">
      <text>
        <r>
          <rPr>
            <sz val="10"/>
            <rFont val="SimSun"/>
            <charset val="134"/>
          </rPr>
          <t>4PC 03-30-2022 ST006127 SPC</t>
        </r>
      </text>
    </comment>
    <comment ref="H1525" authorId="0" shapeId="0" xr:uid="{F16087E4-5133-3848-8FC1-B1CFF3E34B5F}">
      <text>
        <r>
          <rPr>
            <sz val="10"/>
            <rFont val="SimSun"/>
            <charset val="134"/>
          </rPr>
          <t>2PCS 6-15-22 STF#1822 SPC
2 PC 6-10-22 JO15896 SALES</t>
        </r>
      </text>
    </comment>
    <comment ref="G1526" authorId="0" shapeId="0" xr:uid="{6878BD79-1805-2643-8734-2B8ECBF9E731}">
      <text>
        <r>
          <rPr>
            <sz val="10"/>
            <rFont val="SimSun"/>
            <charset val="134"/>
          </rPr>
          <t>4PCS 11-3-22 STF#7192 SPC
4PCS 3/30/22 ST006127 spc
2PC 03-24-2022 ST001838 LIPA A
2PC 3-15-22 STF#6066 SPC
4PC 02-25-2022 ST005974 SPC</t>
        </r>
      </text>
    </comment>
    <comment ref="H1526" authorId="0" shapeId="0" xr:uid="{EA68FF29-F3C3-EB4B-9EA3-A9BD0456BFC5}">
      <text>
        <r>
          <rPr>
            <sz val="10"/>
            <rFont val="SimSun"/>
            <charset val="134"/>
          </rPr>
          <t xml:space="preserve">2PCS 11-24-22 JO#19723 JARVIS
4PCS 11-17-22 STF#2073 SPC
2PC 10-02-22 JO18450 JARVIS
2PCS 03-30-22 ST001698 SPC
2PCS 3-28-22 JO#14383 BEL
2PC 03-22-2022 JO14225 SALES
2PC 03-05-2022 ST1660 LIPA A
</t>
        </r>
      </text>
    </comment>
    <comment ref="G1527" authorId="0" shapeId="0" xr:uid="{14ACA45E-004C-334B-8E71-A25F9F78A43A}">
      <text>
        <r>
          <rPr>
            <sz val="10"/>
            <rFont val="SimSun"/>
            <charset val="134"/>
          </rPr>
          <t>4PC 02-25-2022 ST005974 SPC</t>
        </r>
      </text>
    </comment>
    <comment ref="H1527" authorId="0" shapeId="0" xr:uid="{820B93DB-599B-3440-A0B2-FD8CEADB813C}">
      <text>
        <r>
          <rPr>
            <sz val="10"/>
            <rFont val="SimSun"/>
            <charset val="134"/>
          </rPr>
          <t xml:space="preserve">4PC 04-25-2022 JO14927 SALES
</t>
        </r>
      </text>
    </comment>
    <comment ref="G1528" authorId="0" shapeId="0" xr:uid="{15EA95D6-C866-F646-BCB1-9977D8E88083}">
      <text>
        <r>
          <rPr>
            <sz val="10"/>
            <rFont val="SimSun"/>
            <charset val="134"/>
          </rPr>
          <t>4PCS 6-9-22 STF#6465 SPC</t>
        </r>
      </text>
    </comment>
    <comment ref="H1528" authorId="0" shapeId="0" xr:uid="{A8F6CB13-4D58-5941-B428-026E08C3582E}">
      <text>
        <r>
          <rPr>
            <sz val="10"/>
            <rFont val="SimSun"/>
            <charset val="134"/>
          </rPr>
          <t>4PCS 7-23-22 JO#16897 SALES</t>
        </r>
      </text>
    </comment>
    <comment ref="G1530" authorId="0" shapeId="0" xr:uid="{80C68E14-C2C9-0B48-B059-2DB4CF70445D}">
      <text>
        <r>
          <rPr>
            <sz val="10"/>
            <rFont val="SimSun"/>
            <charset val="134"/>
          </rPr>
          <t xml:space="preserve">4PCS 6-22-22 STF#6519 SPC
2PC 04-22-22 ST006231 SPC
4PC 03-14-2022 ST006060 SPC
</t>
        </r>
      </text>
    </comment>
    <comment ref="H1530" authorId="0" shapeId="0" xr:uid="{20445048-5B4F-1E4E-BB4E-1748E1F35F3F}">
      <text>
        <r>
          <rPr>
            <sz val="10"/>
            <rFont val="SimSun"/>
            <charset val="134"/>
          </rPr>
          <t>4PCS 7-18-22 STF#1879 SPC
4PC 04-10-22 JO14616 SALES
2PC 03-19-2022 JO14211 JARVIS</t>
        </r>
      </text>
    </comment>
    <comment ref="G1531" authorId="0" shapeId="0" xr:uid="{621090CF-87C2-5840-B151-DB27489B8AB0}">
      <text>
        <r>
          <rPr>
            <sz val="10"/>
            <rFont val="SimSun"/>
            <charset val="134"/>
          </rPr>
          <t>2PCS 6-9-22 STf#6470 SPC
4PC 02-25-2022 ST005974 SPC</t>
        </r>
      </text>
    </comment>
    <comment ref="H1531" authorId="0" shapeId="0" xr:uid="{B2F2EC76-FFD1-F24E-A61C-8BBE2E03686B}">
      <text>
        <r>
          <rPr>
            <sz val="10"/>
            <rFont val="SimSun"/>
            <charset val="134"/>
          </rPr>
          <t xml:space="preserve">2pcs 6-10-22 STF#1816 SPC
4PC 03-23-2022 JO14301 SALES
</t>
        </r>
      </text>
    </comment>
    <comment ref="G1534" authorId="0" shapeId="0" xr:uid="{6E39B7C1-F1BA-E945-8883-0752D8A3FDC2}">
      <text>
        <r>
          <rPr>
            <sz val="10"/>
            <rFont val="SimSun"/>
            <charset val="134"/>
          </rPr>
          <t>4PC 02-25-2022 ST005974 SPC</t>
        </r>
      </text>
    </comment>
    <comment ref="H1534" authorId="0" shapeId="0" xr:uid="{FF54FAAF-145A-F846-A6EF-B56227AB40B0}">
      <text>
        <r>
          <rPr>
            <sz val="10"/>
            <rFont val="SimSun"/>
            <charset val="134"/>
          </rPr>
          <t xml:space="preserve">4PC 04-04-2022  JO14531 SALES
</t>
        </r>
      </text>
    </comment>
    <comment ref="G1535" authorId="0" shapeId="0" xr:uid="{1456B02B-7AA1-2543-A9B6-908FA28599BC}">
      <text>
        <r>
          <rPr>
            <sz val="10"/>
            <rFont val="SimSun"/>
            <charset val="134"/>
          </rPr>
          <t>4pcs 8-25-22 STF#6832 SPC
4PCS 7-26-22 STF#6695 SPC</t>
        </r>
      </text>
    </comment>
    <comment ref="H1535" authorId="0" shapeId="0" xr:uid="{62B3243C-E491-444D-A593-FC04310CAAD7}">
      <text>
        <r>
          <rPr>
            <sz val="10"/>
            <rFont val="SimSun"/>
            <charset val="134"/>
          </rPr>
          <t>3PCS 11-17-22 STF#2073 SPC
1PC 9-20-22 STF#1981 SPC
4PC 8-24-22 STF#1942 SPC</t>
        </r>
      </text>
    </comment>
    <comment ref="G1537" authorId="0" shapeId="0" xr:uid="{6C97C2DC-BF65-EF46-8510-706F260F3680}">
      <text>
        <r>
          <rPr>
            <sz val="10"/>
            <rFont val="SimSun"/>
            <charset val="134"/>
          </rPr>
          <t>1PC 04-02-22 ST006154 SPC
4PC 03-23-2022 ST006097 SPC
4PC 03-19-2022 ST001833 LIPA A
4PC 02-25-2022 ST005974 SPC</t>
        </r>
      </text>
    </comment>
    <comment ref="H1537" authorId="0" shapeId="0" xr:uid="{91EE2458-1DE9-8D45-8B33-88D3B38A5C1D}">
      <text>
        <r>
          <rPr>
            <sz val="10"/>
            <rFont val="SimSun"/>
            <charset val="134"/>
          </rPr>
          <t xml:space="preserve">4PC 04-02-2022 JO14488 SALES
1PC 03-25-22 ST001693 SPC
4PC 03-19-2022 JO14195 SALES
4PC 03.-05-2022 JO13887 SALES
</t>
        </r>
      </text>
    </comment>
    <comment ref="G1538" authorId="0" shapeId="0" xr:uid="{6DF5E878-325A-9846-A86B-FE073424CF66}">
      <text>
        <r>
          <rPr>
            <sz val="10"/>
            <rFont val="SimSun"/>
            <charset val="134"/>
          </rPr>
          <t>IN 2PCS 9.9.25 DR#387524 SHEEHAN</t>
        </r>
      </text>
    </comment>
    <comment ref="H1538" authorId="0" shapeId="0" xr:uid="{F89349FF-8BCA-B74D-B09C-ABCE99DCD9AE}">
      <text>
        <r>
          <rPr>
            <sz val="10"/>
            <rFont val="SimSun"/>
            <charset val="134"/>
          </rPr>
          <t xml:space="preserve">9-9-25
2 PCS 50378 JARVIS
</t>
        </r>
      </text>
    </comment>
    <comment ref="G1539" authorId="0" shapeId="0" xr:uid="{101FA609-544B-8749-BAFD-0DB5C2BC90BD}">
      <text>
        <r>
          <rPr>
            <sz val="10"/>
            <rFont val="SimSun"/>
            <charset val="134"/>
          </rPr>
          <t>4PC 03-11-2022 ST006047 SPC</t>
        </r>
      </text>
    </comment>
    <comment ref="H1539" authorId="0" shapeId="0" xr:uid="{0AE6A12E-BE40-A54F-84A8-A15759FBC8DE}">
      <text>
        <r>
          <rPr>
            <sz val="10"/>
            <rFont val="SimSun"/>
            <charset val="134"/>
          </rPr>
          <t>4PC 03-11-2022 JO14040 JARVIS</t>
        </r>
      </text>
    </comment>
    <comment ref="G1542" authorId="0" shapeId="0" xr:uid="{3A1D879C-4F9C-EE40-90C0-473848392D32}">
      <text>
        <r>
          <rPr>
            <sz val="10"/>
            <rFont val="SimSun"/>
            <charset val="134"/>
          </rPr>
          <t>4PCS 6-9-22 STF#6465 SPC</t>
        </r>
      </text>
    </comment>
    <comment ref="H1542" authorId="0" shapeId="0" xr:uid="{9C89B913-95E6-2544-BA90-7A71BE31CD32}">
      <text>
        <r>
          <rPr>
            <sz val="10"/>
            <rFont val="SimSun"/>
            <charset val="134"/>
          </rPr>
          <t>4PCS 7-18-22 STF#1879 SPC</t>
        </r>
      </text>
    </comment>
    <comment ref="G1543" authorId="0" shapeId="0" xr:uid="{9B222F57-FFCE-0441-946E-E8677DB63CA2}">
      <text>
        <r>
          <rPr>
            <sz val="10"/>
            <rFont val="SimSun"/>
            <charset val="134"/>
          </rPr>
          <t>4PCS 9-22-22 STF#6962 SPC</t>
        </r>
      </text>
    </comment>
    <comment ref="H1543" authorId="0" shapeId="0" xr:uid="{EFB1F0DF-CFBD-0541-9F0F-4D2519030C7B}">
      <text>
        <r>
          <rPr>
            <sz val="10"/>
            <rFont val="SimSun"/>
            <charset val="134"/>
          </rPr>
          <t>4PC 10-14-22 JO18710 MARLO</t>
        </r>
      </text>
    </comment>
    <comment ref="G1545" authorId="0" shapeId="0" xr:uid="{D1E54625-EA99-664F-A9D7-D1451724A334}">
      <text>
        <r>
          <rPr>
            <sz val="10"/>
            <rFont val="SimSun"/>
            <charset val="134"/>
          </rPr>
          <t>IN 4PCS 02.23.26 DR80744 SPC ROI</t>
        </r>
      </text>
    </comment>
    <comment ref="G1546" authorId="0" shapeId="0" xr:uid="{BC22C898-007F-064C-BCDD-10D437E4F6B6}">
      <text>
        <r>
          <rPr>
            <sz val="10"/>
            <rFont val="SimSun"/>
            <charset val="134"/>
          </rPr>
          <t xml:space="preserve">IN 4PCS 02.26.26 DR80774 SPC RONNIE
</t>
        </r>
      </text>
    </comment>
    <comment ref="G1547" authorId="0" shapeId="0" xr:uid="{24C34A38-AE83-944D-A29E-4155B51CD96A}">
      <text>
        <r>
          <rPr>
            <sz val="10"/>
            <rFont val="SimSun"/>
            <charset val="134"/>
          </rPr>
          <t>IN 4PCS 02.23.26 DR80744 SPC ROI</t>
        </r>
      </text>
    </comment>
    <comment ref="H1547" authorId="0" shapeId="0" xr:uid="{DE060FC1-32AC-094F-BAA2-F6F025FFFECD}">
      <text>
        <r>
          <rPr>
            <sz val="10"/>
            <rFont val="SimSun"/>
            <charset val="134"/>
          </rPr>
          <t>OUT 4PCS 03.04.26 DR80888 SPC HACKET</t>
        </r>
      </text>
    </comment>
    <comment ref="G1549" authorId="0" shapeId="0" xr:uid="{C95E3906-0DDE-4A4B-873D-5B110FAA5292}">
      <text>
        <r>
          <rPr>
            <sz val="10"/>
            <rFont val="SimSun"/>
            <charset val="134"/>
          </rPr>
          <t xml:space="preserve">IN 4PCS 02.26.26 DR80774 SPC RONNIE
</t>
        </r>
      </text>
    </comment>
    <comment ref="H1549" authorId="0" shapeId="0" xr:uid="{78E97F60-1205-E14A-9EDF-48C7FE7CF4DA}">
      <text>
        <r>
          <rPr>
            <sz val="10"/>
            <rFont val="SimSun"/>
            <charset val="134"/>
          </rPr>
          <t>OUT 4PCS 03.02.26 DR80883 SPC SERVICE</t>
        </r>
      </text>
    </comment>
    <comment ref="G1550" authorId="0" shapeId="0" xr:uid="{FE6C4076-BAFD-7944-9AF2-AA69E5A7A1DF}">
      <text>
        <r>
          <rPr>
            <sz val="10"/>
            <rFont val="SimSun"/>
            <charset val="134"/>
          </rPr>
          <t xml:space="preserve">IN 4PCS 02.26.26 DR80774 SPC RONNIE
</t>
        </r>
      </text>
    </comment>
    <comment ref="G1551" authorId="0" shapeId="0" xr:uid="{A295838C-FD05-4E46-B355-EFE19A177626}">
      <text>
        <r>
          <rPr>
            <sz val="10"/>
            <rFont val="SimSun"/>
            <charset val="134"/>
          </rPr>
          <t>IN 4PCS 02.21.26 DR80771 SPC BOYONG</t>
        </r>
      </text>
    </comment>
    <comment ref="G1552" authorId="0" shapeId="0" xr:uid="{C9BDF560-AF74-4C42-BA59-12027AE1D6DE}">
      <text>
        <r>
          <rPr>
            <sz val="10"/>
            <rFont val="SimSun"/>
            <charset val="134"/>
          </rPr>
          <t>IN 4PCS 02.21.26 DR80771 SPC BOYONG</t>
        </r>
      </text>
    </comment>
    <comment ref="G1554" authorId="0" shapeId="0" xr:uid="{2120192B-D0DD-5944-8B53-7309E0EBCA31}">
      <text>
        <r>
          <rPr>
            <sz val="10"/>
            <rFont val="SimSun"/>
            <charset val="134"/>
          </rPr>
          <t>IN 4PCS 02.26.26 DR80774 SPC RONNIE
IN 20PCS 11.11.25 DR#46998 TYREMART (9,724)</t>
        </r>
      </text>
    </comment>
    <comment ref="H1554" authorId="0" shapeId="0" xr:uid="{79F01C7E-D122-6945-A302-407C6C47F4E7}">
      <text>
        <r>
          <rPr>
            <sz val="10"/>
            <rFont val="SimSun"/>
            <charset val="134"/>
          </rPr>
          <t xml:space="preserve">02.01.26
54691 4PCS JARVIS
OUT 4PCS 01.24.26 DR80221 LIPA A
OUT 12PCS 11.11.25 DR#80009 SPC HACKET
</t>
        </r>
      </text>
    </comment>
    <comment ref="G1555" authorId="0" shapeId="0" xr:uid="{440A25C5-ED70-F447-87AE-D468EF8739DC}">
      <text>
        <r>
          <rPr>
            <sz val="10"/>
            <rFont val="SimSun"/>
            <charset val="134"/>
          </rPr>
          <t>IN 2PCS 4.15.25 DR#64252 TYREMART
IN 4PCS 08/17/24 SI#45381 BCC</t>
        </r>
      </text>
    </comment>
    <comment ref="H1555" authorId="0" shapeId="0" xr:uid="{1DE85866-B5B3-B248-B242-4A516F56B952}">
      <text>
        <r>
          <rPr>
            <sz val="10"/>
            <rFont val="SimSun"/>
            <charset val="134"/>
          </rPr>
          <t xml:space="preserve">4.19.25
45321 2PCS MARLO
08/19/24
36821 4PCS SALES DAHLIA
</t>
        </r>
      </text>
    </comment>
    <comment ref="G1556" authorId="0" shapeId="0" xr:uid="{420879FE-63D2-DD4C-B74F-E037C40B80D3}">
      <text>
        <r>
          <rPr>
            <sz val="10"/>
            <rFont val="SimSun"/>
            <charset val="134"/>
          </rPr>
          <t>IN 2PCS 02.18.26 DR80252 LIPA A
IN 30PCS 11.11.25 DR#46998 TYREMART (9,724)
IN 1PC 10.25.25 DR#2442 GUDA
4PCS 4.30.25 DR#36713 MINERVA (10,800)
8PCS 4.22.25 DR#2024 GUDA (10,600)</t>
        </r>
      </text>
    </comment>
    <comment ref="H1556" authorId="0" shapeId="0" xr:uid="{DA117250-0FA3-5F48-A5B9-21B2FC92F8A2}">
      <text>
        <r>
          <rPr>
            <sz val="10"/>
            <rFont val="SimSun"/>
            <charset val="134"/>
          </rPr>
          <t>OUT 4PCS 03.02.26 DR80882 SPC LALAMOVE
02.18.26
55292 4PCS JARVIS
02.10.26
55053 4PCS JARVIS
12-9-25
4 PCS 53058 JARVIS
OUT 4PCS 11.11.25 DR#80010 LIPA A BRY
OUT 12PCS 11.11.25 DR#80009 SPC HACKET
10-24-25
1 PC 51702 MARIBEL
5-1-25
4 PCS 45908 MARIBEL
4-22-25
4 PCS 45463 ALY
4-23-25
4 PCS 45465 ALY</t>
        </r>
      </text>
    </comment>
    <comment ref="G1557" authorId="0" shapeId="0" xr:uid="{3675A47D-1E94-2B42-8B95-FE767A74E75A}">
      <text>
        <r>
          <rPr>
            <sz val="10"/>
            <rFont val="SimSun"/>
            <charset val="134"/>
          </rPr>
          <t>IN 5PCS SI#2606 TYREMART</t>
        </r>
      </text>
    </comment>
    <comment ref="H1557" authorId="0" shapeId="0" xr:uid="{D12E573C-BB69-BF44-A0B7-E4CA7E507AA9}">
      <text>
        <r>
          <rPr>
            <sz val="10"/>
            <rFont val="SimSun"/>
            <charset val="134"/>
          </rPr>
          <t>3-29-25
5 PCS OUT JO44677 ALY</t>
        </r>
      </text>
    </comment>
    <comment ref="H1558" authorId="0" shapeId="0" xr:uid="{54BCC986-11D5-944F-BF2C-D5A92B8AEECF}">
      <text>
        <r>
          <rPr>
            <sz val="10"/>
            <rFont val="SimSun"/>
            <charset val="134"/>
          </rPr>
          <t xml:space="preserve">
</t>
        </r>
      </text>
    </comment>
    <comment ref="G1559" authorId="0" shapeId="0" xr:uid="{821FF831-6BF0-0747-B8C6-74302D7B4EC6}">
      <text>
        <r>
          <rPr>
            <sz val="10"/>
            <rFont val="SimSun"/>
            <charset val="134"/>
          </rPr>
          <t>IN 4PCS 6.27.25 DR#0003146 TYREMART (10,773)
IN 4PCS 6.26.25 DR#0003137 TYREMART (10,773)</t>
        </r>
      </text>
    </comment>
    <comment ref="H1559" authorId="0" shapeId="0" xr:uid="{596A62B7-E64D-7043-8BD7-2ACD2CF4A4EA}">
      <text>
        <r>
          <rPr>
            <sz val="10"/>
            <rFont val="SimSun"/>
            <charset val="134"/>
          </rPr>
          <t xml:space="preserve">6-28-25
4 PCS 48036 ALY
6-26-25
4 PCS 48022 MARLO
</t>
        </r>
      </text>
    </comment>
    <comment ref="G1562" authorId="0" shapeId="0" xr:uid="{5FA8C245-84AA-6C48-BB4D-4B6BFBFE4E83}">
      <text>
        <r>
          <rPr>
            <sz val="10"/>
            <rFont val="SimSun"/>
            <charset val="134"/>
          </rPr>
          <t>IN 2PCS 9.30.25 DR#46579 ARMSTRONG</t>
        </r>
      </text>
    </comment>
    <comment ref="H1562" authorId="0" shapeId="0" xr:uid="{979566AB-1338-5A48-A6A5-FF06890CFA1F}">
      <text>
        <r>
          <rPr>
            <sz val="10"/>
            <rFont val="SimSun"/>
            <charset val="134"/>
          </rPr>
          <t xml:space="preserve">10-1-25
2 PCS 50717 HANNA
</t>
        </r>
      </text>
    </comment>
    <comment ref="G1565" authorId="0" shapeId="0" xr:uid="{2EB74153-105C-EF45-A0BF-56ACCB12969D}">
      <text>
        <r>
          <rPr>
            <sz val="10"/>
            <rFont val="SimSun"/>
            <charset val="134"/>
          </rPr>
          <t>2PCS 6-30-22 STF#6561 SPC
2PCS 6-22-22 STF#6519 SPC
4PCS 6-9-22 STF#6465 SPC</t>
        </r>
      </text>
    </comment>
    <comment ref="H1565" authorId="0" shapeId="0" xr:uid="{A35387EE-D7B4-844F-BCE1-1CC20B06631B}">
      <text>
        <r>
          <rPr>
            <sz val="10"/>
            <rFont val="SimSun"/>
            <charset val="134"/>
          </rPr>
          <t xml:space="preserve">4PCS 7-9-22 STF#1870 SPC
2PC 6-28-22 JO16295 PAUL
2PCS 6-17-22 STF#1828 SPC
</t>
        </r>
      </text>
    </comment>
    <comment ref="G1566" authorId="0" shapeId="0" xr:uid="{74096607-D80D-7548-A0B8-1F7549C0E1C5}">
      <text>
        <r>
          <rPr>
            <sz val="10"/>
            <rFont val="SimSun"/>
            <charset val="134"/>
          </rPr>
          <t>1PC 8-13-22 STF#772 STC
4PCS 6-9-22 STF#6465 SPC</t>
        </r>
      </text>
    </comment>
    <comment ref="H1566" authorId="0" shapeId="0" xr:uid="{8F185ABC-A06E-3F47-8335-BDD1921B1DF7}">
      <text>
        <r>
          <rPr>
            <sz val="10"/>
            <rFont val="SimSun"/>
            <charset val="134"/>
          </rPr>
          <t>1pc 8-14-22 jo#17347 company vehicle
4PC 8-12-22 JO17287 JARVIS</t>
        </r>
      </text>
    </comment>
    <comment ref="G1567" authorId="0" shapeId="0" xr:uid="{78E09804-5130-834F-B194-A9C56E6079E5}">
      <text>
        <r>
          <rPr>
            <sz val="10"/>
            <rFont val="SimSun"/>
            <charset val="134"/>
          </rPr>
          <t>4PCS 6-9-22 STF#6465 SPC</t>
        </r>
      </text>
    </comment>
    <comment ref="H1567" authorId="0" shapeId="0" xr:uid="{682484B8-23E8-1248-8F56-2B6831AE3328}">
      <text>
        <r>
          <rPr>
            <sz val="10"/>
            <rFont val="SimSun"/>
            <charset val="134"/>
          </rPr>
          <t>2PCS 9-22-22 JO#18128 SALES
1PC 7-29-22 JO17014 PAUL
1PC 7-11-22 STF#1871 SPC</t>
        </r>
      </text>
    </comment>
    <comment ref="G1568" authorId="0" shapeId="0" xr:uid="{58808373-EBB6-BE43-8411-8E285BF126CB}">
      <text>
        <r>
          <rPr>
            <sz val="10"/>
            <rFont val="SimSun"/>
            <charset val="134"/>
          </rPr>
          <t>4PCS 6-9-22 STF#6465 SPC</t>
        </r>
      </text>
    </comment>
    <comment ref="H1568" authorId="0" shapeId="0" xr:uid="{3BFF3A5B-CDF4-2C4B-813C-B27A5499B7DA}">
      <text>
        <r>
          <rPr>
            <sz val="10"/>
            <rFont val="SimSun"/>
            <charset val="134"/>
          </rPr>
          <t>4PCS 7-27-22 STF#1894 SPC</t>
        </r>
      </text>
    </comment>
    <comment ref="G1569" authorId="0" shapeId="0" xr:uid="{4FFB18F5-7166-CF44-BF08-F91C9CCDBA35}">
      <text>
        <r>
          <rPr>
            <sz val="10"/>
            <rFont val="SimSun"/>
            <charset val="134"/>
          </rPr>
          <t>5PCS 7-6-22 STF#6587 SPC</t>
        </r>
      </text>
    </comment>
    <comment ref="H1569" authorId="0" shapeId="0" xr:uid="{8CD39101-B863-844B-A068-419DCC548C04}">
      <text>
        <r>
          <rPr>
            <sz val="10"/>
            <rFont val="SimSun"/>
            <charset val="134"/>
          </rPr>
          <t>4PCS 8-15-22 STF#1922 SPC
1PC 7-8-22 ST001868 SPC</t>
        </r>
      </text>
    </comment>
    <comment ref="G1572" authorId="0" shapeId="0" xr:uid="{5ED0DE9E-C2A8-B44B-BE2A-F7BFE395C02A}">
      <text>
        <r>
          <rPr>
            <sz val="10"/>
            <rFont val="SimSun"/>
            <charset val="134"/>
          </rPr>
          <t>IN 1PC  02.25.26 DR80261 LIPA A
IN 8PCS 01.30.26 DR162117 DRAKESTER
IN 1PC 01.18.26 DR79981 SPC
IN 3PCS 01.06.26 DR79948-49 SPC ROBIN
IN 4PCS 12.20.25 DR#80309 SNV ROBIN
IN 3PCS 12.19.25 DR#78695 LIPA A
IN 1PC 12.19.25 DR#79749 SPC LALAMOVE
IN 1PC 12.15.25 DR#78690 LIPA A
IN 4PCS 11.21.25 DR#147989 DRAKESTER (25)
IN 8PCS 10.20.25 DR#141307 DRAKESTER
IN 4PCS 10.18.25 DR#141160 DRAKESTER</t>
        </r>
      </text>
    </comment>
    <comment ref="H1572" authorId="0" shapeId="0" xr:uid="{73EECC05-3ACA-D843-89FA-5348B9936B6C}">
      <text>
        <r>
          <rPr>
            <sz val="10"/>
            <rFont val="SimSun"/>
            <charset val="134"/>
          </rPr>
          <t>02.26.26
55473 5PCS JARVIS
02.14.26
51559 4pcs jarvis
01.19.26
54338 4PCS JARVIS
1-6-26
4PCS OUT 53904 JARVIS
12.19.25
53387 4PCS BEL
12-15-25
5 PCS OUT 53239 MARLO
OUT 4PCS 11.11.25 DR#80011 SPC SERVCE
10-25-25
4 PCS 51774 JARVIS
OUT 4PCS 10.22.25 DR#79777 SPC ROBIN</t>
        </r>
      </text>
    </comment>
    <comment ref="G1573" authorId="0" shapeId="0" xr:uid="{200D21FF-BC64-EC44-AB02-673B0B06B74E}">
      <text>
        <r>
          <rPr>
            <sz val="10"/>
            <rFont val="SimSun"/>
            <charset val="134"/>
          </rPr>
          <t>IN 4PCS 11.21.25 DR#147989 DRAKESTER (25)
IN 4PCS 5.9.25 DR#77716 SPC RO
IN 4PCS 3.28.25 DR#77371 SPC HACKET
3.24.25 1PC BINAN ST002497
IN 3PCS 3.24.25 DR#77446 SPC MIKE
IN 4PCS DR#77090 12.03.25 SPC SERVICE
IN 1PC DR#77413 12.03.25 SPC SERVICE
IN 4PCS 1-15-25 DR#88601 DRAKESTER</t>
        </r>
      </text>
    </comment>
    <comment ref="H1573" authorId="0" shapeId="0" xr:uid="{2D04A6BE-DB21-8E40-987E-BE8FEBBB289D}">
      <text>
        <r>
          <rPr>
            <sz val="10"/>
            <rFont val="SimSun"/>
            <charset val="134"/>
          </rPr>
          <t>9-30-25
2 PCS 50967 MARLO
9-4-25
2 PCS 50241 MARIBEL
OUT 4PCS 4.8.25 DR#77568 SPC
EMMAN
3.25.25
44551 4PCS ALY
3.24.25
43940 4PCS JARVIS
43940 1PCS JARVIS
4 PCS OUT 3-4-25 JO43613 ALY</t>
        </r>
      </text>
    </comment>
    <comment ref="G1574" authorId="0" shapeId="0" xr:uid="{C6ED3496-450C-FF48-8681-8A13D740D21A}">
      <text>
        <r>
          <rPr>
            <sz val="10"/>
            <rFont val="SimSun"/>
            <charset val="134"/>
          </rPr>
          <t>IN 4PCS 11.21.25 DR#147989 DRAKESTER (25)
IN 4PCS 9.22.25 DR#135338 DRAKESTER
IN 4PCS 5.3.25 DR#107710 DRAKESTER 
IN 4PCS 1-30-25 DR#091423 DRAKESTER</t>
        </r>
      </text>
    </comment>
    <comment ref="H1574" authorId="0" shapeId="0" xr:uid="{3ECCA472-0322-F44E-9CD4-92F9A0E531D3}">
      <text>
        <r>
          <rPr>
            <sz val="10"/>
            <rFont val="SimSun"/>
            <charset val="134"/>
          </rPr>
          <t>11.17.25
52399 4PCS JARVIS
8.21.25
49864 4PCS BEL
4-14-25
4 PCS OUT JO45335 JARVIS</t>
        </r>
      </text>
    </comment>
    <comment ref="G1575" authorId="0" shapeId="0" xr:uid="{2BC25DAE-4FF2-D849-9D25-D6214A5BF884}">
      <text>
        <r>
          <rPr>
            <sz val="10"/>
            <rFont val="SimSun"/>
            <charset val="134"/>
          </rPr>
          <t>IN 12PCS 03.03.26 DR80785 SPC HACKET
IN 4PCS 03.01.26 DR80780 SPC HACKET
IN 4PCS 02.23.26 DR#79147 STC</t>
        </r>
      </text>
    </comment>
    <comment ref="H1575" authorId="0" shapeId="0" xr:uid="{720D8435-A954-A04F-9119-6672C3034337}">
      <text>
        <r>
          <rPr>
            <sz val="10"/>
            <rFont val="SimSun"/>
            <charset val="134"/>
          </rPr>
          <t xml:space="preserve">03.02.26
55622 4PCS ALY
02.24.26
55427 4PCS BEL
02.11.26
55074 4PCS BEL
12-20-25
4 PCS 53434 ALY
12-6-25
4 PCS 53014 JARVIS
7.5.25
48425 4PCS JARVIS
3.15.25
44117 4PCS ALY
4PCS OUT 2-15-25 JO42946 ALY
</t>
        </r>
      </text>
    </comment>
    <comment ref="G1576" authorId="0" shapeId="0" xr:uid="{895534A4-6CA4-2F44-AB37-002E46946881}">
      <text>
        <r>
          <rPr>
            <sz val="10"/>
            <rFont val="SimSun"/>
            <charset val="134"/>
          </rPr>
          <t xml:space="preserve">
4PCS 4-25-25 DR78008 LIPA A
IN 4PCS 1-15-25 DR#88601 DRAKESTER</t>
        </r>
      </text>
    </comment>
    <comment ref="H1576" authorId="0" shapeId="0" xr:uid="{4A787688-D513-A84C-B867-3E0E823E90DE}">
      <text>
        <r>
          <rPr>
            <sz val="10"/>
            <rFont val="SimSun"/>
            <charset val="134"/>
          </rPr>
          <t xml:space="preserve">5-28-25
4 PCS 46901 MAM JEN
OUT 4PCS 5.9.25 DR#77641 SPC ROI
</t>
        </r>
      </text>
    </comment>
    <comment ref="G1577" authorId="0" shapeId="0" xr:uid="{11884D9A-5EF6-054C-AAC4-E197F618EED7}">
      <text>
        <r>
          <rPr>
            <sz val="10"/>
            <rFont val="SimSun"/>
            <charset val="134"/>
          </rPr>
          <t>IN 4PCS 11.21.25 DR#147989 DRAKESTER (25)
IN 4PCS 8.12.25 DR#12709 DRAKESTER 
IN 8PCS 8.12.25 DR#12710 DRAKESTER 
IN 4PCS 5.31.25 DR#75786 STC
IN 4PCS 2.21.25 DR#095108 DRAKESTER
IN 4PCS 2.18.25 DR#77025 SPC
IN 4PCS 1-30-25 DR#091423 DRAKESTER</t>
        </r>
      </text>
    </comment>
    <comment ref="H1577" authorId="0" shapeId="0" xr:uid="{914A2D68-6F94-8042-8A79-FA501B27C6DD}">
      <text>
        <r>
          <rPr>
            <sz val="10"/>
            <rFont val="SimSun"/>
            <charset val="134"/>
          </rPr>
          <t xml:space="preserve">01.19.26
54319 4PCS JEN
12.27.25
53627 4PCS ALY
OUT 4PCS 8.13.25 DR#78404 SPC
OUT 4PCS 8.13.25 DR#78405 SAN VICENTE
OUT 4PCS 6.24.25 DR#78335 SPC HACKET
4-3-25
4 PCS OUT JO44822 ,MARLO
4 PCS OUT 2-17-25 JO42978 JARVIS
4 PCS OUT 2-15-25 JO42942 ALY </t>
        </r>
      </text>
    </comment>
    <comment ref="G1578" authorId="0" shapeId="0" xr:uid="{F5BB704D-4FDF-4845-BABB-9BA535A00613}">
      <text>
        <r>
          <rPr>
            <sz val="10"/>
            <rFont val="SimSun"/>
            <charset val="134"/>
          </rPr>
          <t>IN 4PCS 1-9-25 DR#087716 DRAKESTER</t>
        </r>
      </text>
    </comment>
    <comment ref="H1578" authorId="0" shapeId="0" xr:uid="{C5F145A3-DB2D-E34B-AB07-846BAAD0B1A3}">
      <text>
        <r>
          <rPr>
            <sz val="10"/>
            <rFont val="SimSun"/>
            <charset val="134"/>
          </rPr>
          <t>4PC OUT 1/9/25 JO41601 JARVIS</t>
        </r>
      </text>
    </comment>
    <comment ref="G1579" authorId="0" shapeId="0" xr:uid="{3A51C4C3-C940-2740-8477-40A16A40DC33}">
      <text>
        <r>
          <rPr>
            <sz val="10"/>
            <rFont val="SimSun"/>
            <charset val="134"/>
          </rPr>
          <t>IN 1PC 01.13.26 DR79969 SPC ROI
IN 4PCS 10.31.25 DR#143767 DRAKESTER (2925)
IN 4PCS 9.19.25 DR#77816 BIÑAN
IN 4PCS 8.12.25 DR#12709 DRAKESTER 
IN 6PCS 8.12.25 DR#12710 DRAKESTER 
IN 4PCS 7.5.25 DR#119880 DRAKESTER
N 4PCS 1-30-25 DR#091423 DRAKESTER</t>
        </r>
      </text>
    </comment>
    <comment ref="H1579" authorId="0" shapeId="0" xr:uid="{CB68CDC2-96F0-FE40-9E8F-6FB0D1D97F01}">
      <text>
        <r>
          <rPr>
            <sz val="10"/>
            <rFont val="SimSun"/>
            <charset val="134"/>
          </rPr>
          <t xml:space="preserve">03.02.26
55560 2PCS BEL
OUT 1PC 02.18.26 DR80865 SPC HACKET
OUT 4PCS 10.21.25 DR#79776 LIPA A
OUT 4PCS 8.21.25 DR#78425 BINAN BRY
OUT 4PCS 8.13.25 DR#78404 SPC
OUT 4PCS 8.13.25 DR#78405 SAN VICENTE
OUT 2PCS 8.5.25 DR#78394 SPC MIKE,SERVICE
2.16.25
42996 4PCS SALES DALIA
</t>
        </r>
      </text>
    </comment>
    <comment ref="G1580" authorId="0" shapeId="0" xr:uid="{A80007C0-D5CA-CB4E-A850-B9079E2F0E8E}">
      <text>
        <r>
          <rPr>
            <sz val="10"/>
            <rFont val="SimSun"/>
            <charset val="134"/>
          </rPr>
          <t>IN 2PCS 01.30.26 DR162117 DRAKESTER
IN 8PCS 11.21.25 DR#147989 DRAKESTER (25)
IN 4PCS 10.31.25 DR#143767 DRAKESTER (3225)
IN 4PCS 9.23.25 DR#135646 DRAKESTER
IN 8PCS 8.12.25 DR#12709 DRAKESTER 
IN 4PCS 8.12.25 DR#12710 DRAKESTER 
IN 4PCS 6.19.25 DR#116640 DRAKESTER
IN 4PCS 4.8.25 DR#77398 HACKET
IN 4PCS 1-15-25 DR#88601 DRAKESTER</t>
        </r>
      </text>
    </comment>
    <comment ref="H1580" authorId="0" shapeId="0" xr:uid="{F38E626B-10A6-6A48-A00D-B79DCAC9EB6A}">
      <text>
        <r>
          <rPr>
            <sz val="10"/>
            <rFont val="SimSun"/>
            <charset val="134"/>
          </rPr>
          <t>02.23.24
55503 4PCS MARLO
01.14.26
54141 4PCS JARVIS
OUT 2PCS 01.03.25 DR80085 SPC SERVICE
OUT 2PCS 12.18.25 DR#80068 SPC HACKET
11-13-25
2 PCS 52254 ALY
10.22.25
51643 4PCS BEL
9-20-25
4 PCS 50734 MARIBEL
OUT 4PCS 8.13.25 DR#78404 SPC
OUT 4PCS 8.13.25 DR#78405 SAN VICENTE
OUT 4PCS 8.8.25 DR#78396 SPC BRIAN
OUT 4PCS 5.20.25 DR#77972 SPC ALWIN
3.30.25
44697 4PCS ALY</t>
        </r>
      </text>
    </comment>
    <comment ref="G1581" authorId="0" shapeId="0" xr:uid="{1BB24C4C-EC8B-3348-AE4B-0785A648B672}">
      <text>
        <r>
          <rPr>
            <sz val="10"/>
            <rFont val="SimSun"/>
            <charset val="134"/>
          </rPr>
          <t>IN 4PCS 1-15-25 DR#88601 DRAKESTER</t>
        </r>
      </text>
    </comment>
    <comment ref="G1582" authorId="0" shapeId="0" xr:uid="{22CF3D63-3901-594A-A073-225D6ADC9833}">
      <text>
        <r>
          <rPr>
            <sz val="10"/>
            <rFont val="SimSun"/>
            <charset val="134"/>
          </rPr>
          <t>IN 4PCS 12.10.25 DR79729 SPC
IN 4PCS 8.15.25 DR#78905 S.V
IN 4PCS 7.10.25 DR#120776 DRAKESTER
IN 4PCS 6.17.25 DR#78079 LIPA A
IN 4PCS 5.21.25 DR#111072 DRAKESTER
IN 1PCS 5.9.25 DR#77716 SPC RO
IN 4PCS 3.30.25 DR#77511 LIPA A
IN 4PCS 2.3.25 DR#76194 LIPA A
IN 4PCS 1-15-25 DR#88601 DRAKESTER</t>
        </r>
      </text>
    </comment>
    <comment ref="H1582" authorId="0" shapeId="0" xr:uid="{9C063889-3DF8-3C4C-97DE-CA2D2F69A757}">
      <text>
        <r>
          <rPr>
            <sz val="10"/>
            <rFont val="SimSun"/>
            <charset val="134"/>
          </rPr>
          <t xml:space="preserve">12-4-25
4 PCS 52927 MARLO
11-13-25
2 PCS 52257 ALY
8.13.25
49593 2PCS ALY
OUT 4PCS 7.17.25 DR#78367 SPC HACKET
6-5-25
4 PCS 47192 JARVIS 
OUT 4PCS 5.17.25 DR#77963 LIPA A JOEL
OUT 1PC 05.02.25 DR#77632 SPC BRY
4 PCS OUT 3-14-25 JO44105 MARLO
4 PC OUT 1/30/25 JO42332 MARIBEL </t>
        </r>
      </text>
    </comment>
    <comment ref="G1583" authorId="0" shapeId="0" xr:uid="{F3E1181F-165F-B84E-AE23-4596B5A5DFAE}">
      <text>
        <r>
          <rPr>
            <sz val="10"/>
            <rFont val="SimSun"/>
            <charset val="134"/>
          </rPr>
          <t>IN 4PCS 01.09.26 DR79951-53 SPC HACKET
IN 4PCS 11.21.25 DR#147989 DRAKESTER (25)
IN 4PCS 10.10.25 DR#139221 DRAKESTER
IN 4PCS 9.22.25 DR#135338 DRAKESTER
IN 4PCS 7.5.25  DR#77794 SPC BRY
IN 1PC 5.17.25 DR#110366 DRAKSTER 
IN 4PCS 3.30.25 DR#77511 LIPA A
IN 4PCS 2.21.25 DR#095108 DRAKESTER
IN 4PCS 2.3.25 DR#76194 LIPA A
IN 4PCS 1-15-25 DR#88601 DRAKESTER</t>
        </r>
      </text>
    </comment>
    <comment ref="H1583" authorId="0" shapeId="0" xr:uid="{4343D0AD-714B-D04E-95BB-00AC4425E675}">
      <text>
        <r>
          <rPr>
            <sz val="10"/>
            <rFont val="SimSun"/>
            <charset val="134"/>
          </rPr>
          <t>1-9-26
4PCS 53960 ALY
1-6-26
4PCS OUT 53921 MJEN 
11-2-25
4 PCS 51940 JARVIS
10-9-25
4 PCS 51258 JARVIS
8-15-25
4 PCS 49669 ALY
6-26-25
4 PCS 47587 HANNA
5-9-25
1 PC 46203 MAM JEN 
4 PCS OUT 2-25-25 JO42958 MARLO 
4 PCS OUT 2-11-25 JO42831 MARIBEL
2-2-25 4 PC OUT JO42424 ALY</t>
        </r>
      </text>
    </comment>
    <comment ref="G1584" authorId="0" shapeId="0" xr:uid="{CE95D433-A24F-924D-A4D8-AD33963EA877}">
      <text>
        <r>
          <rPr>
            <sz val="10"/>
            <rFont val="SimSun"/>
            <charset val="134"/>
          </rPr>
          <t>IN 4PCS 10.10.25 DR#139221 DRAKESTER
IN 4PCS 7.10.25 DR#120776 DRAKESTER
IN 4PCS 1-15-25 DR#88601 DRAKESTER</t>
        </r>
      </text>
    </comment>
    <comment ref="H1584" authorId="0" shapeId="0" xr:uid="{42071AF4-AAC5-2F42-8620-48495D25953C}">
      <text>
        <r>
          <rPr>
            <sz val="10"/>
            <rFont val="SimSun"/>
            <charset val="134"/>
          </rPr>
          <t>8-18-25
4 PCS 49757 MARIBEL
7.5.25
48394 4PCS MARLO</t>
        </r>
      </text>
    </comment>
    <comment ref="G1585" authorId="0" shapeId="0" xr:uid="{8CF88C1E-046B-1246-BBC8-CEFCE0BED65F}">
      <text>
        <r>
          <rPr>
            <sz val="10"/>
            <rFont val="SimSun"/>
            <charset val="134"/>
          </rPr>
          <t>IN 2PCS 01.30.26 DR162117 DRAKESTER
IN 4PCS 10.31.25 DR#143767 DRAKESTER (25)
IN 4PCS 5.9.25 DR#77716 SPC RO
IN 4PCS 2.11.25 DR#093357 DRAKESTER
IN 4PCS 2.5.25 DR#76200 LIPA A
IN 4PCS 1-15-25 DR#88601 DRAKESTER</t>
        </r>
      </text>
    </comment>
    <comment ref="H1585" authorId="0" shapeId="0" xr:uid="{F3E99CA7-A99E-5245-B073-BDFFA57144C2}">
      <text>
        <r>
          <rPr>
            <sz val="10"/>
            <rFont val="SimSun"/>
            <charset val="134"/>
          </rPr>
          <t>02.17.26
55238 4PCS JARVIS
12-23-25
2 PCS 53488 MJEN
10-16-25
4 PCS 51429 ALY
2PCS 3.19.25 2PCS DR#7719 spc mike
2 PCS OUT 2-17-25 JO42977 JARVIS
4 PC OUT 2/5/25 JO42603 JARVIS
4 PC OUT 2/2/25 JO42426 ALY</t>
        </r>
      </text>
    </comment>
    <comment ref="G1587" authorId="0" shapeId="0" xr:uid="{A0349D39-17A7-A24F-944D-02A7EC57E80A}">
      <text>
        <r>
          <rPr>
            <sz val="10"/>
            <rFont val="SimSun"/>
            <charset val="134"/>
          </rPr>
          <t>IN 4PCS 01.30.26 DR162117 DRAKESTER
IN 4PCS 10.10.25 DR#139221 DRAKESTER
IN 4PCS 9.22.25 DR#135390 DRAKESTER
IN 4PCS 7.5.25 DR#119880 DRAKESTER
IN 2PCS 7.2.25 DR#77786 SPC BRY
IN 4PCS 6.19.25 DR#116640 DRAKESTER
IN 4PCS 5.21.25 DR#77742 SPC HACKET
IN 4PCS 5.3.25 DR#107710 DRAKESTER 
IN 4PCS 3.31.25 DR#77512 LIPA A
IN 4PCS 1-15-25 DR#88601 DRAKESTER</t>
        </r>
      </text>
    </comment>
    <comment ref="H1587" authorId="0" shapeId="0" xr:uid="{25E5DD38-4C75-6F4F-8609-5EE37CD6FB48}">
      <text>
        <r>
          <rPr>
            <sz val="10"/>
            <rFont val="SimSun"/>
            <charset val="134"/>
          </rPr>
          <t>02.03.26
54807 4PCS BEL
11.27.25
52670 4PCS ALY
10-5-25
4 PCS 51163 JARVIS
9-9-25
4 PCS 50407 JARVIS
7-2-25
4 PCS 48294 MARLO
6-30-25
2 PCS 48111 MARLO
6-8-25
4 PCS 47271 JARVIS
5-19-25
4 PCS 46532 JARVIS
4-15-25
4 PCS OUT JO45299 ALY
4 PCS OUT 2-19-25 JO43087
 MARIBEL</t>
        </r>
      </text>
    </comment>
    <comment ref="G1590" authorId="0" shapeId="0" xr:uid="{1DD1E164-22B5-9542-9121-10DCF2026133}">
      <text>
        <r>
          <rPr>
            <sz val="10"/>
            <rFont val="SimSun"/>
            <charset val="134"/>
          </rPr>
          <t>IN 2PCS 7.21.25 DR#122933 DRAKESTER
IN 4PCS 6.12.25 DR#115295 DRAKESTER
IN 1PC 3-27-25 DR#77508 LIPA A
IN 1PC 2.11.25 DR#093357 DRAKESTER
IN 4PCS 1-15-25 DR#88601 DRAKESTER</t>
        </r>
      </text>
    </comment>
    <comment ref="H1590" authorId="0" shapeId="0" xr:uid="{D5679F03-5A1B-184D-854D-623631DCE06D}">
      <text>
        <r>
          <rPr>
            <sz val="10"/>
            <rFont val="SimSun"/>
            <charset val="134"/>
          </rPr>
          <t xml:space="preserve">02.16.26
55222 4PCS MARLO
7-9-25
2 PCS 48489 ALY
3-28-25
4 PCS OUT JO44571 ALY
2 PC OUT 1/25/25 JO42124 MAM  JEN </t>
        </r>
      </text>
    </comment>
    <comment ref="G1595" authorId="0" shapeId="0" xr:uid="{1F67ACD1-C3D1-514C-AC54-4F8E7C3846F6}">
      <text>
        <r>
          <rPr>
            <sz val="10"/>
            <rFont val="SimSun"/>
            <charset val="134"/>
          </rPr>
          <t>IN 4PCS 08/03/24 DR#76507 SPC BOSS JUN</t>
        </r>
      </text>
    </comment>
    <comment ref="H1595" authorId="0" shapeId="0" xr:uid="{CD5D91F3-540A-DA47-BB3E-A8B0001EFCC9}">
      <text>
        <r>
          <rPr>
            <sz val="10"/>
            <rFont val="SimSun"/>
            <charset val="134"/>
          </rPr>
          <t xml:space="preserve">OUT 4PCS 09/21/24 DR#75413 SPC </t>
        </r>
      </text>
    </comment>
    <comment ref="G1598" authorId="0" shapeId="0" xr:uid="{A80F1F50-A270-774E-8193-1ABC14BB5764}">
      <text>
        <r>
          <rPr>
            <sz val="10"/>
            <rFont val="SimSun"/>
            <charset val="134"/>
          </rPr>
          <t>2PCS 7-18-22 STF#6648 SPC</t>
        </r>
      </text>
    </comment>
    <comment ref="H1598" authorId="0" shapeId="0" xr:uid="{99FC8B22-06D8-AC47-BB41-771B0D588F0C}">
      <text>
        <r>
          <rPr>
            <sz val="10"/>
            <rFont val="SimSun"/>
            <charset val="134"/>
          </rPr>
          <t>2PC 7-19-22 JO16775 JARVIS</t>
        </r>
      </text>
    </comment>
    <comment ref="G1602" authorId="0" shapeId="0" xr:uid="{DDA561DD-AD64-504C-9A3C-DD9293478EA5}">
      <text>
        <r>
          <rPr>
            <sz val="10"/>
            <rFont val="SimSun"/>
            <charset val="134"/>
          </rPr>
          <t>1PC 12-1-22 STF#7311 SPC</t>
        </r>
      </text>
    </comment>
    <comment ref="H1602" authorId="0" shapeId="0" xr:uid="{F94F3690-7E49-0B46-A8D7-A274CA2F11F5}">
      <text>
        <r>
          <rPr>
            <sz val="10"/>
            <rFont val="SimSun"/>
            <charset val="134"/>
          </rPr>
          <t>1PC 12-2-22 JO#19938 BEL</t>
        </r>
      </text>
    </comment>
    <comment ref="H1603" authorId="0" shapeId="0" xr:uid="{B88DF50E-D3DA-3A49-BD2D-F9DC096CB291}">
      <text>
        <r>
          <rPr>
            <sz val="10"/>
            <rFont val="SimSun"/>
            <charset val="134"/>
          </rPr>
          <t>4PC 6-2-22 STF#1809 SPC</t>
        </r>
      </text>
    </comment>
    <comment ref="G1604" authorId="0" shapeId="0" xr:uid="{77B7817F-A7C3-9341-9DB5-05AA3E22E4BF}">
      <text>
        <r>
          <rPr>
            <sz val="10"/>
            <rFont val="SimSun"/>
            <charset val="134"/>
          </rPr>
          <t>IN 1PC 8.19.25 DR#0020820 ECOMILE</t>
        </r>
      </text>
    </comment>
    <comment ref="H1604" authorId="0" shapeId="0" xr:uid="{32C5E6EC-A0C2-4049-80FE-E12F08C987B1}">
      <text>
        <r>
          <rPr>
            <sz val="10"/>
            <rFont val="SimSun"/>
            <charset val="134"/>
          </rPr>
          <t xml:space="preserve">8-22-25
1 PC 49876 ALY
</t>
        </r>
      </text>
    </comment>
    <comment ref="G1605" authorId="0" shapeId="0" xr:uid="{858B9651-EFD9-A14C-9941-844FCBEA32F7}">
      <text>
        <r>
          <rPr>
            <sz val="10"/>
            <rFont val="SimSun"/>
            <charset val="134"/>
          </rPr>
          <t>2PCS 7-8-23 JO#26612 MARLO
4PCS 7-11-22 STF#6614 SPC</t>
        </r>
      </text>
    </comment>
    <comment ref="H1605" authorId="0" shapeId="0" xr:uid="{3768B591-ACF6-454D-B08E-4008738DDF83}">
      <text>
        <r>
          <rPr>
            <sz val="10"/>
            <rFont val="SimSun"/>
            <charset val="134"/>
          </rPr>
          <t>2PCS 7-8-2023 JO#26612  MARLO
2PCS 2-22-23 STF#2305 SPC
2pcs 7-11-22 JO#16618 SALES</t>
        </r>
      </text>
    </comment>
    <comment ref="G1609" authorId="0" shapeId="0" xr:uid="{0795F31D-55E1-6F48-8FC2-F93FA3DF5E89}">
      <text>
        <r>
          <rPr>
            <sz val="10"/>
            <rFont val="SimSun"/>
            <charset val="134"/>
          </rPr>
          <t>4PCS 7-21-23 S=DR#74029 SPC</t>
        </r>
      </text>
    </comment>
    <comment ref="H1609" authorId="0" shapeId="0" xr:uid="{9F2CF1B4-EB1A-4543-9531-7146470ABEB9}">
      <text>
        <r>
          <rPr>
            <sz val="10"/>
            <rFont val="SimSun"/>
            <charset val="134"/>
          </rPr>
          <t>4PCS 7-28-23 JO#27038 OFFICE</t>
        </r>
      </text>
    </comment>
    <comment ref="G1611" authorId="0" shapeId="0" xr:uid="{9E1004E3-D95E-9548-BAFD-82425C767D73}">
      <text>
        <r>
          <rPr>
            <sz val="10"/>
            <rFont val="SimSun"/>
            <charset val="134"/>
          </rPr>
          <t>1PC 11-5-22 STF#7201 SPC</t>
        </r>
      </text>
    </comment>
    <comment ref="H1611" authorId="0" shapeId="0" xr:uid="{4C27FAA5-5676-124F-BAD5-541834F41FB2}">
      <text>
        <r>
          <rPr>
            <sz val="10"/>
            <rFont val="SimSun"/>
            <charset val="134"/>
          </rPr>
          <t>1PC 11-05-22 JO19256 MARIBEL</t>
        </r>
      </text>
    </comment>
    <comment ref="G1619" authorId="0" shapeId="0" xr:uid="{2C8D40D4-BB5F-7948-8FC8-4535BF5FC836}">
      <text>
        <r>
          <rPr>
            <sz val="10"/>
            <rFont val="SimSun"/>
            <charset val="134"/>
          </rPr>
          <t>IN 4PCS 04/26/24 DR#75007 SPC
2PCS 1-16-24 SHEEHAN
5PCS 10-5-23 SHEEHAN
2PCS 8-16-23 SHEEHAN
2PCS 8-15-23 SHEEHAN</t>
        </r>
      </text>
    </comment>
    <comment ref="H1619" authorId="0" shapeId="0" xr:uid="{DAA0E6A2-7320-584C-A013-F23BC78D6FA0}">
      <text>
        <r>
          <rPr>
            <sz val="10"/>
            <rFont val="SimSun"/>
            <charset val="134"/>
          </rPr>
          <t>OUT 04/26/24 33749 4PCS SALES ROSE
2PCS 1-16-24 JO#31078 ROSE
5PCS 10-5-23 JO#28589 ROSE
2PCS 8-16-23 JO#27563 OFFCIE
2PCS 8-15-23 JO#27504 OFFICE</t>
        </r>
      </text>
    </comment>
    <comment ref="G1620" authorId="0" shapeId="0" xr:uid="{F05DD37F-6F90-4049-9306-FF8FB3DE537F}">
      <text>
        <r>
          <rPr>
            <sz val="10"/>
            <rFont val="SimSun"/>
            <charset val="134"/>
          </rPr>
          <t>IN 2PCS 4.22.25 DR#77674 SPC
IN 3PCS 10/31/24 DR#76994 SPC
IN 6PCS 03/22/24 DR#74877 SPC
IN 10PCS 4-26-23 STF#8042 SPC/SHEEHAN</t>
        </r>
      </text>
    </comment>
    <comment ref="H1620" authorId="0" shapeId="0" xr:uid="{C1A12CD1-D14B-F247-BA21-8FECF04A752D}">
      <text>
        <r>
          <rPr>
            <sz val="10"/>
            <rFont val="SimSun"/>
            <charset val="134"/>
          </rPr>
          <t>4-22-25
2 PCS 45375 ALY
OUT 3PCS 11/01/2024
JO3887  MARLO
 OUT 03/25/24 32802 6PCS SALES MARLO
10PCS 4-26-23 JO#24188 JOJO</t>
        </r>
      </text>
    </comment>
    <comment ref="G1633" authorId="0" shapeId="0" xr:uid="{989A229C-9E1A-3547-BDB6-C5BABE7CD5C5}">
      <text>
        <r>
          <rPr>
            <sz val="10"/>
            <rFont val="SimSun"/>
            <charset val="134"/>
          </rPr>
          <t>8PC 03-30-2022 ST006127 SPC
4PC 03-02-2022 ST005995 SPC
8PCS 1-14-22 STF#5769 SPC
4PCS 1-13-22 STF#1711 SPC
4PCS 1-6-22 STF#5733 SPC
2PC 12-09-2021 ST005634 SPC
2PCS 11-30-21 STF#5599 SPC
4PCS - 11/11/2021 ST005512 SPC</t>
        </r>
      </text>
    </comment>
    <comment ref="H1633" authorId="0" shapeId="0" xr:uid="{A5E2A3DD-5204-AC44-A62E-507615E0D4E7}">
      <text>
        <r>
          <rPr>
            <sz val="10"/>
            <rFont val="SimSun"/>
            <charset val="134"/>
          </rPr>
          <t>4PC 03-03-2022 JO13875 SALES
4PC 01-21-2022 ST001601 SPC
4PCS 1-14-22 STF#1588 A
2PCS  1-13-22 JO#12914 SALES
2PC 01-13-2022 JO#12914 JARVIS
4PCS 1-6-22 JO#12795 PAUL
2PCS 12-27-21 JO#12641 2PC MARIBEL
2PCS 11-30-21 JO#12207 2PC JARVIS
4PCS 11-11-21 JO#11847 ELRICK
2PCS - 11-08-21 STF#1471 LIPA A</t>
        </r>
      </text>
    </comment>
    <comment ref="G1635" authorId="0" shapeId="0" xr:uid="{8C9C593F-60AF-0C48-BA83-F052C2A4BB48}">
      <text>
        <r>
          <rPr>
            <sz val="10"/>
            <rFont val="SimSun"/>
            <charset val="134"/>
          </rPr>
          <t>IN 4PCS 02.11.26 DR80739-40 SPC HACKKET
IN 4PCS 6.19.25 DR#77758 SPC ALWIN
4PCS 5-27-25 DR#ST002522 binan 
IN 7PCS  08/28/24 DR#86854 DYMANS
IN 17PCS 08/16/24 DR#86854 DYMANS
IN 4PCS 08/10/24 DR#86462 DYMANS
IN 21PCS 07/30/24 DR#086854 DYMANS 
IN 18PCS 07/23/24 DR#86854 DYMANS
IN 2PCS 07/20/24 DR#86854 DYMANS
IN 14PCS 07/01/24 DR#86378 DYMANS
IN 5PCS 06/22/24 DR#86047 DYMANS
5PCS 6-22-24 DR#86012 DYMANS
4PCS 6-22-24 DR#85961 DYMANS
IN 18PCS 06/13/24 DR#85790 DYMANS
IN 7PCS 05/31/24 DR#85432 DYMANS
IN 12PCS 05/21/24 DR#85184 DYMANS
IN 3PCS 5/21/2024 DR#85183 DYMANS
IN 20PCS 05/15/24 DR#85010 DYMANS
IN 4PCS 05/14/24 DR#85009 DYMANS
IN 4PCS 05/04/24 DR#84808 DYMANS
IN 4PCS 04/19/24 DR#84282 DYMANS
IN 35PCS 04/18/24 DR#84282 DYMANS
IN 10PCS 03/27/24 DR#83792 DYMANS
IN 17PCS 03/19/24 DR#83549 DYMANS
IN 03/13/24 4PCS DR#83352 DYMANS
IN 03/13/24 16PCS DR#83078 DYMANS
IN 2/29/24 25PCS DR#83038 DYMANS
10PCS 2-13-24 DR#82443 DYMANS
40pcs 2-2-24 DR#82443 DYMANS
44pcs 12-29-23 DR#81617 DYMANS
18pcs 12-28-23 DR#81617 DYMANS
12pcs 12-21-23 dr#80974 DYMANS
16pcs 12-19-23 DR#80974 DYMANS
30PCS 11-29-23 DR#79527 DYMANS
31PCS 11-23-23 DR#79527 DYMANS
20pcs 11-20-23 DR#79527  DYMANS
2PCS 11-8-23 DR#74389 SPC
6pcs 11-4-23 DR#78811 DYMANS
4pcs 10-27-23 DR#74360 SPC
16PCS 10-18-23 DR#78811 DYMANS
10PCS 10-10-23 DR#78811 DYMANS
14PCS 9-16-23 DR#77220 DYMANS
24PCS 09-13-23 DR#77220 DYMANS
2PCS 8-30-23 DR# SPC
4PCS 7-11-23 DR#73241 SPC
4pcs 6-27-23 SPC
2PCS 6-19-23 SPC
1PC 6-14-23 SPC
4pcs 5-22-23 STF#8141 SPC
2pcs 5-20-23 stf#2431 lipa a
4pcs 5-10-23 stfg#80984 spc
2pcs 4-18-23 STF# SPC
\4PCS 4-17-23 STYF#7999 SPC
1PC 3-27-23 STF# 7907 SPC
1PC 3-27-23 STF#7901 SPC
4PCS 3-18-23 STF#7864 SPC
4PCS 3-6-23 ST007792 SPC
4PCS 3-1-23 STF#7760 SPC
4PCS 2-23-23 STf#7724 SPC
1PC 2-21-23 STF#7711 SPC
12PCS 02-16-23 21716 DYMANS
1PC  2-2-23 STF#7612 SPC
4PCS 1-28-23 STF#7588 SPC
13PCS 1-19-23 DR71961 DYMANS
1PC 1-11-23 STF#7485 SPC
8PCS 1-7-23  STF#7465 SPC
2PCS 12-6-22 STF#7339 SPC
4PCS 12-2-22 STF#7317 SPC
60PCS 11-25-22 YTSP021025 DYMANS
1PC 11-24-22 ST#7279 SPC
1PC 11-9-22 STF#7217 SPC
4PCS 10-27-22 STF#7163 SPC
4PCS 10-17-22 STF#7111 SPC
4PCS 10-7-22 STF#7059 SPC
4PCS 9-11-22 STF#6912 SPC
2PCS 8-11-22 STF#6761 SPC
4PC 8-6-22 STF#6739 SPC
4PCS 7-29-22 ST006707 SPC
4PCS 7-18-22 STF#6648 SPC
2PCS 7-4-22 STF#6579 SPC
4PCS 6-24-22 STF#6536 SPC
4PCS 6-10-22 stF#6473 spc
4pcs 5-23-22 STF#6375 SPC
4PCS 4-27-22 STF#6247 SPC</t>
        </r>
      </text>
    </comment>
    <comment ref="H1635" authorId="0" shapeId="0" xr:uid="{B062B3DE-C99F-E74A-89B9-C5B7A74AAED9}">
      <text>
        <r>
          <rPr>
            <sz val="10"/>
            <rFont val="SimSun"/>
            <charset val="134"/>
          </rPr>
          <t>02.17.26
55227 4PCS MARLO
OUT 2PCS 9.11.25 DR#79259 SPC MIKE
7-3-25
2 PCS 48299 MARLO
5-28-25
4 pcs 46893 ALY 
OUT 7PCS 09/03/24 REF#75691 FOR SNR MASTER
OUT 17PCS 08/16/24 REF# STC FOR SNR KUYA HACKET
OUT 4PCS 08/11/24 REF#75674 STC FOR SNR MASTER
OUT 19PCS 07/30/24 REF#75664 STC KUYA HACKET
OUT 2PCS 07/30/24 REF#75665 STC KUYA EMMAN
OUT 2PCS 07/25/24 REF#75663 STC KUYA HACKET
OUT 6PCS 07/23/24 REF#75661 STC KUYA HACKET FOR SNR
OUT 10PCS 07/23/24 REF#75660 STC MASTER FOR SNR
OUT 2PCS 07/21/24 REF#75658  STC KUYA RON
OUT 14PCS 07/01/24 REF# STC FOR SNR KUYA EMMAN
OUT 3PCS 06/28/24 REF#75634 STC FOR SNR
OUT 5PCS 06/22/24 REF#75629 STC FOR SNR KUYA EMMAN
OUT 9PCS 06/22/24 REF#75628 STC FOR SNR KUYA ADWIN
OUT 06/19/24 35226 1PC SALES LEN
OUT 14PCS 06/14/24 REF# STC KUYA ALGIN
OUT 7PCS 06/01/24 REF# STC KUYA EMMAN (FOR SNR)
OUT 12PCS 05/25/24 DR# SPC KUYA HACKET
OUT 3PCS 05/23/24 STC KUYA ALDWIN
OUT 6PCS 05/20/24 REF# STC KUYA EMMAN
OUT 4PCS 05/16/24 DR#75070 SPC
OUT 10PCS 05/16/24 REF# STC KUYA EMAN
OUT 4PCS 05/15/24 REF# STC KUYA PING
OUT 4PCS 05/07/24 STC KUYA HACKET
OUT 30PCS 04/21/24 STC MASTER
OUT 2PCS 04/20/24 STC KUYA HACKET
OUT 4PCS 04/19/24 DR#74780 SPC KUYA HACKET
2pc 4/9/2024 dr#74760 spc
OUT 04/03/24 33193 1PCS SALES JHONLY
OUT 2PCS 04/03/24 DR#74753 SPC KUYA EMMAN
OUT 2PCS 04/01/24 DR#74747 SPC
OUT 4PCS 03/28/24 DR#74742 MASTER
OUT 03/20/24 32828 2PCS SALES ROSE
OUT 7PCS 03/20/24 DR#74728 SPC PICK UP KUYA HACKET
OUT 7PCS 03/19/24 DR#74725 PICK UP KUYA HACKET
OUT 03/13/24 14PCS DR#74714 KUYA HACKET
OUT 03/13/24 6PCS DR#74719 SPC 
OUT 03/06/24 4PCS DR#74700 
MASTER
OUT 1PCS 03/05/2024 DR#047547
OUT 03/03/2024 32338 2PCS SALES MAM JEN
OUT 6PCS 3/01/2024 DR#74692 SPC
OUT 6PCS 2/26/24 DR# 74689-90 SPC PICK UP MASTER
OUT 2-18-24 
10PCS SPC MASTER PICK UP
4PCS 2-1324 DR#74672 LIPA A
2PCS 2-10-24 DR#74669 SPC
OUT 2-8-24 DR#74664-65 20PCS  SPC
OUT 2-3-24 DR#74658-59 8PCS SPC
2pcs 2-3-24 STA CRUZ PICK UP BY KUYA EMMAN&amp;MASTER
11PCS 1-24-24 TA CRUZ PICK UP KUYA HACKET
4PCS 1-24-24 STA CRUZ S&amp;R PICK UP KUYA HACKET
7PCS 1-20-24 DR#73390-91 SPC
OUT 1-17-24 DR#73388 6PCS SPC
OUT 1-16-24 DR#73386 4PCS SPC
OUT 01-13-2024
31007 2PCS SALES ROSE
2PCS 1-8-24 DR#73368 SPC
8PCS 1-3-24 DR#23351-52 SPC
8PCS 1-3-24 DR#74000 LIPA A
8PCS 12-30-23 DR#73994 SPC
4pcs 12-29-23 STA CRUZ
10pcs 12-21-23 DR#73984 SPC
2pcs 12-21-23 DR#73984 SPC
8PCS 12-19-23 DR#73979 SPC
6PCS 12-20-23 DR#73980 SPC
2pcs 12-19-23 jo#30392 maribel
2PCS 12-14-23 DR#73971 SPC
12PCS 12-10-23 DR#73965 SPC
1PC 12-8-23 JO#30088 LEN
4PCS 12-2-23 DR#73951 SPC
4PCS 11-30-23 DR#74297 SPC
8PCS 11-30-23 DR#74295-96 SPC
2PCS 11-28-23 DR#74294 LIPA A
1PC 11-24-23 DR#74290 SPC
13PCS 11-24-23 DR#74289 SPC
14PCS 11-23-23 DR#74285 SPC
4PCS 11-22-23 JO#29650 SALES
4PCS 11-22-23 DR#74282 SPC
2PCS 11-21-23 JO#29682 BEL
2PCS 11-21-23 DR#74278 LIPA A
8PCS 11-20-23 DR#74276-77 SPC
2PCS 11-9-23 JO#29388 JARVIS
6PCS 11-5-23 DR#74252 SPC
4PCS 10-28-23 DR#73943 SPC
11PCS 10-21-23 DR#73933 SPC
5PCS 10-21-23 DR#3932 SPC
10PCS 10-10-23 DR#73913-14 SPC
14PCS 9-18-23 DR#72278 SPC
4PCS 9-14-23 JO#28164 JARVIS
8PCS 9-14-23 DR#72269 SPC
2PCS 8-30-23 JO#27835 JARVIS
4PCS 7-27-23 DR#73886 SPC
4PCS 6-28-23 JO#26348 BEL
4PCS 6-27-23 JO#26306 ROSE
2PCS 6-17-23 STF#2511 LIPA A
1pc 6-8-23 jo#25829 BEL
2PCS 5-20-23 JO#25390 MARLO
4pcs 5-11-23 STF#2452 SPC
4PCS 4-19-23 JO#24681 HANNAH
4PCS 4-11-23 JO#24279 MARLO
1PC 3-27-23 JO#23418 BEL
1PC 3-20-23 STF#2351 LIPA A
4PCS 3-17-23 JO#22687 JARVIS
4PCS 3-3-23 JO#22095 OFFICE
4PCS 2-27-23 STF#2312 SPC
4PCS 2-22-23 STF#2305 SPC
1PC 2-18-23 ST002297 LIPA A
8PCS 2-17-23 STF#2291 SPC
4PCS 2-4-23 JO#21248 JOJO
1PC 1-31-23 JO#21379 BEL
6PS 1-21-23 STF#2228 SPC
5PCS 1-20-23 STF#2224 SPC
8PCS 1-19-23 STF#2223 SPC
4PCS 1-11-23 JO#20749 JARVIS
4PCS 1-10-23 JO#20795 ALY
1PC 1-7-23 JO#20734 BEL
1pc 12-23-22 st002168 spc
1PCS 12-13-22 ST002143 LIPA B
2PC 12-10-22 JO20083 MARIBEL
4PCS 12-2-22 JO#19904 ALY
4PCS 11-29-22 JO#19851 JARVIS
60PCS 11-25-22 STF#2094 SPC
1PC 11-2-22 STF#2044 SPC
1PC 10-27-22 JO#19048 JARVIS
4PC 10-21-22 JO18915 JARVIS
4PC 10-13-22 JO18720 JARVIS
4PCS 10-4-22 STF#2001 SPC
2pcs 9-5-22 STF#1963 SPC
4PC 8-19-22 JO17427 OFFICE
2PCP 8-18-22 JO17454 ALY
2PCS 8-10-22 STF#1913 SITE A
2PCS 7-25-22 STF#1890 SPC
2PCS 7-25-22 STF#1885 SPC
4pcs 7-14-22 STF#1875 SPC
4PC 7-2-22 JO16398 PAUL
2PCS 6-15-22 JO#16037 JARVIS 
4PCS 5-26-22 STF#1798 LIPA A
2PCS 5-19-22 STF#1786 SPC
2PC 05-17-2022 JO15451 SALES
4PC 05-17-2022 ST001783 SPC
4PC 05-06-2022 ST001771 LIPA A</t>
        </r>
      </text>
    </comment>
    <comment ref="G1638" authorId="0" shapeId="0" xr:uid="{5F93778E-7F82-AD41-B0EB-1829E0E30D86}">
      <text>
        <r>
          <rPr>
            <sz val="10"/>
            <rFont val="SimSun"/>
            <charset val="134"/>
          </rPr>
          <t>4PCS 4-6-22 STF#6169 SPC</t>
        </r>
      </text>
    </comment>
    <comment ref="H1638" authorId="0" shapeId="0" xr:uid="{81560DC2-7492-D943-BEE9-159F6E91C3C1}">
      <text>
        <r>
          <rPr>
            <sz val="10"/>
            <rFont val="SimSun"/>
            <charset val="134"/>
          </rPr>
          <t>2PCS 2-22-23 STF#2303 SPC
2PCS 8-18-22 STF#1933 SITE A</t>
        </r>
      </text>
    </comment>
    <comment ref="G1639" authorId="0" shapeId="0" xr:uid="{D3B9EFA4-3A18-F443-9561-286F4822D8BE}">
      <text>
        <r>
          <rPr>
            <sz val="10"/>
            <rFont val="SimSun"/>
            <charset val="134"/>
          </rPr>
          <t>4PC 03-02-2022 ST005995 SPC
4PC 02-27-2022 ST001799 LIPA A
2PC 02-18-22 ST005935 SPC
4PCS 2-4-22 STF#5864 SPC
1PC 01-06-2022 ST005734 SPC
7PCS 12-20-21 STF#5687 SPC
2PCS - 10-28-21 STF#5449 SPC</t>
        </r>
      </text>
    </comment>
    <comment ref="H1639" authorId="0" shapeId="0" xr:uid="{6ABC88BF-BDB2-9C4D-99A3-D2DAB438D6B7}">
      <text>
        <r>
          <rPr>
            <sz val="10"/>
            <rFont val="SimSun"/>
            <charset val="134"/>
          </rPr>
          <t>4PCS 3-15-22 STF#1676 SPC
4PC 02-27-2022 JO13760 SALES
2PC 02-24-2022 JO13699 SALES
2PCS 2-21-22 JO#13671 JARVIS
2PCS 2-8-22 JO#13429 ALY
4PC 02-01-2022 JO13285 ALY
4PCS 1-12-22 JO#12899 ALY
2PCS 10/28/2021 JO#11562 MARIBEL</t>
        </r>
      </text>
    </comment>
    <comment ref="G1642" authorId="0" shapeId="0" xr:uid="{870968E8-5B67-874E-9F0B-AA926821681F}">
      <text>
        <r>
          <rPr>
            <sz val="10"/>
            <rFont val="SimSun"/>
            <charset val="134"/>
          </rPr>
          <t>IN 4PCS  08/28/24 DR#86462 DYMANS
IN 5PCS 08/16/24 DR#86462 DYMANS
IN 11PCS 08/10/24 DR#86462 DYMANS
IN 4PCS 8-2-24 DR#86462 DYMANS
IN 12PCS 07/30/24 DR#086462 DYMANS 
IN 18PCS 07/23/24 DR#86462 DYMANS
IN 5CS 07/16/24 DR#86462 DYMANS
IN 9PCS 07/13/24 DR#86462 DYMANS
IN 14PCS 07/08/24 DR#86462 DYMANS
IN 9PCS 07/01/24 DR#86378 DYMANS
IN 16PCS 06/22/24 DR#86047 DYMANS
6PCS 6-22-24 DR#86012 DYMANS
IN 1PCS 05/31/24 DR#85432 DYMANS
IN 6PCS 05/21/24 DR#85184 DYMANS
IN 22PCS 05/21/24 DR#85183 DYMANS
IN 9PCS 05/14/24 DR#85010 DYMANS
IN 7PCS 05/04/24 DR#84808 DYMANS
IN 12PCS 4/11/24 DR#84081 DYMANS
IN 7PCS 03/27/24 DR#83792 DYMANS
IN 03/19/24 10PCS DR#83549 DYMANS
IN 03/13/24 15PCS DR#83352 DYMANS
IN 2/29/24 10PCS DR#83038 DYMANS
30PCS 2-16-24 DR#82377 DYMANS
4PCS 2-6-24 DR#73348 LIPA A
76pcs 12-29-23 DR#81617 DYMANS
17PCS 12-4-23 DR#80249 DYMANS 
20PCS 11-29-23 DR#80249  DYMANS
4PCS 11-23-23 DR#79527 DYMANS
20PCS  11-20-23 DR#80249 DYMANS
12Pcs 11-4-23 DR#79527 DYMANS
7PCS 10-18-23 DR#79527 DYMANS
8PCS 10-10-23 DR#79527 DYMANS
20PCS 9-16-23 DR#77172 DYMANS
16PCS 09-13-23 DR#77172 DYMANS
4PCS 7-21-23 S=DR#74029 SPC
4PCS 6-14-23 SPC
4PCS 3-13-23 STF#7836 SPC
4PCS 3-1-23 STF#7760 SPC
12PCS 02-16-23 21716 DYMANS
4PCS 1-28-23 STF#7588 SPC
4PCS 1-16-23 STF#7519 SPC
22PCS 12-10-22 DR71960 DYMANS
60PCS 11-25-22 YTSP021025 DYMANS
4PCS 9-26-22 STF006984 SPC
2PCS 9-10-22 STF#6908 SPC
4PCS 8-8-22 STF#6747 SPC
4PCS 8-4-22 STF#6733 SPC
2PCS 7-6-22 STF#6587 SPC
4PCS 7-5-22 STF#2014 SITE A
4PCS 6-10-22 stF#6473 spc
4PCS 4-27-22 STF#6247 SPC
2PCS 3-1-22 STF#5993 SPC
4PCS 2-5-22 STF#5873 SPC
3PCS 01-26-2022 ST005816 SPC
4PCS 01-06-2022 ST005734 SPC
4PCS 12-20-21 STF#5687 SPC</t>
        </r>
      </text>
    </comment>
    <comment ref="H1642" authorId="0" shapeId="0" xr:uid="{9685329C-2E46-8748-849D-AE2C55094917}">
      <text>
        <r>
          <rPr>
            <sz val="10"/>
            <rFont val="SimSun"/>
            <charset val="134"/>
          </rPr>
          <t xml:space="preserve">OUT 3PCS 1-27-25 DR#76949 SNR
OUT 4PCS 08/29/24 REF#75685 STC FOR SRN KUYA EMMAN
OUT 8PCS 08/22/24 DR#75381 SPC KUYA EMMAN (OLD DOT)
08/17/24
36840 2PCS SALES MARIA
OUT 3PCS 08/16/24 REF# STC FOR SNR KUYA HACKET
OUT 4PCS 08/13/24 REF#75675 KUYA HACKET FOR SNR
OUT 11PCS 08/11/24 REF#75674  STC FOR SNR MASTER
OUT 4PCS 08/02/24 REF#75666 STC KUYA HACKET FOR SNR
OUT 12PCS 07/30/24 REF#75664 STC KUYA HACKET
OUT 14PCS 07/23/24 REF#75661 STC KUYA HACKET FOR SNR
OUT 1PCS 07/18/24 REF#75657 STC KUYA HACKET
OUT 4PCS 07/17/24 REF#75655 STC FOR SNR MASTER
OUT 9PCS 07/15/24 REF#75650 STC FOR SNR KYA EMAN
OUT 9PCS 07/09/24 REF#75643 STC FOR SNR FOR PICK UP
OUT 5PCS 07/08/24 REF#75642 KUYA HACKET FOR SNR
OUT 9PCS 07/01/24 REF# STC FOR SNR KUYA EMMAN
OUT 16PCS 06/22/24 REF#75629 STC FOR SNR KUYA EMMAN
OUT 6PCS 06/22/24 REF# STC KUYA EMAN
OUT 1PCS 06/01/24 REF# STC KUYA EMMAN (FOR SNR)
OUT 1PCS 05/30/24 REF#  STC MASTER (FOR SNR)
OUT 8PCS 05/23/24 STC KUYA HACKET
OUT 19PCS 05/21/24 STC KUYA HACKET
OUT 5PCS 05/20/24 REF# STC KUYA EMMAN
OUT 4PCS 05/18/24 STC KUYA BOYONG 
OUT 4PCS 05/07/24 STC KUYA HACKET
OUT 3PCS 05/07/24 REF#74764 STC KUYA HACKET
OUT 4PCS 04/21/24 STC MASTER
OUT 4PCS 04/18/24 DR#74778 SPC KUYA MIKE
OUT 8PCS 04/11/24 DR#74766 SPC KUYA HACKET
OUT 3PCS 03/27/24 DR#74741 SPC PICK UP KUYA HACKET
OUT 10PCS 03/20/24 DR#74727 PICK UP EMMAN SPC  
OUT 03/13/24 15PCS DR#74714  KUYA HACKET
OUT 03/06/24 6PCS DR#74700 
MASTER
OUT 2/29/24 4PCS SALES
OUT 6PCS 2/26/24 DR# 74689-90 SPC PICK UP MASTER
4PCS 2-19-24 DR#  SPC
PICK UP EMMAN
OUT 02-19-2024
4PCS STC TRANSFER REF#92
OUT 02-18-2024
4PCS SPC MASTER PICK UP
4PCS 2-6-24 JO#31668 SALES
1PC  2-3-24 STA CRUZ PICK UP BY KUYA EMMAN&amp;MASTER
4PCS 2-1-24 STA CRUZ PICK UP BY KUYA EMMAN&amp;MASTER
2PCS 1-31-24 STA CRUZ PICK UP BY KUYA MASTER&amp;EMMAN
4PCS 1-26-24 DR#000001 SPC
4PCS 1-24-24 TA CRUZ PICK UP KUYA HACKET
9PCS 1-24-24 STA CRUZ S&amp;R PICK UP KUYA HACKET
1pc 1-24-24 STA CRUZ S&amp;R MASTER PICK UP
3PC 1-23-24 STA CRUZ S&amp;R DELIVERY
14PCS 1-20-24 DR#73390-91 SPC
OUT 1-17-24 DR#73388 4PCS SPC
4PCS 1-4-24 JO#30802 JOHNLY
8PCS 1-4-24 DR#73355 LIPA A
8PCS 1-3-24 DR#23351-52 SPC
8PCS 12-30-23 DR#73994 SPC
4pcs 12-21-23 DR#73984 SPC
12pcs 12-06-23 dr#73957 SPC
5PCS 12-5-23 JO#29978 JARVIS
4PCS 12-2-23 STA CRUZ
8PCS 11-30-23 DR#74297 SPC
8PCS 11-30-23 DR#74295-96 SPC
4PCS 11-23-23 DR#74285 SPC
8PCS 11-22-23 JO#74282 SPC
4PCS 11-21-23 JO#29688 BEL
8PCS 11-20-23 DR#74276-77 SPC
12PCS 11-5-23 DR#74252 SPC
7PCS 10-19-23 DR#73929 SPC
8PCS 10-10-23 DR#73913-14 SPC
6PCS 9-18-23 DR#72277 SPC
14PCS 9-18-23 DR#72278 SPC
8PCS 9-15-23 DR#72273 SPC
8PCS 9-14-23 DR#72270 SPC
2PCS 9-6-23 DR#72257 SPC
2PCS 8-18-23 DR#72224 SPC
4PCS 7-17-23 DR#73872 SPC
4PCS 4-19-23 STF#2409 SPC
4pcs 3-12-23 JO#22318 BEL
8pcs 2-17-23 STF#2292 SPC
4PCS 2-8-23 STF#2271 SPC
2PCS 1-17-23 JO#20996 BEL
2PCS 1-16-23 JO#20907 MARLO
6PCS 12-13-22 ST002143 LIPA B
4PCS 12-13-22 ST002136 SPC
4PCS 12-12-22 ST002134 SPC
8PCS 12-12-22 ST002135 SPC
60PCS 11-25-22 STF# 2094 SPC
4PC 9-26-22 JO18308 JARVIS
2PCS 9-10-22 JO#18011 PAUL
4PCS 9-1-22 STF#1958 SPC
4PCS 8-4-22 JO#17148 ALY
1PC 7-25-22 STF#1890 SPC
3PCS 7-25-22 STF#1885 SPC
2PC 7-5-22 JO16460 ALY
4PC 6-28-22 JO16307 MARLO
4PC 05-17-2022 ST001783 SPC
2PC 03-20-2022 JO14116 SALES
2PC 03-19-2022 JO14212 ORIX
2PCS 2-28-22 JO#13779 JARVIS
4PCS 2-2-22 JO#13238 OFFICE
3PCS 1-7-22 JO#12800 SPC
3PCS 11-17-21 STF#1489 SPC
1PC - 10-26-21 STF#1445 </t>
        </r>
      </text>
    </comment>
    <comment ref="G1643" authorId="0" shapeId="0" xr:uid="{630771F6-2BD2-0141-880E-C6DB0D4717E2}">
      <text>
        <r>
          <rPr>
            <sz val="10"/>
            <rFont val="SimSun"/>
            <charset val="134"/>
          </rPr>
          <t>IN 2PCS 11/21/24 DR#75716 SPC
IN 6PCS 05/09/24 DR#75031 SPC MASTER
IN 4PCS 03/26/24 DR#74883 SPC
2PCS 8-31-23 DR#74178 SPC
1PC 6-14-23 SPC
2PCS 3-27-23 STF#7907 SPC
4PCS 1-16-23 STF#7519 SPC
10PCS 11-25-22 YTSP021025 DYMANS
4PCS 6-10-22 stF#6473 spc</t>
        </r>
      </text>
    </comment>
    <comment ref="H1643" authorId="0" shapeId="0" xr:uid="{385F73E9-0BC9-9445-B38F-7C414C17CA3C}">
      <text>
        <r>
          <rPr>
            <sz val="10"/>
            <rFont val="SimSun"/>
            <charset val="134"/>
          </rPr>
          <t>12-23-25
2 PCS 53534 ALY
OUT 8PCS 08/22/24 DR#75381 SPC KUYA EMMAN OLD DOT
OUT 03/27/24 32990 4PCS SALES JARVIS
2pcs 1-9-24 DR#73369 SPC
2PCS 7-24-23 JO#26937 MARLO
1PC 6-10-23 JO#25870 JARVIS
2PCS 3-16-23 JO#22365 MARLO
4PCS 2-22-23 STF#2305 SPC
10PCS 11-25-22 STF#2094 SPC
4PCS 11-19-22 STF#2081 SPC
4PCS 11-17-22 STF#2073 SPC</t>
        </r>
      </text>
    </comment>
    <comment ref="G1644" authorId="0" shapeId="0" xr:uid="{E702500F-5DA1-B141-85A9-03FB8563C1B4}">
      <text>
        <r>
          <rPr>
            <sz val="10"/>
            <rFont val="SimSun"/>
            <charset val="134"/>
          </rPr>
          <t>IN 2PCS 12.29.25 DR#79921-22 SPC HACKET
IN 1PC 10.3.25 DR#78715 LIPA A
IN 1PC 6.5.25 DR#78774 SPC MIKE
IN 1PCS 08/16/24 DR#86462 DYMANS
IN 2PCS 08/10/24 DR#86462 DYMANS
IN 9PCS 08/03/24 DR#86462 DYMANS
IN 12PCS 8-2-24 DR#86462 DYMANS
IN 7PCS 07/30/24 DR#086462 DYMANS 
IN 2CS 07/16/24 DR#86462 DYMANS
IN 3PCS 07/01/24 DR#86378 DYMANS
IN 10PCS 05/15/24 DR#85010 DYMANS
IN 4PCS 05/14/24 DR#85009 DYMANS
IN 03/19/24 7PCS DR#83549 DYMANS
IN 03/13/24 5PCS DR#83352 DYMANS
IN 2/29/24 19PCS DR#83038 DYMANS
1PC 11-23-23 DR#80222 DYMANS
12PCS  11-20-23 DR#80222 DYMANS
6pcs 11-4-23 DR#80222 DYMANS
5PCS 10-24-23 DR#74354 SPC
4PCS 10-11-23 DR#74220 SPC
4PCS 10-2-23 MINERVA MALVAR
2PCS 9-19-23 DR#73706 SPC
2PCS 9-14-23 DR# SPC
2PCS 9-13-23 DR#74204 SPC
4pcs 7-23-23 dr#72644 lipa a
2PCS 7-23-23 SPC
34PCS 2-3-23 STF#7621 SPC
8PCS 2-2-23 STF#7612 SPC
8pcs 1-31-23 STF#7600 SPC
10PCS 01-17-23 YTSPO18092 DYMANS
2PCS 12-27-22 STF#7429 SPC
4PCS 12-6-22 STF#7339 SPC
30PCS 11-25-22 YTSP018092 DYMANS
-----------------------------------------
4PCS 11-23-22 STf#7272 SPC
4PCS 11-22-22 STF#7268 SPC
4PCS 10-24-22 STF#7146 SPC
4PCS 10-24-22 STF#7144 SPC
8PCS 9-21-22 STF#6959 SPC
2pcs 9-6-22 STF#6887 SPC
6PCS 7-19-22 STF#6654 SPC
8PCS 7-6-22 STF#6587 SPC
2PCS 7-4-22 STF#6579 SPC
4PCS 6-10-22 stF#6473 spc
4PC 03-02-2022 ST005995 SPC</t>
        </r>
      </text>
    </comment>
    <comment ref="H1644" authorId="0" shapeId="0" xr:uid="{7286D735-DAAD-214A-9499-DCA3138CD96F}">
      <text>
        <r>
          <rPr>
            <sz val="10"/>
            <rFont val="SimSun"/>
            <charset val="134"/>
          </rPr>
          <t xml:space="preserve">OUT 2PCS 02.11.26 DR80246 SPC HACKET
10-3-25
1 PC 51131 JARVIS
6-5-25
1 PC 47146 ALY
OUT 1PCS 08/16/24 REF# STC FOR SNR KUYA HACKET
OUT 2PCS 08/13/24 REF#75675 KUYA HACKET FOR SNR
OUT 2PCS 08/11/24 REF#75674  STC FOR SNR MASTER
OUT 7PCS 08/06/24 REF#75669 STC FOR SNR KUYA EMMAN
OUT 12PCS 08/02/24 REF#75666 STC KUYA HACKET FOR SNR
OUT 7PCS 07/30/24 REF#75664 STC KUYA HACKET
OUT 2PCS 07/17/24 REF#75655 STC FOR SNR MASTER
OUT 3PCS 07/01/24 REF# STC FOR SNR KUYA EMMAN
OUT 1PCS 05/21/24 STC KUYA HACKET
OUT 4PCS 05/20/24 REF# STC KUYA EMMAN
5/17/2024 2PCS 34404 BEL
OUT 3PCS 5/17/2024 STC KUYA JERRY
OUT 4PCS 05/15/24 REF# STC MASTER
OUT 6PCS 04/21/24 STC MASTER
OUT 3PCS 04/05/24 DR#74756 SPC  
OUT 2PCS 03/20/24 DR#74727 PICK UP EMMAN SPC  
OUT 1PCS 03/14/24 DR#74717 SPC KUYA HACKET
OUT 03/06/24 7PCS DR#74700 MASTER
OUT 3/05/2024 2PCS DR#047547
4PCS 12-06-23 dr#73957 SPC
4PCS 11-23-23 JO#29707 ROSE
4PCS 11-22-23 JO#74282 SPC
8PCS 11-20-23 DR#74276-77 SPC
6PCS 11-5-23 DR#74252 SPC
2PCS 11-2-23 DR#73948 SPC
4PCS 10-2-23 JO#28551 BEL
2PCS 9-19-23 JO#28285 BEL
1PC 9-15-23 JO#28172 ROSE
1PC 9-14-23 JO#28155 ROSE
2PCS 9-13-23 JO#28100 ROSE
1PC 8-18-23 JO#27567 ROSE
2PCS 7-28-23 JO#27034 ROSE
1PC 7-27-23 JO#26960 ROSE
2PCS 7-27-23 JO#26958 ROSE
2pcs 7-26-23 jo#26956 rose
2PCS 7-24-23 JO#26951 OFFICE
8PCS 7-3-23 STF#2532 SPC
2PCS 6-3-23 JO#25756 JARVIS
2PCS 5-31-23 JO#25677 OFFICE
OUT 20PCS 5-8-23 STF#2445 SPC
2PCS 5-6-23 JO#25116 MARLO
4pcs 5-4-23 STF#2441 SPC
2PCS 4-18-23 JO#24702 JARVIS
2PCS 4-1-23 JO#23813 MARLO
2PCS 3-28-23 JO#23407 JARVIS
2PCS 2-24-23 JO#21937 ALY
4pcs 1-25-23 stf#2240 STC
6PCS 1-20-23 STF#2224 SPC
2PCS 12-28-22 STF#2178 SPC
2PCS 12-23-22 JO#20365 JARVIS
2PCS 12-2-22 JO#19929 JARVIS
4PCS 11-26-22 JO#19791 JARVIS
2PCS 11-26-22 JO#19793 JARVIS
30PCS 11-26-22 STF#2095 SPC
8PCS 11-17-22 STF#2073 SPC
4PCS 10-4-22 STF#2001 SPC
4PCS 9-24-22 JO#18306 JARVIS
2PC 9-6-22 JO17828 OFFICE
4PCS 9-1-22 STF#1958 SPC
8PCS 8-30-22 STF#1952 SPC
4PCS 8-17-22 JO#17275 OFFCIE
2PC 8-13-22 JO17290 JARVIS
2PC 7-19-22 JO16780 JARVIS
4PC 04-30-2022 ST001762 SPC
</t>
        </r>
      </text>
    </comment>
    <comment ref="G1645" authorId="0" shapeId="0" xr:uid="{0BCCA27D-CCC2-7649-806E-5D21879CA50B}">
      <text>
        <r>
          <rPr>
            <sz val="10"/>
            <rFont val="SimSun"/>
            <charset val="134"/>
          </rPr>
          <t xml:space="preserve">IN 10PCS 6.26.25 DR#77775-76 SPC EMMAN
</t>
        </r>
      </text>
    </comment>
    <comment ref="H1645" authorId="0" shapeId="0" xr:uid="{5F4674E2-94E0-1842-8343-70E5C32E8B0F}">
      <text>
        <r>
          <rPr>
            <sz val="10"/>
            <rFont val="SimSun"/>
            <charset val="134"/>
          </rPr>
          <t xml:space="preserve">
OUT 5PCS 10.2.25 DR#79285 LIPA A
OUT 5PCS 9.26.25 DR#79279 LIPA A</t>
        </r>
      </text>
    </comment>
    <comment ref="G1646" authorId="0" shapeId="0" xr:uid="{94B5DC51-A923-994A-934A-054463AE2074}">
      <text>
        <r>
          <rPr>
            <sz val="10"/>
            <rFont val="SimSun"/>
            <charset val="134"/>
          </rPr>
          <t>2PCS 6-18-22 STF#6497 SPC
4PCS 5-21-22 STF#6360 SPC</t>
        </r>
      </text>
    </comment>
    <comment ref="H1646" authorId="0" shapeId="0" xr:uid="{C03230A1-FC66-4541-9EAD-222E54254760}">
      <text>
        <r>
          <rPr>
            <sz val="10"/>
            <rFont val="SimSun"/>
            <charset val="134"/>
          </rPr>
          <t>2.8.25
42676 DHALIA
1PC 8-3-22 STF#1902 SPC
1PC 7-19-22 STF#1880 SPC
1PC 7-14-22 JO16703 MARLO
1PC 7-12-22 JO16649 MARIBEL
2PC 6-12-22 JO15939 SALES</t>
        </r>
      </text>
    </comment>
    <comment ref="G1647" authorId="0" shapeId="0" xr:uid="{6A6B22F7-D7E9-2A4D-A656-F88542F12BC8}">
      <text>
        <r>
          <rPr>
            <sz val="10"/>
            <rFont val="SimSun"/>
            <charset val="134"/>
          </rPr>
          <t>2PC 8-6-22 STF#6739 SPC
4PC 03-30-2022 ST006127 SPC
4PCS 3-16-22 STF#6072 SPC
4PC 3-15-22 STF#6066 SPC
1PC 01-06-2022 ST005734 SPC
7PCS 12-20-21 STF#5687 SPC
4PCS 12-2-21 STF#5608 SPC</t>
        </r>
      </text>
    </comment>
    <comment ref="H1647" authorId="0" shapeId="0" xr:uid="{9F490DE4-4E3E-F34F-B77C-4F4003054DE2}">
      <text>
        <r>
          <rPr>
            <sz val="10"/>
            <rFont val="SimSun"/>
            <charset val="134"/>
          </rPr>
          <t>4PCS 1-6-23 JO#20712 JARVIS
7PCS 4-20-22 stf#1737 SPC
1PC 04-17-22 JO14785 SALES
4pcs 4-16-22 stf#1733 SPC
8PC 03-04-2022 ST001658 SPC
4PCS  12-6-21 STF#1524 A
1PC 11-27-21 STF#1508 SPC
3PCS 10/27/2021 JO#11494 JARVIS</t>
        </r>
      </text>
    </comment>
    <comment ref="G1648" authorId="0" shapeId="0" xr:uid="{A7376B76-9C61-5E4F-87F1-39A2D1BB1CDA}">
      <text>
        <r>
          <rPr>
            <sz val="10"/>
            <rFont val="SimSun"/>
            <charset val="134"/>
          </rPr>
          <t>2PCS 8-16-22 STF#6785 SPC
4PC 8-6-22 STF#6739 SPC
4PCS 5-26-22 STF#6400 SPC
4PCS 3-16-22 STF#6072 SPC
4PC 3-15-22 STF#6066 SPC
4PCS 3-1-22 STF#5993 SPC
2PCS 1-6-22 STF#1704 A
2PCS 1-6-22 STF#5739 SPC
2PCS 1-2-22 STF#1694 A
4PCS 12-24-21 STF#5700 SPC</t>
        </r>
      </text>
    </comment>
    <comment ref="H1648" authorId="0" shapeId="0" xr:uid="{3AC77ACC-F455-3B41-B395-FB60147DC9B3}">
      <text>
        <r>
          <rPr>
            <sz val="10"/>
            <rFont val="SimSun"/>
            <charset val="134"/>
          </rPr>
          <t>2PC 8-16-22 JO17355 ALY
4PC 8-13-22 JO17320 ALY
4PCS 8-6-22 JO17183 PAUL
4PCS 4-20-22 JO#14860 SALES
4PC 03-09-2022 JO13958 SALES
4PCS 1-2-22 JO#12712 PAUL
2PCS  12-24-21 JO#12611 MARIBEL</t>
        </r>
      </text>
    </comment>
    <comment ref="G1649" authorId="0" shapeId="0" xr:uid="{9516AB95-ADC7-A348-8B71-4A3384D8E5CD}">
      <text>
        <r>
          <rPr>
            <sz val="10"/>
            <rFont val="SimSun"/>
            <charset val="134"/>
          </rPr>
          <t>IN 1PC 09/16/24 DR#76086 LIPA A
IN 4PCS 03/06/2024 DR#74850 SPC
80pcs 12-29-23 DR#81617 DYMANS
4PCS 11-27-23 DR#74449 SPC
2pcs 5-20-23 stf#2431 lipa a
4PCS 3-13-23 STF#7836 SPC
4pcs 2-17-23 stf#7693 spc
4PCS 8-6-22 STF#6743 SPC</t>
        </r>
      </text>
    </comment>
    <comment ref="H1649" authorId="0" shapeId="0" xr:uid="{7CEDDF71-E7CE-6F46-BE9D-9BF89BF12B9E}">
      <text>
        <r>
          <rPr>
            <sz val="10"/>
            <rFont val="SimSun"/>
            <charset val="134"/>
          </rPr>
          <t>09/16/24
37639 1PC SALES ROSE
08/30/24
37204 2PCS SALES BEL
OUT 07/09/24 35846 2PCS SALES MARLO
OUT 8PCS 06/17/24 DR#75110 SPC MASTER
OUT 06/17/24 35177 4PCS SALES BEL
OUT 2-22-24 DR#74685 21PCS SPC MASTER
4PCS 2-21-24 32115 JOHNLY
OUT 2-21-24 DR#74684 SPC KUYA ADWIN
OUT 1-17-24 DR#73388 3PCS SPC
8PCS 1-8-24 DR#73367 SPC
1/6/2024 30866 4PCS SALES
2PC 8-16-22 JO17355 ALY
4PC 8-13-22 JO17320 ALY
4PCS 8-6-22 JO17183 PAUL
4PCS 4-20-22 JO#14860 SALES
4PC 03-09-2022 JO13958 SALES
4PCS 1-2-22 JO#12712 PAUL
2PCS  12-24-21 JO#12611 MARIBEL</t>
        </r>
      </text>
    </comment>
    <comment ref="G1650" authorId="0" shapeId="0" xr:uid="{FAE97412-006D-284C-B229-D41C8D8CFB58}">
      <text>
        <r>
          <rPr>
            <sz val="10"/>
            <rFont val="SimSun"/>
            <charset val="134"/>
          </rPr>
          <t>IN 4PCS 02.10.26 DR80737 SPC ALWIN
IN 4PCS 01.29.26 DR80710 SPC ROBIN
IN 6.15.25 2PCS DR#78794 SPC
IN 15PCS 08/16/24 DR#86854 DYMANS
IN 23PCS 08/10/24 DR#86462 DYMANS
IN 4PCS 08/03/24 DR#86462 DYMANS
IN 12PCS 07/30/24 DR#086854 DYMANS 
IN 4PCS 07/23/24 DR#86854 DYMANS
IN 2PCS 07/13/24 DR#86462 DYMANS
IN 6PCS 07/08/24 DR#86462 DYMANS
IN 6PCS 07/02/24 DR#86462 DYMANS
IN 13PCS 07/01/24 DR#86378 DYMANS
IN 3PCS 06/22/24 DR#86047 DYMANS
9PCS 6-22-24 DR#86012 DYMANS
12PCS 6-22-24 DR#85961 DYMANS
IN 15PCS 06/13/24 DR#85790 DYMANS
IN 10PCS 05/31/24 DR#85432 DYMANS
IN 8PCS 05/31/24 DR#85434 DYMANS
IN 49PCS 05/15/24 DR#85010 DYMANS
IN 8PCS 05/14/24 DR#85009 DYMANS
IN 12PCS 05/04/24 DR#84808 DYMANS
IN 7PCS 04/30/24 DR#84630 DYMNAS
IN 10PCS 04/19/24 DR#84321 DYMANS
IN 30PCS 4/11/24 DR#84081 DYMANS
IN 14PCS 03/27/24 DR#83792 DYMANS
IN 12PCS 03/20/24 DR#83549 DYMANS
IN 03/13/24 18PCS DR#83078 DYMANS
20PCS 2-16-24 DR#82377 DYMANS
20PCS 2-13-24 DR#82443 DYMANS
4PCS 2-9-24 STA CRUZ
30pcs 2-2-24 DR#82443 DYMANS
8PCS 12-29-23 DR#73988 SPC
18pcs 12-28-23 DR#81617 DYMANS
19pcs 12-21-23 dr#81579 DYMANS
1PC 12-18-23 DR#81464 DYMANS
9PCS 12-18-23 DR#81464 DYMANS
5PCS 12-18-23 DR#81464 DYMANS
6PCS 12-18-23 DR#81464 DYMANS
4PCS 12-18-23 DR#81464 DYMANS
24PCS 11-29-23 DR#80249  DYMANS
6PCS 11-29-23 DR#79527 DYMANS
13PCS 11-23-23 DR#79527 DYMANS
30PCS  11-20-23 DR#79527 DYMANS
19PCS 10-18-23 DR#79527 DYMANS
22PCS 10-10-23 DR#79527 DYMANS
16PCS 9-16-23 DR#78811 DYMANS
3PCS 09-13-23 DR#77273
DYMANS
21PCS 09-13-23 DR#77220 DYMANS
4PCS 6-27-23 SPC
4PCS 5-27-23 STF#8171 SAPC
4PCS 4-10-23 STF#7978 SPC
4PCS 3-1-23 STF#7760 SPC
12PCS 02-15-23 22538 DYMANS
4PCS 2-8-23 STF#7651 SPC
2PCS 2-1-23 STF#7607 SPC
4PCS 1-28-23 STF#7588 SPC
12PCS 1-19-23 DR72576 DYMANS
26PCS 1-19-23 DR71960 DYMANS
2PCS 1-14-23 STF#7511 SPC
24PCS 12-10-22 DR71960 DYMANS
40PCS 11-25-22 YTSP021025 DYMANS
4PCS 11-24-22 STF#7279 SPC
4PCS 9-28-22 STF#7012 SPC
4PCS 8-2-22 STF#6720 SPC
1PC  7-19-22 STf#6668 SPC
4PCS 7-6-22 STF#6587 SPC
2PCS 4-28-22 STF#6255 SPC
4PCS 4-27-22 STF#6247 SPC
2PC 04-16-2022 ST006204 SPC
5PCS 4-6-22 STF#6169 SPC
4PC 03-19-2022 ST006081 SPC
4PC 03-16-2022 ST001825 LIPA A
4PC 03-02-2022 ST005995 SPC
1PC 3-1-22 STF#5993 SPC
6PCS 2-2-22 STF#5859 8PC SPC
4PCS 1-17-22 STF#5778 SPC
4PCS 01-10-2022 ST005754 SPC
4PCS 01-06-2022 ST005734 SPC
2PCS 12-24-21 STF#5700 SPC
4PC  12-12-2021 ST005648 SPC
1PC 12-7-21 STF#5626 1PC SPC
2PC 12-04-2021 ST001643 LIPA A
2PCS 11-27-21 STF#5580  SPC
2PCS 11-25-21 STF#5568 SPC
2PCS 11-24-21 STF#5561 SPC
4PCS - 11-13-21 STF#5515  SPC
4PCS - 11-5-21 STF#5481 SPC</t>
        </r>
      </text>
    </comment>
    <comment ref="H1650" authorId="0" shapeId="0" xr:uid="{0C355C86-7B03-7A4C-95B0-33A58AF9C647}">
      <text>
        <r>
          <rPr>
            <sz val="10"/>
            <rFont val="SimSun"/>
            <charset val="134"/>
          </rPr>
          <t>02.07.26
54885 2PCS MARLO
OUT 4PCS 01.30.26 DR80229 LIPA A ALWIN
6-16-25
2 PCS 47610 JARVIS
OUT 15PCS 08/18/24 REF# MASTER FOR SNR
OUT 15PCS 08/13/24 REF#75675 KUYA HACKET FOR SNR
OUT 9PCS 08/11/24 REF#75674  STC FOR SNR MASTER
OUT 4PCS 08/06/24 REF#75669 STC FOR SNR KUYA EMMAN
OUT 3PCS 08/03/24 DR#75362 LIPA A
OUT 8PCS 07/30/24 REF#75664 STC KUYA HACKET
OUT 4PCS 07/30/24 REF#75665 STC KUYA EMMAN
OUT 2PCS 07/15/24 REF#75650 STC FOR SNR KYA EMAN
OUT 2PCS 07/13/24 REF#75647 STC MASTER FOR SNR
OUT 7PCS 07/08/24 REF#75642 KUYA HACKET FOR SNR
OUT 4PCS 07/02/24 REF# STC FOR SNR KUYA HACKET
OUT 14PCS 07/01/24 REF# STC FOR SNR KUYA EMMAN
OUT 4PCS 06/25/24 DR#75118 LIPA A
OUT 3PCS 06/22/24 REF#75629 STC FOR SNR KUYA EMMAN
OUT 12PCS 06/22/24 REF#75628 STC FOR SNR KUYA ADWIN
OUT 8PCS 06/22/24 REF# STC KUYA EMAN
OUT 11PCS 06/14/24 REF# STC KUYA ALGIN
OUT 1PC 06/03/24 DR#75099 SPC KUYA EMAN
OUT 9PCS 06/01/24 REF# STC KUYA EMMAN (FOR SNR)
OUT 1PC 05/31/24 DR#75093 LIPA A SERVICE
OUT 4PCS 06/01/24 REF# STC KUYA ALGIN (FOR SNR)
OUT 4PCS 05/31/24 REF# STC KUYA DANCRIS (FOR SNR)
OUT 9PCS 05/25/24 DR# SPC KUYA HACKET
OUT 14PCS 05/21/24 STC KUYA HACKET
OUT 9PCS 05/20/24 REF# STC KUYA EMMAN
OUT 4PCS 05/18/24 STC KUYA BOYONG 
OUT 13PCS 5/17/2024 STC KUYA EMMAN
OUT 6PCS 05/15/24 REF# STC MASTER
OUT 2PCS 05/15/24 REF# STC KUYA EMAN
OUT 4PCS 05/07/24 STC KUYA HACKET
OUT 4PCS 05/07/24 REF#74764 STC KUYA HACKET
OUT 4PCS 05/06/24 REF#74763 STC KUYA EMMAN
5PCS 5-3-24 DR# PICK UP KUYA HACKET
OUT 2PCS 05/01/24 REF# STC MASTER
OUT 5PCS 04/21/24 STC MASTER
OUT 14PCS 04/20/24 STC KUYA HACKET
OUT 11PCS 04/19/24 DR#74780 SPC KUYA HACKET
OUT 10PCS 04/11/24 DR#74766 SPC KUYA HACKET
OUT 5PCS 03/28/24 DR#74742 MASTER
OUT 9PCS 03/27/24 DR#74741 SPC PICK UP KUYA HACKET
OUT 3PCS 03/23/24 DR#74736 SPC PICK UP KUYA EMMAN
OUT 2PCS 03/20/24 DR#74728 SPC PICK UP KUYA HACKET
OUT 2PCS 03/14/24 DR#74717 SPC KUYA HACKET
OUT 03/13/24 7PCS DR#74714  KUYA HACKET
OUT 03/13/24 6PCS DR#74713 PICK UP MASTERS
2PCS 2-23-24 74686 LIPA A
OUT 2-22-24 DR#74685 9PCS SPC MASTER
4PCS 2-19-24 DR#  SPC PICK UO EMMAN
OUT 02-18-2024
4PCS SPC MASTER PICK UP
6PCS 2-16-24 DR#74676 SPC
2PCS 2-13-24 STA CRUZ
10PCS 2-13-24 DR#74673 SPC
4PCS 2-10-24 31821 MAM JEN
out 02-04-2024 ref#86 stc 5pcs
OUT 2-3-24 DR#74658-59 8PCS SPC
4pcs 2-3-24 STA CRUZ PICK UP BY KUYA EMMAN&amp;MASTER
1PCS 1-24-24 TA CRUZ PICK UP KUYA HACKET
16PCS 1-24-24 STA CRUZ S&amp;R PICK UP KUYA HACKET
8pc 1-24-24 STA CRUZ S&amp;R KUYA EMMAN PICK UP
7pc 1-24-24 STA CRUZ S&amp;R MASTER PICK UP
1PC 1-22-24 DR#73394 SPC
10PCS 1-8-24 DR#73367 SPC
8PCS 1-4-24 DR#73355 LIPA A
8PCS 1-3-24 DR#23351-52 SPC
10PCS 12-30-23 DR#73992 SPC
8PCS 12-30-23 DR#73994 SPC
84pcs 12-21-23 DR#73984 SPC
5pcs 12-21-23 DR#73984 SPC
12PCS 12-20-23 DR#73980 SPC
9PCS 12-19-23 DR#73979 SPC
1PC 12-10-23 DR#73965 SPC
1PC 12-9-23 30060 MARLO
4PCS 12-06-23 dr#73957 SPC
19PCS 12-2-23 DR#73951 SPC
8PCS 11-30-23 DR#74295-96 SPC
9PCS 11-24-23 DR#74289 SPC
22PCS 11-21-23 DR#74279-80 SPC
8PCS 11-20-23 DR#74276-77 SPC
13PCS 10-20-23 DR#73930 SPC
6PCS 10-19-23 DR#73927 SPC
7pcs 10-12-23 DR#73917 SPC
15PCS 10-10-23 DR#73913-14 SPC
4pc 9-19-23 dr#72282 spc
16PCS 9-18-23 DR#72277 SPC
8PCS 9-15-23 DR#72273 SPC
8PCS 9-14-23 DR#72270 SPC
4PCS 9-14-23 DR#72269 SPC
2PCS 8-8-23 JO#27351 JARVIS
2PCS 8-5-23 JO#27261 MARLO
1PC 7-10-23 STF#2549 LIPA A
2pcs 6-15-23 stf#2506 spc
4PCS 4-19-23 STF#2409 SPC
4pcs 3-14-23 STF#2339 SPC
12PCS 2-16-23 STF#2288 S&amp;R
4PCS 2-8-23 JO#21563 MARLO
2PCS 2-4-23 JO#21476 MARLO
2PCS 2-4-23 JO#21459 BEL
2PCS 1-31-23 JO#21381 ALY
10PCS 1-23-23 STF#2234 SPC
5PCS 1-21-23 STf#2229 SPC
11PCS 1-21-23 STF#2228 SPC
11PCS 1-20-23 STF#2224 SPC
3pcs 1-13-23 jo#20912 jarvis
1PC 12-13-22 STF#2151 SPC
4PCS 12-13-22 ST002147 LIPA B
2PCS 12-13-22 ST002145 LIPA B
5PCS 12-13-22 ST002143 LIPA B
12PCS 12-10-22 ST002133 SPC
4PCS 11-28-22 ST002097 LIPA A
40PCS 11-25-22 STF#2094 SPC
4pc 9-29-22 jo18409 aly
2pc 8-27-22 jo17684 aly
2pcs 8-27-22 STF#1947 STC
4PCS 7-25-22 STF#1890 SPC
1PC 7-19-22 JO16795 MARIBEL
3PCS 5-11-22 STF#1776 SPC
1PC 05-09-2022 JO15227 SALES
2PC 04-28-2022 JO15027 SALES
4PC 04-22-2022 ST
2PC 04-11-2022 JO14675 SALES
4PC 04-10-22 JO14439 SALES
1PC 04-05-2022 JO14477 SALES
4PC 04-05-2022 JO14476 SALES
4PC 03-02-2022 JO13829 SALES
2PC 02-24-2022 JO13697 SALES
2PC 02-16-2022 JO13510 SALES
1PC 02-13-22 ST001635 LIPA A
2PC 02-01-2022 JO13316 PAUL
4PCS 01-23-2022 JO#13096 ALY
4PCS 1-16-22 JO#12981 JARVIS
4PCS 1-13-22 JO#12942 PAUL
4PCS 01-09-2022 JO#12845 PAUL
2pcs 12-16-21 JO#12400 PAUL
1PC 12-7-21 JO#12263 MARIBEL
2PCS 12-3-21 JO#12246 JARVIS
2PCS 11-28-2021 JO#12136 JARVIS
2PCS 11-25-21 JO#12102 MARIBEL
2PCS 11-24-21 JO#12082 JARVIS
2PCS  11-18-21 STF#1490 LIPA A
4PCS 11-12-21 JO#11867 JARVIS
2PCS 11-15-21 JO#11885 MARIBEL</t>
        </r>
      </text>
    </comment>
    <comment ref="L1650" authorId="0" shapeId="0" xr:uid="{39ABB35F-BAA4-FF47-AE0F-D6DF8D5E15CB}">
      <text>
        <r>
          <rPr>
            <sz val="10"/>
            <rFont val="SimSun"/>
            <charset val="134"/>
          </rPr>
          <t>12PCS 02-15-23 NEW DEL MDD</t>
        </r>
      </text>
    </comment>
    <comment ref="G1652" authorId="0" shapeId="0" xr:uid="{2F6D37CB-1735-DD44-AA10-6714E852542D}">
      <text>
        <r>
          <rPr>
            <sz val="10"/>
            <rFont val="SimSun"/>
            <charset val="134"/>
          </rPr>
          <t>IN 10PCS 08/10/24 DR#86462 DYMANS
IN 2PCS 08/03/24 DR#86462 DYMANS
IN 2PCS 07/20/24 DR#86462 DYMANS
IN 1PCS 07/16/24 DR#86462 DYMANS
IN 4PCS 07/13/24 DR#86462 DYMANS
IN 7PCS 06/22/24 DR#86047 DYMANS
4PCS 6-22-24 DR#86012 DYMANS
IN 3PCS 05/14/24 DR#85010 DYMANS
IN 3PCS 05/04/24 DR#84808 DYMANS
IN 9PCS 04/30/24 DR#84630 DYMNAS
IN 4PCS 04/19/24 DR#84321 DYMANS
IN 8PCS 03/27/24 DR#83792 DYMANS
IN 12PCS 03/19/24 DR#83549 DYMANS
IN 03/13/24 4PCS DR#83352 DYMANS
IN 2/29/24 16PCS DR#83038 DYMANS
36PCS 12-27-23 DR#80222 DYMANS
2pcs 12-21-23 dr#80222 DYMANS
16PCS 12-4-23 DR#80222 DYMANS 
3PCS 11-23-23 DR#79527 DYMANS
7PCS 11-23-23 DR#80222 DYMANS
2PCS 10-18-23 DR#78039 DYMANS
7PCS 10-18-23 DR#79527 DYMANS
7PCS 10-10-23 DR#77273 DYMANS
10PCS 9-16-23 DR#78039 DYMANS
12PCS 09-13-23 DR#77273
DYMANS
1PC 7-11-23 DR#73241 SPC
2PCS 4-10-23 STF#7978 SPC
2PCS 3-13-23 STF#7836 SPC
4PCS 3-3-23 STF# SPC
4pcs 2-24-23 STF#7730 SPC
20PCS 02-15-23 021164 DYMANS
14PCS 02-15-23 021699 DYMANS
16PCS 01-17-23 YTSPO21699 DYMANS
10PCS 12-10-22 DR71960 DYMANS
2PCS 9-3-22 STF#2105 SITE A
4PCS 8-15-22 STF#6778 SPC
4pcs 8-3-22 STF#6726 SPC
2PCS 7-18-22 STF#6648 SPC
4PCS 6-10-22 stF#6473 spc
4PCS 6-10-22 stF#6473 spc
4PC 05-14-2022 ST006341 SPC
4PCS 4-27-22 STF#6247 SPC
4PC 04-11-2022 ST006192 SPC
2PCS 3-1-22 STF#5993 SPC
4PC 02-18-22 ST005935 SPC
8PCS 12-20-21 STF#5687 SPC
4PCS 10-30-21 STF#5456 SPC
4PC 10-17-21 ST005404 SPC</t>
        </r>
      </text>
    </comment>
    <comment ref="H1652" authorId="0" shapeId="0" xr:uid="{9438AF7A-CAF0-0B47-8B62-F824BFA5C355}">
      <text>
        <r>
          <rPr>
            <sz val="10"/>
            <rFont val="SimSun"/>
            <charset val="134"/>
          </rPr>
          <t>2PCS OUT 12/23/24 JO40898 ROSE
OUT 4PCS 08/13/24 REF#75675 KUYA HACKET FOR SNR
OUT 8PCS 08/11/24 REF#75674  STC FOR SNR MASTER
OUT 2PCS 07/21/24 REF#75658 STC KUYA RON
OUT 1PCS 07/18/24 REF#75657 STC KUYA HACKET
OUT 4PCS 07/13/24 REF#75647 STC MASTER FOR SNR
OUT 7PCS 06/22/24 REF#75629 STC FOR SNR KUYA EMMAN
OUT 4PCS 06/22/24 REF#75628 STC FOR SNR KUYA ADWIN
OUT 3PCS 5/17/2024 STC KUYA JERRY
OUT 3PCS 05/07/24 STC KUYA HACKET
5PCS 5-3-24 DR# PICK UP KUYA HACKET
OUT 4PCS 05/01/24 REF# STC MASTER
OUT 4PCS 04/21/24 STC MASTER
OUT 4PCS 04/18/24 DR#74778 SPC KUYA MIKE
OUT 6PCS 03/28/24 DR#74742 MASTER
OUT 10PCS 03/19/24 DR#74725 PICK UP KUYA HACKET
OUT 4PCS 03/14/24 DR#74717 SPC KUYA HACKET
OUT 03/06/24 2PCS DR#74700 MASTER
OUT 8PCS 03/06/2024 DR#74699 SPC
OUT 2/29/24 6PCS SALES
1PCS 1-24-24 TA CRUZ PICK UP KUYA HACKET
7pcs 1-22-24 DR#73393 SPC
10PCS 1-20-24 DR#73390-91 SPC
8PCS 1-3-24 DR#23351-52 SPC
4PCS 1-3-24 DR#74000 LIPA A
6PCS 12-30-23 DR#73992 SPC
6PCS 12-29-23 DR#73988 SPC
2pcs 12-21-23 DR#73984 SPC
4PCS 12-19-23 DR#73979 SPC
5PCS 12-06-23 DR#73957 SPC
13PCS 12-4-23 DR#73954 SPC
4PCS 11-23-23 DR#74285 SPC
1PC 10-21-23 DR#73933 SPC
4pcs 10-19-23 JO#28951 BEL
4PCS 10-19-23 DR#73927 SPC
2pcs 10-12-23 DR#73917 SPC
5PCS 10-10-23 DR#73913-14 SPC
10PCS 9-18-23 DR#72277 SPC
12PCS 9-14-23 DR#72270 SPC
4pcs 7-8-23 stf#2544 SPC
4PCS 4-21-23 ST002413 LIPA A
2PCS 4-10-23 STF#2390 LIPA A
2PCS 3-12-23 JO#22335 JARVIS
4PCS 2-24-23 JO#21938 ALY
4PCS 2-20-23 JO#21852 BEL
22PCS 2-16-23 STF#2288 S&amp;R
8PCS 2-16-23 STF2287 SPC S&amp;R
5PC 1-22-23 ST0022030 SPC (SNR)
1PC 1-21-23 STF#2229 SPC
5PCS 1-21-23 STF#2228 SPC
5PCS 1-20-23 STF#2224 SPC
2PCS 12-13-22 ST002136 SPC
4PCS 12-12-22 ST002134 SPC
4PCS 12-12-22 ST002135 SPC
4PC 9-3-22 JO17808 MARIBEL
2PCS 8-31-22 JO#17718 PAU
4PCS 8-14-22 JOI#17354 ALY
4PCS 7-25-22 STF#1890 SPC
2PC 7-8-22 JO16571 JARVIS
4PCS 6-21-22 STf#1833 LIPA A
4PC 05-15-2022 JO15394 SALES
8PC 04-30-2022 ST001762 SPC
4PCS 4-18-22 STF#1735 SPC
4PC 04-10-22 JO14665 SALES
4PCS 3-14-22 JO#14097 PAU
2PCS 02-26-2022 ST001652 LIPA A
4PCS 2-8-22 JO#13441 ALY
4PC 01-20-2022 JO#12987 SALES
4PC 01-18-2022 JO#12985 JARVIS
4PCS 1-5-22 JO#12784 SALES
1PC 12-29-21 JO#12682 MARLO
1PC 12-8-21 STF#1533 A</t>
        </r>
      </text>
    </comment>
    <comment ref="L1652" authorId="0" shapeId="0" xr:uid="{3426643C-9A22-E24F-A1B5-020BDDF82559}">
      <text>
        <r>
          <rPr>
            <sz val="10"/>
            <rFont val="SimSun"/>
            <charset val="134"/>
          </rPr>
          <t>20PCS 02-15-23 NEW DEL MDD
14PCS 02-15-23 NEW DEL MDD</t>
        </r>
      </text>
    </comment>
    <comment ref="G1653" authorId="0" shapeId="0" xr:uid="{3E9F8FB5-35E6-024F-AB9E-063E50223693}">
      <text>
        <r>
          <rPr>
            <sz val="10"/>
            <rFont val="SimSun"/>
            <charset val="134"/>
          </rPr>
          <t xml:space="preserve">IN 4PCS 01.29.26 DR80710 SPC ROBIN
IN 4PCS 11.19.25 DR#79889 SPC ROBIN
IN 2PCS 7.25.25 DR#78896 SPC SERVICE
IN 4PCS 6.28.25 DR#77778 SPC EMMAN
IN 4PCS 4.16.25 ST002511 BINAN
IN 6PCS 1-28-25D DR#77077 SPC KUYA MIKE
IN 4PCS 1-21-25 DR#76179 LIPA A
----------------------------------------------
IN 10PCS 11/30/24 DR#75731 SPC KUYA HACKET
IN 2PCS 11-16-24 STA CRUZ
IN 3PCS 09/20/24 DR#76539 SPC KUYA HACKET
IN 1PC 09/20/24 SI#03446 MINERVA
IN 15PCS  08/28/24 DR#86854 DYMANS
IN 20PCS 08/16/24 DR#86854 DYMANS
IN 53PCS 08/10/24 DR#86462 DYMANS
IN 4PCS 08/03/24 DR#86462 DYMANS
IN 14PCS 8-2-24 DR#86854 DYMANS
IN 21PCS 07/30/24 DR#086854 DYMANS 
IN 35PCS 07/23/24 DR#86854 DYMANS
IN 15PCS 07/20/24 DR#86854 DYMANS
in 1pc 07/17/24 dr#75248 spc master
IN 19PCS 07/08/24 DR#86462 DYMANS
IN 53PCS 07/02/24 DR#86462 DYMANS
IN 27PCS 06/22/24 DR#86047 DYMANS
11PCS 6-22-24 DR#86012 DYMANS
IN 25PCS 06/13/24 DR#85790 DYMANS
IN 9PCS 05/31/24 DR#85434 DYMANS
IN 4PCS 05/29/24 DR# SPC KUYA HACKET
IN 11PCS 05/21/24 DR#85184 DYMANS
IN 28PCS 5/21/2024 DR#85183 DYMANS
IN 25PCS 05/15/24 DR#85010 DYMANS
IN 18PCS 05/14/24 DR#85009 DYMANS
IN 4PCS 05/11/24 DR#75033 SPC
IN 47PCS 05/04/24 DR#84808 DYMANS
IN 9PCS 04/30/24 DR#84630 DYMNAS
IN 64PCS 04/19/24 DR#84321 DYMANS
IN 2PCS 04/15/24 DR#SP0023 SPC
IN 2PCS 4/11/24 DR#84081 DYMANS
IN 19PCS 03/19/24 DR#83549 DYMANS
IN 03/13/24 58PCS DR#83352 DYMANS
IN 4PCS SALES 2/29/24 DR#74842 SPC
IN 2/29/24 73PCS DR#83038 DYMANS
30PCS 2-16-24 DR#82377 DYMANS
20PCS 2-13-24 DR#82443 DYMANS
30pcs 2-2-24 DR#82443 DYMANS
100pcs 12-28-23 dr#81617 dymans
25pcs 12-21-23 dr#81579 DYMANS
30pcs 12-19-23 DR#81511 DYMANS
30pcs 12-19-23 DR#80975 DYMANS
19PCS 12-18-23 DR#81464 DYMANS
30PCS 11-30-23 DR#80893 DYMANS
8pcs 11-23-23 DR#80769 DYMANS
38PCS 11-23-23 DR#79527 DYMANS
32PCS  11-20-23 DR#80249 DYMANS
14pcs 11-4-23 DR#80249 DYMANS
3PCS 10-24-23 DR#74354 SPC
52PCS 10-18-23 DR#79527 DYMANS
39PCS 10-10-23 DR#79527 DYMANS
4PCS 10-10-23 DR#74219 SPC
3PCS 9-16-23 DR#78811 DYMANS
7PCS 9-16-23 DR#76468 DYMANS
50PCS 09-13-23 DR#77172 DYMANS
5PCS 8-10-23 DR#74071 SPC
4PCS 8-8-23 DR#74067 SPC
2PCS 8-1-23 DR#74954 SPC
4PCS 7-21-23 DR#74023 SPC
4pcs 6-30-23 SPC
8PCS 6-27-23 SPC
4PCS 6-22-23 SPC
8pcs 5-22-23 STF#8141 SPC
6PCS 4-28-23 STF#8058 SPC
4PCS 4-10-23 STF#7978 SPC
4pcs 4-4-23 stf#7960 spc
4pcs 3-28-23 STF#2369 LIPA A
6PCS 3-27-23 STF#7901 SPC
1PC 3-24-23 STF# SPC
2PCS 3-11-23 STF#7827 SPC
8PCS 3-1-23 STF#7760 SPC
2PCS 2-22-23 MINERVA ALAMINOS
12PCS 02-16-23 21716 DYMANS
1PC  2-2-23 STF#7612 SPC
4PCS 1-28-23 STF#7588 SPC
2pcs 1-24-23 stf#7561 spc
40PCS 1-19-23 DR72576  DYMANS
20PCS 1-19-23 DR72592 DYMANS
4PCS 1-16-23 STF#7519 SPC
3PCS 1-14-23 STF#7511 SPC
8PCS 1-7-23  STF#7465 SPC
32PCS 12-10-22 DR71938 DYMANS
4pcs 11-28-22 STF#7293 SPC
120PCS 11-25-22 YTSP021025 DYMANS
4PCS 9-30-22 STF#7021 SPC
2PCS 9-28-22 STF#7010 SPC
2PCS  9-28-22 STF#7009 SPC
2pcs 9-28-22 STF#7007 SPC
2pcs 9-26-22 STF#6990 SPC
4PCS 9-20-22 STF#6958 SPC
2pcs 9-5-22 STF#6873 SPC
1PC 8-31-22 STF#6859 SPC
2PCS 8-2-22 STF#6720 SPC
4PCS 7-28-22 STF#6706 SPC
2PCS 7-19-22 STf#6668 SPC
4PCS 7-18-22 STF#6648 SPC
2PCS 7-13-22 STF#6625 SPC
1PC 7-9-22 STF#741 STC
3PCS 07-08-22 STF#6602 SPC 
4PCS 7-7-22 STf#6594 SPC
2PCS 7-1-22 STF#6565 SPC
2PCS 6-29-22 stf#6559 SPC
2PCS 6-24-22 STF#728 STC
2PCS 6-24-22 stf#6540 spc
2PCS 6-23-22 STF#1991 SITE A
4PCS 6-9-22 STF#6465 SPC
2pcs 6-7-22 STF#6455 SPC
2pcs 5-26-22 stf#6404 spc
4pcs 5-23-22 STF#6375 SPC
4PCS 5-21-22 STF#6360 SPC
2PC 05-13-2022 ST006330 SPC
4PC 04-30-2022 ST006262 SPC
</t>
        </r>
      </text>
    </comment>
    <comment ref="H1653" authorId="0" shapeId="0" xr:uid="{9BC7CDE9-94D1-5241-863E-1D6FC806EEF7}">
      <text>
        <r>
          <rPr>
            <sz val="10"/>
            <rFont val="SimSun"/>
            <charset val="134"/>
          </rPr>
          <t>02.17.26
55169 2PCS ALY
02.01.26
54720 2PCS ALY
1-12-26
2 PCS 54121 ROSE
12-26-25
2 PCS OUT 53622 ALY
12-19-25
1 PC 53402 ALY
10-6-25
4 PCS 51182 ALY
2 PCS 51183 ALY
7.26.25
48998 4PCS MARLO
7-20-25
2 PCS 48923 JARVIS
5-17-25
4 PCS 79769 HANA 
5-18-25
2 PCS 46495 JARVIS
OUT 5PCS 5.16.25 DR#77962 SPC SNR SERVICE
5-15-25
2 PCS 46350 MARIBEL 
4-29-25
4 PCS 45617 ALY
4.17.25
45402 4PCS ALY
out 2pcs 2.13.25 DR#77155 spc service
OUT 2PCS 2.15.25 DR#76999 LIPA A
4 PCS OUT 2/7/25 BIÑAN 
4 PC  OUT 2/1/25 JO41720 OFFICE
OUT 2PCS 2-1-25 DR#76960 LIPA A
1 PC OUT 1/27/25 JO42148 DALIA 
4 PCS  OUT 1/25/25 JO42152 MARIBEL
2PC OUT 1/16/25 JO41712 OFFICE
2PC OUT 1/16/25 JO41816 MARIBEL
OUT 4PCS 12-15-24 DR#75517 LIPA A
2pcs 12/10/24 jo40532 maribel 
4PCS 11/21/24 JO39941 HANA
11/16/2024	39887 2PCS SALES
10/19/2024	38542 1pc sales
09/20/24
37831 1PC SALES MARLO
37831  3PCS SALES MARLO
08/30/24
37216 4PCS SALES OFFICE
OUT 11PCS 08/29/24 REF#75685 STC FOR SNR KUYA EMAN
OUT 4PCS 08/18/24 DR#75376 LIPA A
OUT 10PCS 08/18/24 REF# MASTER FOR SNR
OUT 10PCS 08/16/24 REF# STC FOR SNR KUYA HACKET
OUT 15PCS 08/13/24 REF#75675 KUYA HACKET FOR SNR
OUT 30PCS 08/11/24 REF#75674  STC FOR SNR MASTER
08/10/24
36660 4PCS SALES ROSE
OUT 4PCS 08/06/24 REF#75669 STC FOR SNR KUYA EMMAN
OUT 14PCS 08/02/24 REF#75666 STC KUYA HACKET FOR SNR
4PCS 7-31-24 JO#36481 MARLO
OUT 18PCS 07/30/24 REF#75664 STC KUYA HACKET
OUT 3PCS 07/30/24 REF#75665 STC KUYA EMMAN
OUT 14PCS 07/23/24 REF#75661 STC KUYA HACKET FOR SNR
OUT 17PCS 07/23/24 REF#75660 STC MASTER FOR SNR
OUT 15PCS 07/21/24 REF#75658 STC KUYA RON
07/18/24
36060 1PC SALES BEL
OUT 12PCS 07/15/24 REF#75650 STC FOR SNR KYA EMAN
OUT 07/13/24 35966 1PC SALES MARLO
OUT 5PCS 07/08/24 REF#75642 KUYA HACKET/DANCRIS FOR SNR
OUT 18PCS 07/06/24 REF#75639 STC FOR SNR KUYA RON
OUT 07/05/24 35685 2PCS SALES ROSE 
OUT 25PCS 07/02/24 REF# STC FOR SNR KUYA HACKET
OUT 27PCS 07/01/24 REF# STC FOR SNR KUYA EMMAN
OUT 8PCS 06/24/24 REF#75632 FOR SNR KUYA HACKET
OUT 4PCS 06/24/24 REF#75631 MEET UP KUYA LUCKY
OUT 8PCS 06/22/24 REF#75628 STC FOR SNR KUYA ADWIN
\OUT 06/22/24 35353 4PCS SALES LEN 
OUT 06/19/24 35251 2PCS SALES ROSE
OUT 8PCS 06/17/24 DR#75110 SPC MASTER
OUT 1PC 6-15-24 ref#75625 STA CRUZ
OUT 13PCS 06/14/24 REF# STC KUYA ALGIN
OUT 5PCS 06/03/24  DR#75099 SPC KUYA EMMAN
OUT 15PCS 06/01/24 REF# STC KUYA EMMAN (FOR SNR)
OUT 5PCS 06/01/24 REF# STC KUYA ALGIN (FOR SNR)
OUT 5PCS 05/31/24 REF# STC KUYA DANCRIS (FOR SNR)
OUT 05/29/24 34643 2PCS SALES ROSE
OUT 28PCS 05/25/24 DR# SPC KUYA HACKET
OUT 11PCS 05/23/24 STC
OUT 4PCS 05/20/24 REF# STC KUYA EMMAN
OUT 5PCS 05/18/24 STC KUYA BOYONG 
OUT 10PCS 5/17/2024 STC KUYA EMMAN
OUT 05/16/24 34371 4PCS SALES
OUT 6PCS 05/16/24 REF# STC KUYA EMAN
OUT 8PCS 05/15/24 REF# STC MASTER
OUT 10PCS 05/15/24 REF# STC KUYA EMAN
OUT 13PCS 05/07/24 STC KUYA HACKET
OUT 12PCS 05/07/24 REF#74764 STC KUYA HACKET
OUT 05/06/24 34050 2PCS SALES MARLO
OUT 20PCS 05/06/24 REF#74763 STC KUYA EMMAN
OUT 05/03/24 33980 1PCS SALES BEL 
8PCS 5-3-24 DR# PICK UP KUYA HACKET
OUT 44PCS 04/21/24 STC MASTER
OUT 10PCS 04/20/24 STC KUYA HACKET
OUT 10PCS 04/19/24 DR#74780 SPC KUYA HACKET
OUT 4PCS 4/18/24 DR#74779 SPC KUYA EMAN
OUT 04/06/24 33276 4PCS SALES BEL
3pcs 4-6-24 DR#74757 SPC
OUT 2PCS 03/04/24 DR#74755 LIPA A
OUT 2PCS 04/03/24 STC 
OUT 04/03/24 33164 2PCS SALES ROSE
OUT 2PCS 04/03/24 DR#74753 SPC KUYA EMMAN
OUT 2PCS 04/01/24 DR#74748 LIPA A
OUT 8PCS 04/01/2024 DR#74747 SPC KUYA MIKE
OUT 4PCS 03/28/24 DR#74742 MASTER
OUT 19PCS 03/19/24 DR#74725 PICK UP KUYA HACKET
OUT 8PCS 03/19/24 DR#74723 SPC 
OUT 21PCS 03/14/24 DR#74717 SPC KUYA HACKET
OUT 03/13/24 20PCS DR#74714  KUYA HACKET
OUT 03/13/24 9PCS DR#74713 PICK UP MASTER
OUT 03/06/24 20PCS DR#74700 MASTER
OUT 9PCS 03/06/2024 DR#74699 SPC
OUT 16PCS 03/05/2024 DR#047547
9pcs 3-4-24 DR#74695 SPC MASTER PCIK UP
OUT 2/29/24 32309 2PCS SALES ROSE ANN
OUT 2-24-24 DR#74687 4PCS SPC PICK UP EMMAN
OUT 02-18-2024
14PCS SPC MASTER PICK UP
16PCS 2-16-24 DR#74676 SPC
22PCS 2-13-24 DR#74673 SPC
2PCS 2-13-24 31824 SALES
8PCS 2-12-24 DR#74671 SPC
2PCS 2-5-24 31683 BEL
4PCS 2-3-24 DR#74661 SPC
out 02-4-24 jo#31656 sales bel
OUT 2-3-24 DR#74658-59 8PCS SPC
3pcs 2-3-24 STA CRUZ PICK UP BY KUYA EMMAN&amp;MASTER
2PCS 2-2-24 DR#74656 SPC
2PCS 2-2-24 JO#31586 LEN
23PCS 1-24-24 STA CRUZ S&amp;R PICK UP KUYA HACKET
11PC 1-23-24 STA CRUZ S&amp;R DELIVERY
2PCS 1-22-24 JO#31244 JARVIS
2PC 1-22-24 DR#73394 SPC
OUT 1-17-24 DR#73389 7PCS SPC
2PCS OUT 01-11-2024 31011 MARIBEL
18PCS 1-8-24 DR#73367 SPC
2PCS 1-4-24 JO#30786 BEL
8PCS 1-3-24 DR#74000 LIPA A
3PCS 12-30-23 DR#73992 SPC
8PCS 12-30-23 DR#73994 SPC
8PCS 12-29-23 DR#73391 SPC
11pcs 12-22-23 DR#73984 SPC
10pcs 12-21-23 DR#73984 SPC
4pcs 12-21-23 DR#73984 SPC
51PCS 12-19-23 DR#73979 SPC
28PCS 12-20-23 DR#73980 SPC
1PC 12-19-23 DR#73981 LIPA A
3PCS 12-9-23 DR#73962 SPC
4PCS 12-8-23 DR#73961 SPC
7PC 12-06-23 dr#73957 SPC
20PCS 12-2-23 DR#73951 SPC
2PCS 11-28-23 Jo#29832 JARVIS
1PC 11-27-23 JO#29811 MARLO
2PCS 11-27-23 JO#29794 BEL
16PCS 11-24-23 DR#74289 SPC
2PCS 11-23-23 DR#74286 SPC
19PCS 11-23-23 DR#74285 SPC
24PCS 11-21-23 DR#74279-80 SPC
8PCS 11-20-23 DR#74276-77 SPC
8PCS 11-5-23 DR#74252 SPC
4PCS 11-4-23 JO#29311 ROSE
2PCS 11-4-23 JO#29301 LEN
4pcs 10-27-23 DR#73940 SPC
2PCS 10-23-23 JO#29033 JARVIS
12PCS 10-21-23 DR#73933 SPC
1PC 10-21-23 REF#49 STC
12PCS 10-21-23 DR#3932 SPC
4PCS 10-20-23 DR#73930 SPC
5PCS 10-19-23 DR#73929 SPC
10PCS 10-19-23 DR#73927 SPC
5PCS 10-18-23 DR#73926 SPC
4PCS 10-14-23 JO#28836 JARVIS
1PC 10-14-23 JO#28805 MARLO
4PCS 10-13-23 DR#73920 SPC
2PCS 10-12-23 JO#28738 BEL
30PCS 10-10-23 DR#73913-14 SPC
2PCS 10-10-23 JO#28730 BEL
4pcs 9-22-23 dr#72286 spc (snr)
2PCS 9-21-23 JO#28318 BEL
2pcs 9-21-23 DR#72285 SPC
4PCS 9-19-23 DR#72280 LIPA A
8PCS 9-18-23 DR#72277 SPC
10PCS 9-18-23 DR#72278 SPC
2PCS 9-15-23 JO#28195 JARVIS
8PCS 9-15-23 DR#72273 SPC
20PCS 9-14-23 DR#72270 SPC
1PC 8-18-23 JO#27574 MARLO
2PS 8-11-23 JO#27415 BEL
2PCS 8-9-23 JO#27359 JARVIS
2PCS 8-8-23 JO#27342 BEL
1P[C 8-2-23 JO#27139 ROSE
4pcs 7-26-23 jo#26957 rose
10PCS 7-12-23 STF#2555 SPC
2PCS 6-30-23 JO#26388 BEL
2PCS 6-23-23 JO#26242 OFFICE
2PCS 6-22-23 JO#26189 ROSE
1pc 6-16-23 stf#2507 sp[c
1PC 6-10-23 JO#25935 BEL
2PCS 6-9-23 JO#25880 BEL
2PCS 6-9-23 JO#25895 MARLO
2PCS 6-9-23 JO#25899 MARLO
2PCS 4-30-23 STF#2436 LIPA A
4PCS 4-29-23 JO#24867 ROSE
2PCS 4-19-23 STF#2409 SPC
2PCS 4-11-23 JO#24275 MARLO
2pcs 4-5-23 jo#23780 rose
2pcs 4-5-23 jo#24137 bel
2PCS 3-30-23 JO#23736 BEL
2PCS 3-29-23 JO#23734 BEL
4PCS 3-27-23 STF#2367 LIPA A
2PCS 3-26-23 JO#23387 MARIBEL
2PCS 3-24-23 JO#23078 ROSE
1PC 3-24-23 JO#23078 ROSE
2PCS 3-23-23 JO#22790 JARVUS
1PC 3-22-23 JO#22795 MARLO
3PCS 3-18-23 JO#22722 MARLO
2PCS 3-7-23 JO#22197 ALY
2PCS 2-22-23 JO#21911 ALY
4PCS 2-18-23 ST002296 LIPA A
6PCS 2-17-23 STF#2291 SPC
4PCS 2-16-23 JO#21742 BEL
4PCS  2-11-23 JO#21653 ALY M.A
2PCS 2-11-23 JO#21617 BEL AZADA
4PCS 2-4-23 JO#21457 BEL
1PC 2-1-23 JO#21401 ALY
2PCS 1-24-23 JO#21195 BEL
3PCS 1-23-23 STF#2234 SPC
1PC 1-21-23 JO21068 BEL
20PCS 1-20-23 STF#2224 SPC
2PCS 1-19-23 JO#21044 ALY
1PC 1-19-23 STF#2223 SPC
32PCS 1-19-23 STF#2223 SPC
8PCS 1-18-23 STF#2220 SPC
4PCS 1-11-23 JO#20831 MARLO
3PCS 1-9-23 JO#20751 BEL
10PCS 12-03-22 ST002147 SPC
4PCS 12-13-22 ST002143 LIPA B
8PCS 12-12-22 ST002136 SPC
4PCS 12-12-22 ST002134 SPC
6PCS 12-12-22 ST002135 SPC
2PCS 12-1-22 JO#19900 BEL
2PCS 11-29-22 JO#19800 JARVIS
120PCS 11-25-22 STF# 2094 SPC
2pcs 10-11-22 JO#18688 ALY 
2PCS 10-4-22 STF#2001 SPC
2PC 10-04-22 JO18534 ALY
2PCS 9-29-22 JO#18435 BEL
2PCS 9-28-22 JO#18403 SALES
2PC 9-27-22 JO18385 MARIBEL
2pc 9-26-22 jo18385 maribel
2PCS 9-24-22 STF#1989 SPC
2PCS 9-22-22 JO#18276 ALY
2PCS 9-5-22 JO#17836 ALY
1PC 8-31-22 JO#17754 ALY
2PC 8-13-22 JO17319 ALY
2PC 7-29-22 JO17011 PAUL
2PCS 7-25-22 STF#1890 SPC
2pc 7-21-22 JO16826 ALY
2PC 7-19-22 JO16708 MARLO
2PC 7-16-22 JO16729 ALY
2PC 7-16-22 JO16705 MARLO
4PCS 07-08-22 JO#16558 2PC SALES 
4pcs 7-7-22 JO#16518 SALES
2PCS 7-1-22 JO#16383 SALES
2PCS 6-30-22 STF#1850 SITE A
4pcs 6-25-22 STf#1840 SITE A
2PCS 6-23-22 JO16184 SALES
2PCS 6-18-22 JO16115 SALES
2PCS 6-16-22 JO#16057 SALES
2PCS 6-7-22 JO15848 SALES
2PCS 5-26-22 JO#15613 SALES
2PCS 5-26-22 STF#1795 SPC
2PCS 5-24-22 JO#15559 SALES
4PC 05-22-2022 JO15497 SALES
2PC 05-13-2022 JO15353 SALES
2PC 05-05-2022 JO15166 SALES
2PCS 5-5-22 STF#1767 LIPA A</t>
        </r>
      </text>
    </comment>
    <comment ref="G1655" authorId="0" shapeId="0" xr:uid="{3CACB01F-D100-2041-AA9B-97A31ABB45CF}">
      <text>
        <r>
          <rPr>
            <sz val="10"/>
            <rFont val="SimSun"/>
            <charset val="134"/>
          </rPr>
          <t>3PCS 2-2-24 DR#74644 SPC
1PC 2-1-24 DR#74639 SPC
20pcs 12-19-23 DR#80975 DYMANS
4PCS 9-28-22 STF#7012 SPC
4PCS 8-27-22 STF#6846 SPC
4PCS 7-14-22 STF#6635 SPC</t>
        </r>
      </text>
    </comment>
    <comment ref="H1655" authorId="0" shapeId="0" xr:uid="{8DF73806-A53B-3C44-B535-7AB30CF55E03}">
      <text>
        <r>
          <rPr>
            <sz val="10"/>
            <rFont val="SimSun"/>
            <charset val="134"/>
          </rPr>
          <t xml:space="preserve">
4PCS 2-3-24 JO#31614 JARVIS
OUT 1-29-24 31448 4PCS SALES
OUT 01-27-2024
DR#72155 4PCS LIPA A
12pc 12-26-23 DR#73987 SPC
4PC 10-04-22 JO18559 JARVIS
3PCS 9-19-22 JO#18163 JARVIS
1pc 9-16-22 st001977 lipa a
4pcs 8-21-22 JO#17514 ALY</t>
        </r>
      </text>
    </comment>
    <comment ref="G1656" authorId="0" shapeId="0" xr:uid="{D9954383-BE1E-4044-8907-0ACDA9734094}">
      <text>
        <r>
          <rPr>
            <sz val="10"/>
            <rFont val="SimSun"/>
            <charset val="134"/>
          </rPr>
          <t>1PC 3-6-23 J=STf#7795 SPC
4pcs 2-18-23 STF#7693 SPC
4PCS 1-26-23 STF#7575 SPC</t>
        </r>
      </text>
    </comment>
    <comment ref="H1656" authorId="0" shapeId="0" xr:uid="{D1C3BEF1-F4B1-D54C-BF64-8695296A58AE}">
      <text>
        <r>
          <rPr>
            <sz val="10"/>
            <rFont val="SimSun"/>
            <charset val="134"/>
          </rPr>
          <t>5-18-25
4PCS 3-11-23 JO#22298 BEL
1PC 3-6-23 ST002323 LIPA A
4PCS 2-24-23 JO#21973 ALY</t>
        </r>
      </text>
    </comment>
    <comment ref="G1657" authorId="0" shapeId="0" xr:uid="{2D9C1792-FDAF-154C-B37C-403221E0F7C8}">
      <text>
        <r>
          <rPr>
            <sz val="10"/>
            <rFont val="SimSun"/>
            <charset val="134"/>
          </rPr>
          <t>IN 4PCS 12-21-24 DR#34507 SVB
IN 2PCS 08/04/24 DR#76505 SPC 
IN 2PCS 8-2-24 DR#86854 DYMANS
4pcs 6-22-24 DR#86012 DYMANS
IN 30PCS 06/13/24 DR#85790 DYMANS
IN 3PCS 05/31/24 DR#85432 DYMANS
IN 11PCS 05/21/24 DR#85184 DYMANS
IN 4PCS 05/15/24 DR#85010 DYMANS
IN 8PCS 4/11/24 DR#84081 DYMANS
IN 5PCS 03/20/24 DR#83549 DYMANS
IN 03/13/24 8PCS DR#83352 DYMANS
IN 2/29/24 6PCS DR#83038 DYMANS
5pcs 12-29-23 DR#81617 DYMANS
39pcs 12-29-23 DR#81617 DYMANS
4pcs 12-21-23 dr#80249
DYMANS
20pcs 12-19-23 DR#80249 DYMANS
25PCS 12-4-23 DR#80249 DYMANS 
8PCS 11-29-23 DR#80249  DYMANS
14PCS 11-23-23 DR#79527 DYMANS
10PCS  11-20-23 DR#79527 DYMANS
2PCS  11-20-23 DR#80249 DYMANS
11Pcs 11-4-23 DR#79527 DYMANS
11PCS 10-18-23 DR#79527 DYMANS
8PCS 10-10-23 DR#79527 DYMANS
16PCS 09-13-23 DR#77274
DYMANS
4pcs 6-30-23 SPC
10PCS 02-15-23 021164 DYMANS
25PCS 02-15-23 021699 DYMANS
13PCS 02-15-23 021699 DYMANS
12PCS 01-17-23 YTSPO21699 DYMANS
4PCS 1-16-23 STF#7519 SPC
40PCS 11-26-2022 DYMANS 21025
4PCS 11-24-22 STF#7279 SPC
1PC 10-18-22 STF#7120 SPC
2PCS 8-8-22 STf#6747 SPC
2PCS 7-18-22 STF#6648 SPC
2PCS 7-13-22 STF#6625 SPC
4PCS 6-10-22 stF#6473 spc
4PC 04-11-2022 ST006192 SPC
2PC 03-01-2022 ST005993 SPC
4PC 02-18-2022 ST005935 SPC</t>
        </r>
      </text>
    </comment>
    <comment ref="H1657" authorId="0" shapeId="0" xr:uid="{0D758F6D-05C2-2546-A616-015E55CA0908}">
      <text>
        <r>
          <rPr>
            <sz val="10"/>
            <rFont val="SimSun"/>
            <charset val="134"/>
          </rPr>
          <t xml:space="preserve">12-21-24
40943 4PCS SALES MARLO
08/04/24
36525 2PCS SALES MARLO
OUT 2PCS 08/02/24 REF#75666 STC KUYA HACKET FOR SNR
OUT 4PCS 07/01/24 REF# STC FOR SNR KUYA EMMAN
OUT 28PCS 06/27/24 REF#75633 STC FOR SNR
OUT 2PCS 6-22-24 DR#75114 SPC MSTER
OUT 3PCS 06/01/24 REF# STC KUYA EMMAN (FOR SNR)
OUT 11PCS 05/25/24 DR# SPC KUYA HACKET
OUT 1PCS 05/20/24 REF# STC KUYA EMMAN
OUT 3PCS 05/16/24 REF# STC KUYA EMAN
OUT 8PCS 04/11/24 DR#74766 SPC KUYA HACKET
OUT 1PC 03/30/24 DR#74745-46 SPC KUYA HACKET 
OUT 03/22/24 32885 4PCS SALES ROSE
4PCS C/O BATELEC RESERVEDOUT 4PCS 03/14/24 DR#74717 SPC KUYA HACKET
OUT 03/13/24 4PCS DR#74713 PICK UP MASTERS
6pcs 3-4-24 DR#74695 SPC MASTER PCIK UP
OUT 7PCS 2/26/24 DR# 74689-90 SPC PICK UP MASTER
2PCS 2-25-24 32212 JOHNLY
4PCS 2-19-24 DR# LIPA A
3PCS 2-1-24 STA CRUZ PICK UP BY KUYA EMMAN&amp;MASTER
12PCS 1-31-24 STA CRUZ PICK UP BY KUYA MASTER&amp;EMMAN
6PCS 1-26-24 DR#000001 SPC
OUT 1-17-24 DR#73388 4PCS SPC
4PCS 1-4-24 DR#73355 LIPA A
6PCS 1-3-24 DR#23351-52 SPC
6pc 12-26-23 DR#73987 SPC
4pcs 12-21-23 DR#73984 SPC
12PCS 12-20-23 DR#73980 SPC
19PCS 12-06-23 DR#73957 SPC
4PCS 12-5-23 DR#73955 SPC
4PCS 11-30-23 DR#74297 SPC
4PCS 11-30-23 DR#74295-96 SPC
9PCS 11-24-23 DR#74288 SPC
1PC 11-23-23 STA CRUZ
4PCS 11-23-23 DR#74285 SPC
4PCS 11-21-23 DR#74279-80 SPC
8PCS 11-20-23 DR#74276-77 SPC
11PCS 11-5-23 DR#74252 SPC
4PCS 10-20-23 DR#73930 SPC
5PCS 10-19-23 DR#73929 SPC
2PCS 10-18-23 DR#73926 SPC
8PCS 10-10-23 DR#73913-14 SPC
8PCS 9-14-23 DR#72270 SPC
8PCS 9-14-23 DR#72270 SPC
4PCS 7-6-23 STF#2540 SPC
4pcs 5-11-23 STF#2452 SPC
4PCS 5-5-23 STF#2442 SPC
5PCS 4-13-23 STF#2399 SPC
8PCS 3-28-23 STF#2369 LIPA A
8PCS 2-16-23 STF2287 SPC S&amp;R
10PCS 1-23-23 STF#2234 SPC
4PCS 12-13-22 STF#2151 SPC
2PCS 12-13-22 ST002147 SPC
4PCS 12-12-22 ST002136 SPC
34PCS 11-26-22 STF#2095 SPC
1PC  10-19-22 STF#2021 SPC
4PCS 8-19-22 STF#17465 ALY
2PC 8-16-22 JO17392 JARVIS
2PC 7-16-22 JO16717 MARIBEL
2PC 7-2-22 JO16365 MARLO
1PC 5-11-22 STF#1776 SPC
4PC 04-10-2022 JO14665 4PC SALES
4PC 03-14-2022 JO14097 SALES
</t>
        </r>
      </text>
    </comment>
    <comment ref="L1657" authorId="0" shapeId="0" xr:uid="{65FA2E19-0AC2-D54C-B427-6AAB745347C4}">
      <text>
        <r>
          <rPr>
            <sz val="10"/>
            <rFont val="SimSun"/>
            <charset val="134"/>
          </rPr>
          <t>10PCS 02-15-23 NEW DEL MDD
25PCS 02-15-23 NEW DEL MDD
13PCS 02-15-23 NEW DEL MDD</t>
        </r>
      </text>
    </comment>
    <comment ref="G1660" authorId="0" shapeId="0" xr:uid="{260ABC45-5125-8143-9DF5-56301C76DF00}">
      <text>
        <r>
          <rPr>
            <sz val="10"/>
            <rFont val="SimSun"/>
            <charset val="134"/>
          </rPr>
          <t>2PCS 10-31-22 STF#7175 SPC
4PCS 2-9-22 STF#5892 SPC
4PCS 01-26-2022 ST005816 SPC
4PCS 1-17-22 STF#5778 SPC
4PCS 12-23-21 STF#1682 A
4PCS 12-24-21 STF#5700 SPC</t>
        </r>
      </text>
    </comment>
    <comment ref="H1660" authorId="0" shapeId="0" xr:uid="{58868A63-2D0B-2C46-B343-38B80D580D9D}">
      <text>
        <r>
          <rPr>
            <sz val="10"/>
            <rFont val="SimSun"/>
            <charset val="134"/>
          </rPr>
          <t>2PCS 10-30-22 JO#19030 SALES
8PCS 4-21-22 STF#1740 SPC
4PC 04-17-2022 JO14784 ALY
2PCS 2-9-22 STF#1629 A
2PCS 1-3-214 JO#12755 MARFIBEL
4PCS 12-24-21 JO#12605 JARVIS
4PCS - 10/25/2021 SPC</t>
        </r>
      </text>
    </comment>
    <comment ref="G1661" authorId="0" shapeId="0" xr:uid="{9F4627B5-E39F-1F4F-920E-989980AA0B4A}">
      <text>
        <r>
          <rPr>
            <sz val="10"/>
            <rFont val="SimSun"/>
            <charset val="134"/>
          </rPr>
          <t>2PCS 10-31-22 STF#7175 SPC</t>
        </r>
      </text>
    </comment>
    <comment ref="H1661" authorId="0" shapeId="0" xr:uid="{10A3C240-8EB7-214C-8173-B390343D79D2}">
      <text>
        <r>
          <rPr>
            <sz val="10"/>
            <rFont val="SimSun"/>
            <charset val="134"/>
          </rPr>
          <t>1PC  11-17-22 STF#2073 SPC
1PC 11-14-22 STF#2069 SITE A</t>
        </r>
      </text>
    </comment>
    <comment ref="G1662" authorId="0" shapeId="0" xr:uid="{A962CF8D-4570-7648-ADBD-C77AD1A5929E}">
      <text>
        <r>
          <rPr>
            <sz val="10"/>
            <rFont val="SimSun"/>
            <charset val="134"/>
          </rPr>
          <t>IN 4PCS 11.4.25 DR#79103 STC ROI
IN 4PCS 07/23/24 DR#86462 DYMANS
IN 26PCS 07/20/24 DR#86462 DYMANS
IN 8PCS 07/08/24 DR#86462 DYMANS
IN 10PCS 07/02/24 DR#86462 DYMANS
IN 2PCS 06/22/24 DR#86047 DYMANS
3pcs 6-22-24 DR#86012 DYMANS
IN 2PCS 05/31/24 DR#85434 DYMANS
IN 3PCS 5/21/2024 DR#85183 DYMANS
IN 4PCS 05/14/24 DR#85010 DYMANS
IN 6PCS 05/04/24 DR#84808 DYMANS
IN 17PCS 04/30/24 DR#84630 DYMNAS
IN 2PCS 4/11/24 DR#84081 DYMANS
IN 03/13/24 20PCS DR#83352 DYMANS
IN 2/29/24 20PCS DR#82377 DYMANS
41pcs 2-2-24 DR#82443 DYMANS
44pcs 12-29-23 DR#81617 DYMANS
5pcs 12-21-23 dr#80249
DYMANS
4pcs 12-19-23 DR#80249 DYMANS
5PCS 12-4-23 DR#80249 DYMANS 
12PCS 11-29-23 DR#77274 DYMANS
2PCS 11-23-23 DR#77274 DYMANS
12PCS  11-20-23 DR#80249 DYMANS
5pcs 11-4-23 dr#77172 dymans
9pcs 11-4-23 DR#77274 DYMANS
8PCS 10-10-23 DR#77172 DYMANS
16PCS 09-13-23 DR#77172 DYMANS
2PCS 7-21-23 S=DR#74029 SPC
8PCS 6-27-23 SPC
8PCS 02-15-23 021164 DYMANS
36PCS 02-15-23 YTSP021699 DYMANS
4PCS 1-28-23 STF#7588 SPC
14PCS 01-17-23 YTSPO21699 DYMANS
4PCS 1-16-23 STF#7519 SPC
24PCS 12-10-22 DR71960 DYMANS
4PCS 12-6-22 STF#7339 SPC
60PCS 11-25-22 YTSP021025 DYMANS
4PCS 7-18-22 STF#6648 SPC
4PCS 7-7-22 STf#6594 SPC
4PC 6-12-22 STF1972 LIPA A
4PCS 6-10-22 stF#6473 spc
2pcs 5-23-22 stf#6370 spc
4PC 04-18-2022 ST006213 SPC
4PCS 4-28-22 STF#6251 SPC
2PC 04-25-2022 ST006237 SPC
4PCS 4-21-22 STF#6224 SPC
2PC 04-16-2022 ST006204 SPC
8pcs 4-12-22 stf#6199 spc
2pcs 4-12-22 STF#1870 SPC
2PC 04-10-22 ST001866 LIPA A
4PC 03-30-2022 ST006127 SPC
4PC 03-14-2022 ST000627 STC
2PC 03-12-2022 ST001816 LIPA A
2PCS 3-1-22 STF#5993 SPC
4PC 02-18-22 ST005935 SPC
4PC 01-26-2022 ST005816 SPC
2PCS 01-19-2022 ST001727 LIPA A
4PCS 1-11-22 STF#5756 SPC
4PCS 01-06-2022 ST005734 SPC
2PCS  11-30-21 STF#5630 SPC
2PCS 12-7-21 STF#5625 SPC
4PCS 12-6-21 STF#1646 4PC A
2PCS 11-21-2021 ST001622 LIPA A
2PCS  11-18-2021 ST001618 LIPA A</t>
        </r>
      </text>
    </comment>
    <comment ref="H1662" authorId="0" shapeId="0" xr:uid="{55A3FE2E-EF97-BA46-B194-BECB62EEAC65}">
      <text>
        <r>
          <rPr>
            <sz val="10"/>
            <rFont val="SimSun"/>
            <charset val="134"/>
          </rPr>
          <t>11-5-25
4 PCS 51998 ALY
out 4pcs 5.26.25 dr#77986 spc snr
OUT 4PCS 07/23/24 REF#75661 STC KUYA HACKET FOR SNR
OUT 26PCS 07/21/24 REF#75658 STC KUYA RON
OUT 2PCS 07/15/24 REF#75650 STC FOR SNR KYA EMAN
OUT 07/13/24 35938 2PC SALES BEL
OUT 8PCS 07/09/24 REF#75643 STC FOR SNR FOR PICK UP
OUT 4PCS 07/06/24 REF#75639 STC FOR SNR KUYA RON
OUT 2PCS 07/02/24 REF# STC FOR SNR KUYA HACKET
OUT 2PCS 06/22/24 REF#75629 STC FOR SNR KUYA EMMAN
OUT 3PCS 6-21-24 DR#75144 SPC MSTER
OUT 2PCS 05/31/24 REF# STC KUYA DANCRIS (FOR SNR)
OUT 2PCS 05/21/24 STC KUYA HACKET
OUT 4PCS 05/20/24 REF# STC KUYA EMMAN
OUT 8PCS 05/07/24 STC KUYA HACKET
4PCS 5-3-24 DR# PICK UP KUYA HACKET
OUT 11PCS 05/01/24 REF# STC MASTER
OUT 2PCS 04/11/24 DR#74766 SPC KUYA HACKET
OUT 4PCS 03/19/24 DR#74725 PICK UP KUYA HACKET
OUT 10PCS 03/14/24 DR#74718 SPC KUYA HACKET
OUT 03/13/24 6PCS DR# KUYA HACKET
OUT 4PCS 3/03/2024 LIPA A DR#74694
OUT 5PCS 2/26/24 DR# 74689-90 SPC PICK UP MASTER
OUT 2-22-24 DR#74685 12PCS SPC MASTER
OUT 02-17-2024
31992 2PCS SALES MARIBEL
4PCS 2-13-24 DR#74673 SPC
4PCS 2-1324 DR#74672 LIPA A
OUT 2-3-24 DR#74658-59 8PCS SPC
6pcs 2-3-24 STA CRUZ PICK UP BY KUYA EMMAN&amp;MASTER
3PCS 2-1-24 STA CRUZ PICK UP BY KUYA EMMAN&amp;MASTER
4PCS 1-31-24 STA CRUZ PICK UP BY KUYA MASTER&amp;EMMAN
4PCS 1-24-24 DR#73397 SPC
7PCS 1-24-24 STA CRUZ S&amp;R PICK UP KUYA HACKET
6PCS 1-20-24 DR#73390-91 SPC
OUT 1-19-24 JO#31206 2PCS SALES
OUT 1-17-24 DR#73388 8PCS SPC
10PCS 1-3-24 DR#23351-52 SPC
5pcs 12-21-23 DR#73984 SPC
4PCS 12-20-23 DR#73980 SPC
4PCS 12-06-23 DR#73957 SPC
3PCS 12-23-23 DR#73966 SPC
8PCS 11-30-23 DR#74297 SPC
4PCS 11-30-23 DR#74295-96 SPC
2PCS 11-23-23 DR#74285 SPC
4PCS 11-22-23 JO#74282 SPC
8PCS 11-20-23 DR#74276-77 SPC
14PCS 11-5-23 DR#74252 SPC
8PCS 10-10-23 DR#73913-14 SPC
4pcs 9-22-23 dr#72286 spc (snr)
12PCS 9-15-23 DR#72273 SPC
4PCS 8-9-23 DR#72209 SPC
2PCS 7-7-23 JO#26557 MARLO
4PCS 6-03-23 ST002488 LIPA A
4PCS 5-26-23 STF#2475 S[PC
2PCS 5-2-23 JO#25021 BEL
8PCS 4-26-23 STF#2426 SPC
2PCS 4-21-23 JO#24767 BEL
4PCS 4-19-23 STF#2409 SPC
4PCS 3-28-23 STF#2369 LIPA A
20pcs 2-25-23 STF#2309 SPC
8PCS 2-16-23 STF#2288 S&amp;R
5PCS 1-23-23 STF#2234 SPC
4pcs 1-23-23 STF#2233 LIPA A
2PCS 1-21-23 STF#2229 SPC
7PCS 1-21-23 STF#2228 SPC
1PC 12-16-22 ST002156 LIPA A
2PCS 12-13-22 JO#20154 
MARLO
4PCS 12-13-22 ST002147 LIPA B
4PCS 12-13-22 ST002144 LIPA B
8PCS 12-13-22 ST002143 LIPA B
4PCS 12-12-22 ST002136 SPC
4PCS 12-12-22 ST002134 SPC
60PCS 11-25-22 STF#2094 SPC
2PCS 9-1-22 STF#1958 SPC
2PCS 8-31-22 JO#17752 ALY
4PCS 8-26-22 JO#17642 OFFICE
4PC 6-12-22 JO15989 SALES
4PC 6-11-22 JO15966 SALES
2pcs 5-22-22 JO#15538 SALES
4PCS 4-28-22 STF#1757 SPC</t>
        </r>
      </text>
    </comment>
    <comment ref="L1662" authorId="0" shapeId="0" xr:uid="{2DC05688-BABF-5449-8F08-421E849F2A22}">
      <text>
        <r>
          <rPr>
            <sz val="10"/>
            <rFont val="SimSun"/>
            <charset val="134"/>
          </rPr>
          <t xml:space="preserve">8PCS 02-15-23 NEW DEL MDD
36PCS 02-15-23 NEW DEL MDD 
4PCS 02-15-23 ON HAND </t>
        </r>
      </text>
    </comment>
    <comment ref="G1663" authorId="0" shapeId="0" xr:uid="{71359A62-E647-0941-A0DF-F167CC8973B4}">
      <text>
        <r>
          <rPr>
            <sz val="10"/>
            <rFont val="SimSun"/>
            <charset val="134"/>
          </rPr>
          <t>IN 4PCS 01.22.26 DR79993 SPC RONNIE
IN 4PCS 6.28.25 DR#77778 SPC EMMAN
IN 2PCS 08/15/24 DR#76521 SPC KUYA HACKET
IN 13PCS 08/10/24 DR#86462 DYMANS
IN 2PCS 08/06/24 DR#32916 SVB
IN 10PCS 08/03/24 DR#86462 DYMANS
IN 14PCS 8-2-24 DR#86462 DYMANS
IN 24PCS 07/30/24 DR#086462 DYMANS 
IN 9PCS 07/23/24 DR#86462 DYMANS
IN 6PCS 07/20/24 DR#86462 DYMANS
IN 9PCS 07/16/24 DR#86462 DYMANS
IN 5PCS 07/13/24 DR#86462 DYMANS
IN 15PCS 07/08/24 DR#86462 DYMANS
IN 5PCS 07/02/24 DR#86462 DYMANS
IN 6PCS 07/01/24 DR#86378 DYMANS
6PCS 6-22-24 DR#85961 DYMANS
IN 8PCS 06/13/24 DR#85790 DYMANS
IN 10PCS 05/31/24 DR#85432 DYMANS
IN 10PCS 05/21/24 DR#85184 DYMANS
IN 30PCS 5/21/2024 DR#85183 DYMANS
IN 7PCS 05/14/24 DR#85010 DYMANS
IN 38PCS 05/04/24 DR#84808 DYMANS
IN 11PCS 04/30/24 DR#84630 DYMNAS
IN 8PCS 04/19/24 DR#84321 DYMANS
IN 2PCS 4/11/24 DR#84081 DYMANS
IN 8PCS 03/27/24 DR#83792 DYMANS
IN 18PCS 03/20/24 DR#83549 DYMANS
IN 03/13/24 18PCS DR#83078 DYMANS
4PC 3-1-24 dr#73415 lipa a
200PCS 12-27-23 DR#81617 DYMANS
29PCS 12-27-23 DR#78812 DYMANS
9pcs 12-21-23 dr#78812
DYMANS
13PCS 12-4-23 DR#78038  DYMANS 
22PCS 12-4-23 DR#78812 DYMANS 
30PCS 11-30-23 DR#80893 DYMANS
30PCS 11-23-23 DR#79527 DYMANS
20PCS  11-20-23 DR#80249 DYMANS
16pcs 11-4-23 DR#77273 DYMANS
22PCS 10-18-23 DR#77273 DYMANS
8PCS 10-10-23 DR#77273 DYMANS
2PCS 8-31-23 DR#74178 SPC
2PCS 8-8-23 DR#74067 SPC
8PCS 7-19-23 DR#74016 SPC
2PCS 6-19-23 SPC
8pcs 5-22-23 STF#8141 SPC
4PCS 3-27-23 STF#7907 SPC
2PCS 3-13-23 STF#7836 SPC
4PCS 3-1-23 STF#7760 SPC
1PC  2-27-23 STF# SPC
1pc 2-25-23 stf#7739 SPC
2PCS 2-21-23 STF#7711 SPC
2PCS 2-1-23 STF#7607 SPC
4PCS 1-28-23 STF#7588 SPC
69PCS 01-17-23 YTSPO21158 DYMANS
8PCS 1-7-23  STF#7465 SPC
24PCS 12-10-22 DR71938 DYMANS
4PCS 12-6-22 STF#7339 SPC
100PCS 11-26-22 21025 DYMANS
30PCS 11-25-22 YTSP019974 DYMANS
--------------------------------------------
4PCS 11-16-22 STF#7249 SPC
4PCS 10-24-22 STF#7144 SPC
4PCS 9-21-22 STF#6959 SPC
3PCS 8-9-22 STF#6751 SPC
3PCS 7-26-22 STF#6695 SPC
1pc 7-25-22 STF#6692 SPC
2PCS 6-17-22 STF#6497 SPC
4pcs 6-11-22 STF#6481 SPC
4PCS 6-9-22 STF#6465 SPC
4PCS 5-24-22 STF#6385 SPC
2PC 04-25-2022 ST006237 SPC
4PCS 4-21-22 STF#6224 SPC
2PC 04-16-2022 ST006204 SPC
8pcs 4-12-22 stf#6199 spc
2pcs 4-12-22 STF#1870 SPC
2PC 04-10-22 ST001866 LIPA A
4PC 03-30-2022 ST006127 SPC
4PC 03-14-2022 ST000627 STC
2PC 03-12-2022 ST001816 LIPA A
2PCS 3-1-22 STF#5993 SPC
4PC 02-18-22 ST005935 SPC
4PC 01-26-2022 ST005816 SPC
2PCS 01-19-2022 ST001727 LIPA A
4PCS 1-11-22 STF#5756 SPC
4PCS 01-06-2022 ST005734 SPC
2PCS  11-30-21 STF#5630 SPC
2PCS 12-7-21 STF#5625 SPC
4PCS 12-6-21 STF#1646 4PC A
2PCS 11-21-2021 ST001622 LIPA A
2PCS  11-18-2021 ST001618 LIPA A</t>
        </r>
      </text>
    </comment>
    <comment ref="H1663" authorId="0" shapeId="0" xr:uid="{88A8EA2D-383C-1E4F-9502-C89FCF767DD7}">
      <text>
        <r>
          <rPr>
            <sz val="10"/>
            <rFont val="SimSun"/>
            <charset val="134"/>
          </rPr>
          <t xml:space="preserve">
OUT 2PCS 10/29/24
JO38874 ROSE
08/15/24
36787 2PCS SALES BEL
OUT 8PCS 08/13/24 REF#75675 KUYA HACKET FOR SNR
OUT 5PCS 08/11/24 REF#75674  STC FOR SNR MASTER
08/06/24
36602 4PCS SALES MARLO
OUT 4PCS 08/06/24 REF#75669 STC FOR SNR KUYA EMMAN
OUT 08/05/24 36500 4PCS SALES ROSE
OUT 14PCS 08/02/24 REF#75666 STC KUYA HACKET FOR SNR
OUT 12PCS 07/30/24 REF#75664 STC KUYA HACKET
OUT 12PCS 07/30/24 REF#75665 STC KUYA EMMAN
OUT 6PCS 07/23/24 REF#75661 STC KUYA HACKET FOR SNR
OUT 3PCS 07/23/24 REF#75660 STC MASTER FOR SNR
OUT 6PCS 07/21/24 REF#75658 STC KUY RON
OUT 9PCS 07/17/24 REF#75655 STC FOR SNR MASTER
OUT 9PCS 07/15/24 REF#75650 STC FOR SNR KYA EMAN
OUT 2PCS 07/09/24 REF#75643 STC FOR SNR FOR PICK UP
OUT 10PCS 07/08/24 REF#75642 KUYA HACKET FOR SNR
OUT 4PCS 07/02/24 REF# STC FOR SNR KUYA HACKET
OUT 6PCS 07/01/24 REF# STC FOR SNR MASTER
OUT 9PCS 06/27/24 REF#75633 STC FOR SNR
OUT 10PCS 06/24/24 REF#75632 FOR SNR KUYA HACKET
OUT 6PCS 06/22/24 REF# STC KUYA EMAN
OUT 4PCS 06/17/24 DR#75110 SPC MASTER
OUT 10PCS 06/03/24 REF# STC KUYA EMMAN
OUT 13PCS 05/23/24 STC KUYA ALDWIN
OUT 6PCS 05/23/24 STC
OUT 10PCS 05/21/24 STC KUYA EMAN
OUT 3PCS 05/21/24 STC KUYA HACKET
OUT 4PCS 05/18/24 STC KUYA BOYONG 
OUT 3PCS 05/16/24 REF# STC KUYA EMAN
OUT 11PCS 05/07/24 STC KUYA HACKET
OUT 32PCS 05/06/24 REF# STC KUYA EMMAN
4PCS 5-3-24 DR# PICK UP KUYA HACKET
2PCS 5-3-24 DR# PICK UP KUYA HACKET
OUT 2PCS 04/20/24 STC KUYA HACKET
OUT 7PCS 04/19/24 DR#74780 SPC KUYA HACKET
OUT 4PCS 04/03/24 STC 
OUT 03/20/24 32845 4PCS DR#74730 SPC
OUT 13PCS 03/20/24 DR#74728 SPC PICK UP KUYA HACKET
OUT 2PCS 03/14/24 DR#74717 SPC KUYA HACKET
OUT 03/13/24 4PCS DR#74714  KUYA HACKET
OUT 2PCS 03/13/24 DR#74709 SPC PICK UP KUYA ADWIN
OUT 03/13/24 10PCS DR#74713 PICK UP MASTERS
OUT 03/12/24 1PCS  DR#74706 SPC
OUT 03/06/24 20PCS DR#74700 MASTER
OUT 03/01/24 32342 1PCS SALES JHONLY 
OUT 29PCS 2/26/24 DR# 74689-90 SPC PICK UP MASTER
OUT 2-22-24 DR#74685 36PCS SPC MASTER
2PCS 2-21-24 32096 MARLO
OUT 02-18-2024
4PCS SPC MASTER PICK UP
10PCS 2-16-24 DR#74676 SPC
9PCS 2-1324 DR#74672 LIPA A
3PCS 2-10-24 DR#74669 SPC
OUT 2-8-24 DR#74666 10PCS  SPC
OUT 2-3-24 DR#74658-59 8PCS SPC4pcs 2-3-24 STA CRUZ PICK UP BY KUYA EMMAN&amp;MASTER
8PCS 2-1-24 STA CRUZ PICK UP BY KUYA EMMAN&amp;MASTER
11PCS 1-31-24 STA CRUZ PICK UP BY KUYA MASTER&amp;EMMAN
22PCS 1-24-24 TA CRUZ PICK UP KUYA HACKET
9PCS 1-24-24 STA CRUZ S&amp;R PICK UP KUYA HACKET
14PCS 1-20-24 DR#73390-91 SPC
OUT 1-17-24 DR#73388 2PCS SPC
2PCS 1-15-24 JO#31073 ROSE
10PCS 1-8-24 DR#73367 SPC
8PCS 1-3-24 DR#23351-52 SPC
8PCS 1-3-24 DR#74000 LIPA A
4PCS 1-3-23 JOI#30710 MARLO
12PCS 12-30-23 DR#73992 SPC
8PCS 12-30-23 DR#73994 SPC
2PCS 12-27-23 STA CRUZ
2pc 12-26-23 DR#73987 SPC
9pcs 12-21-23 DR#73984 SPC
1PC 12-10-23 DR#73965 SPC
4PCS 12-8-23 DR#73961 SPC
4PCS 12-8-23 DR#73959 SPC
21PCS 12-4-23 DR#73954 SPC
30PCS 12-1-23 DR#74300 SPC
2PC 11-24-23 DR#74290 SPC
4PCS 11-24-23 DR#74289 SPC
10PCS 11-23-23 DR#74285 SPC
14PCS 11-23-23 DR#74285 SPC
12PCS 11-21-23 DR#74279-80 SPC
8PCS 11-20-23 DR#74276-77 SPC
16PCS 11-5-23 DR#74252 SPC
2PCS 10-21-23 DR#3932 SPC
7PCS 10-20-23 DR#73930 SPC
2PCS 10-19-23 JO#28952 BEL
9PCS 10-19-23 DR#73927 SPC
6PCS 10-18-23 DR#73926 SPC
8PCS 10-10-23 DR#73913-14 SPC
4pcs 9-22-23 dr#72286 spc (snr)
2PCS 8-9-23 JO#27288 ROSE
2PCS 8-5-23 JO#27273 BEL
2PCS 7-7-23 JO#26569 BEL
2PCS 6-15-23 JO#26064 BEL
4PCS 5-23-23 JO#25522 MARLO
2PCS 4-19-23 STF#2409 SPC
2pcs st002407 lipa a
4PCS 3-24-23 JO#23087 MARIBEL
2PCS 3-11-23 JO#22312 BEL
4PCS 3-5-23 JO22161 MARIBEL
1PC  2-22-23 STF#2305 SPC
4PCS 2-16-23 STF#2288 S&amp;R
2PCS 1-31-23 JO#21383 ALY
22PCS 1-24-23 STF#2236 SPC S&amp;R
16PCS 1-23-23 STF#2234 SPC
30PCS 1-19-23 STF#2222 SPC
4PCS 1-19-23 STF#2220 SPC
4PCS 1-18-23 JO#21033 BEL 
1PC 1-14-23 STF#2213 SPC
2PCS 12-13-22 STF#2150 SITE A
4PCS 12-03-22 ST002147 SPC
4PCS 12-13-22 ST002144 LIPA B
4PCS 12-13-22 ST002143 LIPA B
2PCS 12-12-22 ST002140 SPC
2PCS 12-12-22 STF#2140 SPC 
4PCS 12-12-22 ST002136 SPC
8PCS 12-12-22 ST002134 SPC
100PCS 11-26-22 STF# 2095
30PCS 11-26-22 STF# 2095 SPC
4PCS 11-17-22 JO#19427 OFFCIE
4PCS 10-31-22 JO#19124 BEL
4PCS 10-4-22 STF#2001 SPC
1PC 9-1-22 STF#1958 SPC
2PCS 9-1-22 STF#1957 SITE A
1pc 8-30-22 JO#17726 aly
3PC 8-8-22 JO17228 MARIBEL
6PCS 7-25-22 STF#1890 SPC
2PC 7-18-22 JO16756 ALY
2PC 6-11-22 JO15963 SALES
4PCS 5-26-22 JO#15621 SALES
1PC 5-11-22 STF#1776 SPC
4PC 04-28-2022 JO15019 SALES
2PC 04-23-2022 JO14941 SALES
4PC 04-17-22 JO14786 SALES
4PC 04-14-2022 ST001731 LIPA A
4PCS 4-13-22 JO#14699 SALES
4PC 04-10-22 JO14671 SALES
2PC 04-08-2022 JO14593 SALES
4PCS 3-15-22 STF#1676 SPC
2PC 03-12-2022 JO14053 JARVIS
2PC 03-10-2022 JO14008 SALES
2PC 03-06-2022 JO13929 SALES
2PCS  2-21-22 JO#13671 JARVIS
2pc 02-18-2022 JO13604 SALES 
2PCS 2-2-22 JO#13220 JARVIS
4PCS 01-19-2022 JO#13017 ALY 4PCS 1-13-22 STF#1587 A
2PCS 1-7-22 JO#12629 LIZA
2PCS 12-23-2021 JO#12597 MARIBEL 
2PCS 12-23-2021 ST001559 LIPA A
2PCS 12-9-21 JO#12289 SALES
2PCS  12-7-21 STF#1529 A
2PCS 11-21-21 JO#11965 PLDT
2PCS 11-19-21 JO#11155 SALES</t>
        </r>
      </text>
    </comment>
    <comment ref="G1664" authorId="0" shapeId="0" xr:uid="{314F4F12-345F-0443-889E-E57B028C0F4B}">
      <text>
        <r>
          <rPr>
            <sz val="10"/>
            <rFont val="SimSun"/>
            <charset val="134"/>
          </rPr>
          <t>4PCS  2-25-23 stf#7739 SPC
4PCS 1-27-23 STF#7586 SPC
4PCS 1-24-23 STF#7562 SPC</t>
        </r>
      </text>
    </comment>
    <comment ref="H1664" authorId="0" shapeId="0" xr:uid="{2BF681AD-E4A5-DD45-B8AD-0C842662CFE5}">
      <text>
        <r>
          <rPr>
            <sz val="10"/>
            <rFont val="SimSun"/>
            <charset val="134"/>
          </rPr>
          <t>1PC 3-1-23 JO#21898 OFFICE
4pcs 2-25-23 JO#21975 ALY
4PCS 1-29-23 JO#21319 MARLO
4PCS 1-24-23 JO#21178 ALY</t>
        </r>
      </text>
    </comment>
    <comment ref="G1666" authorId="0" shapeId="0" xr:uid="{53B92EC1-912B-194B-ADA8-972BB9A5BAB6}">
      <text>
        <r>
          <rPr>
            <sz val="10"/>
            <rFont val="SimSun"/>
            <charset val="134"/>
          </rPr>
          <t>IN 2PCS 11.19.25 DR#79888 SPC BRY
IN 2PCS 8.7.25 DR#78843 SPC HACKET
IN 2PCS 08/16/24 DR#86462 DYMANS
IN 4PCS 08/10/24 DR#86462 DYMANS
IN 2PCS 08/03/24 DR#86462 DYMANS
IN 1PCS 07/30/24 DR#086462 DYMANS 
IN 6PCS 07/23/24 DR#86462 DYMANS
IN 6PCS 07/20/24 DR#86462 DYMANS
IN 7PCS 07/13/24 DR#86462 DYMANS
IN 13PCS 07/08/24 DR#86462 DYMANS
IN 6PCS 07/01/24 DR#86378 DYMANS
IN 7PCS 07/01/24 DR#86379 DYMANS
IN 8PCS 06/22/24 DR#86047 DYMANS
IN 8PCS 06/22/24 DR#86012 DYMANS
IN 24PCS 05/21/24 DR#85184 DYMANS
IN 26PCS 5/21/2024 DR#85183 DYMANS
IN 8PCS 05/14/24 DR#85009 DYMANS
IN 6PCS 05/14/24 DR#85010 DYMANS
IN 2PCS 05/09/24 DR#75031 SPC MASTER
IN 18PCS 05/04/24 DR#84808 DYMANS
IN 6PCS 04/30/24 DR#84630 DYMNAS
IN 24PCS 04/19/24 DR#84321 DYMANS
IN 4PCS 03/27/24 DR#83792 DYMANS
IN 2PCS 03/20/24 DR#83549 DYMANS
IN 03/13/24 13PCS DR#83352 DYMANS
10PCS 2-13-24 DR#82443 DYMANS
4PCS 12-22-23 DR#74545 SPC
8pcs 12-21-23 dr#81579 DYMANS
3PCS 12-18-23 DR#81464 DYMANS
20PCS 11-29-23 DR#80877 DYMANS
10PCS 11-23-23 DR#80222 DYMANS
4PCS 11-23-23 DR#80226 DYMANS
4PCS 11-23-23 DR#80738 SYMANS
12PCS  11-20-23 DR#80222 DYMANS
20pcs 11-4-23 DR#80222 DYMANS
2pcs 10-24-23 DR#74356 SPC
16PCS 10-18-23 DR#77172  DYMANS
4PCS 10-10-23 DR#77172 DYMANS
4PCS 10-2-23 DR#7378 SPC
20PCS 09-13-23 DR#76476
DYMANS
2[CS 9-7-23 DR#72654 LIPA A
4PCS 9-2-23 DR#73299 LIPA A
4PCS 8-14-23 DR#74079 SPC
4pcs 7-17-23 DR#72635 LIPA A
4PCS 6-27-23 SPC
2pcs 4-18-23 STF#8005 SPC
1PC  4-10-23 STF#7978 SPC
4PCS 3-1-23 STF#7760 SPC
10PCS 02-15-23 22538 DYMANS
4PCS 01-17-23 YTSPO21699 DYMANS
16PCS 01-17-23 YTSPO21699 DYMANS
20PCS 12-10-22 DR71938 DYMANS
4PCS 12-6-22 STF#7339 SPC
70 11-26-22 21025 DYMANS
2PCS 8-9-22 STF#6751 SPC
2PCS 8-8-22 STf#6747 SPC
2PCS 8-6-22 STF#6743 SPC
2PCS 7-18-22 STF#6648 SPC
4PCS 7-7-22 STF#6598 SPC
4PCS 6-9-22 STF#6465 SPC
4PCS 6-7-22 STF#6455 SPC
3pcs 5-27-22 STF#6406 SPC
2PCS 5-11-22 STf#6319 SPC
4PCS 4-27-22 STF#6247 SPC
2PC 04-25-2022 ST006237 SPC
4PCS 4-21-22 STF#6224 SPC
2PC 04-16-2022 ST006204 SPC
8pcs 4-12-22 stf#6199 spc
2pcs 4-12-22 STF#1870 SPC
2PC 04-10-22 ST001866 LIPA A
4PC 03-30-2022 ST006127 SPC
4PC 03-14-2022 ST000627 STC
2PC 03-12-2022 ST001816 LIPA A
2PCS 3-1-22 STF#5993 SPC
4PC 02-18-22 ST005935 SPC
4PC 01-26-2022 ST005816 SPC
2PCS 01-19-2022 ST001727 LIPA A
4PCS 1-11-22 STF#5756 SPC
4PCS 01-06-2022 ST005734 SPC
2PCS  11-30-21 STF#5630 SPC
2PCS 12-7-21 STF#5625 SPC
4PCS 12-6-21 STF#1646 4PC A
2PCS 11-21-2021 ST001622 LIPA A
2PCS  11-18-2021 ST001618 LIPA A</t>
        </r>
      </text>
    </comment>
    <comment ref="H1666" authorId="0" shapeId="0" xr:uid="{7DD58857-67C9-C844-87A8-1F9464BE4B38}">
      <text>
        <r>
          <rPr>
            <sz val="10"/>
            <rFont val="SimSun"/>
            <charset val="134"/>
          </rPr>
          <t>11-21-25
2 PCS 52518 JARVIS ORIX
8.8.25
49493 2PCS JARVIS
OUT 2PCS 08/16/24 REF# STC FOR SNR KUYA HACKET
OUT 2PCS 08/13/24 REF#75675 KUYA HACKET FOR SNR
OUT 4PCS 08/11/24 REF#75674  STC FOR SNR MASTER
OUT 1PCS 07/30/24 REF#75664 STC KUYA HACKET
OUT 6PCS 07/23/24 REF#75661 STC KUYA HACKET FOR SNR
OUT 6PCS 07/21/244 REF#75658 STC KUYA RON
OUT 7PCS 07/15/24 REF#75650 STC FOR SNR KYA EMAN
OUT 5PCS 07/08/24 REF#75642 KUYA HACKET/DANCRIS FOR SNR
OUT 07/06/24 35730 2PCS SALES  ROSE
OUT 13PCS 07/01/24 REF# STC FOR SNR KUYA EMMAN
OUT 2PCS 07/01/24 DR#75125 LIPA A
OUT 4PCS 06/27/24 REF#75633 STC FOR SNR
OUT 8PCS 06/22/24 REF#75628 STC FOR SNR KUYA ADWIN
OUT 2PCS 06/01/24 REF# STC KUYA EMMAN (FOR SNR)
OUT 4PCS 06/01/24 REF# STC KUYA ALGIN (FOR SNR)
OUT 14PCS 05/30/24 REF#  STC MASTER (FOR SNR)
2pcs 5-24-24 DR#75081 LIPA A
OUT 2PCS 05/23/24 DR#75080 LIPA A
OUT 26PCS 05/21/24 STC KUYA HACKET
OUT 2PCS 05/18/24 STC KUYA BOYONG 
OUT 4PCS 05/15/24 DR#75068 LIPA A
OUT 8PCS 05/15/24 REF# STC KUYA EMAN
OUT 05/09/24 34181 2PC SALES BEL
OUT 4PCS 05/07/24 STC KUYA HACKET
OUT 14PCS 05/06/24 REF# STC KUYA EMMAN
6PCS 5-3-24 DR# PICK UP KUYA HACKET
OUT 14PCS 04/21/24 STC MASTER
OUT 10PCS 04/20/24 STC KUYA HACKET
OUT 4PCS 03/27/24 DR#74741 SPC PICK UP KUYA HACKET
OUT 03/20/24 32825 2PCS SALES ROSE
OUT 4PCS 03/19/24 DR#74725 PICK UP KUYA HACKET
OUT 4PCS 03/14/24 DR#74717 SPC KUYA HACKET
OUT 03/13/24 5PCS DR#74714  KUYA HACKET
5pcs 2-23-24 DR#74686 LIPA A
OUT 2-22-24 DR#74685 8PCS SPC MASTER
OUT 2-19-24 DR# 2PCS LIPA A
OUT 02-18-2024
6PCS SPC MASTER PICK UP
3PCS 2-16-24 DR#74676 SPC
2PCS 2-15-24 31889 SAELS
12PCS 2-13-24 DR#74673 SPC
2PCS 1-30-24 DR#74651 LIPA A
4PCS 12-29-23 JO#30577 ROSE
1pc 12-26-23 DR#73987 SPC
8pcs 12-21-23 DR#73984 SPC
2pcs 12-21-23 DR#73984 SPC
3PCS 12-19-23 DR#73979 SPC
13PCS 12-2-23 DR#73951 SPC
8PCS 11-30-23 DR#74295-96 SPC
8PCS 11-24-23 DR#74289 SPC
6PCS 11-23-23 DR#74285 SPC
4PCS 11-22-23 JO#74282 SPC
8PCS 11-20-23 DR#74276-77 SPC
20PCS 11-5-23 DR#74252 SPC
2PCS 10-26-23 JO#29081 ROSE
6PCS 10-21-23 DR#73933 SPC
4PCS 10-21-23 DR#3932 SPC
6PCS 10-20-23 DR#73930 SPC
4PCS 10-10-23 DR#73913-14 SPC
4pcs 10-2-23 jo#28523 jarvis
12PCS 9-14-23 DR#72270 SPC
8PCS 9-14-23 DR#72269 SPC
2PCS 9-7-23 JO#27995 JARVIS
4pcs 9-2-23 jo#27895 JARVIS
2pcs 8-21-23 DR#72230 LIAP A
2PCS 8-15-23 JO#27517 BEL
4PCS 7-17-23 JO#26746 ROSE
2PCS 7-1-23 JO#26405 JARVIS
4PCS 4-26-23 STF#2426 SPC
2PCS 4-10-23 JO#24210 ROSE
1PC 3-22-23 STF#2358 SPC
10PCS 2-16-23 STF#2288 S&amp;R
1PC 1-22-23 ST002230 SPC (SNR)
4PCS 1-21-23 STF#2228 SPC
4PCS 1-19-23 STF#2223 SPC
11PCS 1-19-23 STF#2220 SPC
2PCS 1-12-23 JO#20876 ALY
2PCS 12-29-22 JO#20507 JARVIS
1PC 12-20-22 JO#2163 SITE A
4PCS 12-03-22 ST002147 SPC
5PCS 12-13-22 ST002144 LIPA B
5PCS 12-12-22 ST002134 SPC
4PCS 12-12-22 ST002136 SPC
70PCS 11-26-22 STF#2095 SPC
4PCS 9-1-22 STF#1958 SPC
2pc 8-8-22 jo17187 2pc PAUL
2PCS 7-25-22 STF#1890 SPC
2PC 7-21-22 JO16829 ALY
2PC 7-16-22 JO16736 PAUL
4PCS 6-18-2022 JO16077 SALES
4PCS 6-7-22 JO#15867 SALES 
2PCS  5-27-22 JO#15633 SALES
1pc  5-27-22 JO#15635 SALES
4PC 05-17-2022 ST001783 SPC
2PC 05-01-2022 JO15093 SALES
4PCS 4-27-22 JO#15016 SALES
2PC 04-23-2022 JO14941 SALES
4PC 04-17-22 JO14786 SALES
4PC 04-14-2022 ST001731 LIPA A
4PCS 4-13-22 JO#14699 SALES
4PC 04-10-22 JO14671 SALES
2PC 04-08-2022 JO14593 SALES
4PCS 3-15-22 STF#1676 SPC
2PC 03-12-2022 JO14053 JARVIS
2PC 03-10-2022 JO14008 SALES
2PC 03-06-2022 JO13929 SALES
2PCS  2-21-22 JO#13671 JARVIS
2pc 02-18-2022 JO13604 SALES 
2PCS 2-2-22 JO#13220 JARVIS
4PCS 01-19-2022 JO#13017 ALY 4PCS 1-13-22 STF#1587 A
2PCS 1-7-22 JO#12629 LIZA
2PCS 12-23-2021 JO#12597 MARIBEL 
2PCS 12-23-2021 ST001559 LIPA A
2PCS 12-9-21 JO#12289 SALES
2PCS  12-7-21 STF#1529 A
2PCS 11-21-21 JO#11965 PLDT
2PCS 11-19-21 JO#11155 SALES</t>
        </r>
      </text>
    </comment>
    <comment ref="L1666" authorId="0" shapeId="0" xr:uid="{ECA1A201-4BD0-1245-A775-ACDA876988BB}">
      <text>
        <r>
          <rPr>
            <sz val="10"/>
            <rFont val="SimSun"/>
            <charset val="134"/>
          </rPr>
          <t>10PCS 02-15-23 NEW DEL MDD</t>
        </r>
      </text>
    </comment>
    <comment ref="G1667" authorId="0" shapeId="0" xr:uid="{B0A71D93-7BBE-7545-A60D-6605B82C4A3B}">
      <text>
        <r>
          <rPr>
            <sz val="10"/>
            <rFont val="SimSun"/>
            <charset val="134"/>
          </rPr>
          <t>7PC 03-16-2022 ST006072 SPC
1pc 3-14-22 STF#6065 SPC
4PCS 3-14-22 STF#1820 LIPA A
2PCS 01-26-2022 ST005816 SPC
4PCS 12-24-21 STF#5700 SPC</t>
        </r>
      </text>
    </comment>
    <comment ref="H1667" authorId="0" shapeId="0" xr:uid="{89ECACD6-57F9-5C49-B8B9-E5027CB52E62}">
      <text>
        <r>
          <rPr>
            <sz val="10"/>
            <rFont val="SimSun"/>
            <charset val="134"/>
          </rPr>
          <t>2PCS 4-18-22 STF#1735 SPC
4pcs 4-16-22 stf#1733 SPC
2PC 03-19-2022 JO14222 SALES
4PCS 3-14-22 JO#14090 MARIBEL
4PC 03-05-2022 JO13894 SALES
OUT 1-13-22 JO#12916 2PC SALES</t>
        </r>
      </text>
    </comment>
    <comment ref="G1668" authorId="0" shapeId="0" xr:uid="{EE811078-9337-AE4A-9D0A-CD46F88FB956}">
      <text>
        <r>
          <rPr>
            <sz val="10"/>
            <rFont val="SimSun"/>
            <charset val="134"/>
          </rPr>
          <t xml:space="preserve">
2PCS 4-3-23 MINERVA ALAMINOS
2PCS 4-1-23 STF#7939 SPC</t>
        </r>
      </text>
    </comment>
    <comment ref="H1668" authorId="0" shapeId="0" xr:uid="{713A2762-FB42-E841-8F36-329CDB205C23}">
      <text>
        <r>
          <rPr>
            <sz val="10"/>
            <rFont val="SimSun"/>
            <charset val="134"/>
          </rPr>
          <t>2PCS 4-3-23 JO#23840 BEL
2PCS 4-1-23 JO#23811 MARLO</t>
        </r>
      </text>
    </comment>
    <comment ref="G1669" authorId="0" shapeId="0" xr:uid="{307A1002-C715-1B4C-9EB9-42297E721828}">
      <text>
        <r>
          <rPr>
            <sz val="10"/>
            <rFont val="SimSun"/>
            <charset val="134"/>
          </rPr>
          <t xml:space="preserve">IN 2PCS 6.3.25 DR#78768 SPC HACKET
IN 4PCS 05.15.25 DR# 77209 BINAN (KUYA HACKET)
IN 15PCS 07/16/24 DR#86462 DYMANS
IN 4PCS 07/13/24 DR#86462 DYMANS
IN 2PCS 07/02/24 DR#86462 DYMANS
IN 5PCS 06/22/24 DR#86047 DYMANS
2pcs 6-22-24 DR#86012 DYMANS
IN 10PCS 05/21/24 DR#85184 DYMANS
IN 19PCS 5/21/2024 DR#85183 DYMANS
IN 12PCS 04/19/24 DR#84321 DYMANS
IN 2PCS 04/10/24 SI#002934 MINERVA
IN 4PCS 03/27/24 DR#83792 DYMANS
IN 2/29/24 9PCS DR#83038 DYMANS
50pcs 12-29-23 DR#81617 DYMANS
1PC 12-27-23 DR#80222
DYMANS
8pcs 12-21-23 dr#81579 DYMANS
20PCS 11-29-23 DR#80222 DYMANS
11PCS 11-23-23 DR#80222 DYMANS
4pcs 11-4-23 DR#77172 DYMANS
4PCS 10-18-23 DR#77172  DYMANS
2PCS 10-14-23 DR#72672 LIPA A
2PCS 10-6-23 DR#72667 LIPA A
4PCS 6-27-23 SPC
2pcs 4-18-23 STF#8005 SPC
1PC 4-10-23 STF#7978 SPC
4PCS 3-3-23 STF#7778 SPC
22PCS 02-15-23 211558 DYMANS
4PCS 2-15-23 STF#7685 SPC
4pcs 1-31-23 STF#7600 SPC
8PCS 01-17-23 YTSPO21158 DYMANS
4PCS 12-6-22 STF#7339 SPC
24PCS 11-25-22 YTSP021025 DYMANS
30PCS 11-25-22 YTSP019974 DYMANS
-------------------------------------------
3PCS 10-31-22 STf#7174 SPC
4PCS 7-18-22 STF#6648 SPC
4PCS 7-7-22 STF#6598 SPC
2PCS 6-30-22 STF#2003 SITE A
2PC 6-23-22 STF#1993 SITE A
4PCS 6-9-22 STF#6465 SPC
4pcs 5-23-22 STF#6375 SPC
2PCS 5-21-22 STF#6363 SPC
4PC 05-03-2022 ST006281 SPC
4PC 05-02-2022 ST006275 SPC
</t>
        </r>
      </text>
    </comment>
    <comment ref="H1669" authorId="0" shapeId="0" xr:uid="{8F6D2449-A8B4-E247-90DE-59F8ACD9F9E4}">
      <text>
        <r>
          <rPr>
            <sz val="10"/>
            <rFont val="SimSun"/>
            <charset val="134"/>
          </rPr>
          <t>6-5-25
2 PCS 47168 JARVIS
OUT 15PCS 07/17/24 REF#75655 STC FOR SNR MASTER/KUYA EMMAN
OUT 4PCS 07/13/24 REF#75647 STC MASTER FOR SNR
OUT 2PCS 07/02/24 REF# STC FOR SNR KUYA HACKET
OUT 5PCS 06/22/24 REF#75629 STC FOR SNR KUYA EMMAN
OUT 2PCS 06/22/24 REF# STC KUYA EMAN
OUT 2PCS 05/24/24 DR#75082 SPC
4PCS 5/24/2024 34559 JARVIS
OUT 13PCS 05/23/24 STC KUYA ALDWIN
OUT 6PCS 05/21/24 STC KUYA EMAN
OUT 2PCS 04/20/24 STC KUYA HACKET
OUT 2PCS 04/19/24 DR#74780 SPC KUYA HACKET
OUT 04/10/24 2PCS SALES 33393  JARVIS 
OUT 04/10/24 2PCS SALES 33393  JARVIS 
OUT 2PCS 03/27/24 DR#74741 SPC PICK UP KUYA HACKET
OUT 03/06/24 5PCS DR#74700 MASTER
OUT 03/05/2024 32395 4PCS SALES JARVIS
OUT 1PCS 2/26/24 DR# 74689-90 SPC PICK UP MASTER
OUT 2-24-24 DR#74687 3PCS SPC PICK UP EMMAN
OUT 2-22-24 DR#74685 3PCS SPC MASTER
OUT 02-18-2024
5PCS SPC MASTER PICK UP
4PCS 2-16-24 DR#74676 SPC
3PCS 2-1324 DR#74672 LIPA A
4PCS 2-10-24 DR#74669 SPC
OUT 2-3-24 DR#74658-59 7PCS SPC
3PCS 1-26-24 DR#000001 SPC
6PCS 1-24-24 TA CRUZ PICK UP KUYA HACKET
4PCS 1-4-24 DR#73355 LIPA A
11PCS 1-3-24 DR#23351-52 SPC
9pcs 12-21-23 DR#73984 SPC
13PCS 12-2-23 DR#73951 SPC
8PCS 11-30-23 DR#74295-96 SPC
2PCS 11-25-23 JO#29758 MARLO
5PCS 11-24-23 DR#74289 SPC
4PCS 11-5-23 DR#74252 SPC
4PCS 10-19-23 DR#73927 SPC
2PCS 10-17-23 DR#73924 SPC
2PCS 10-14-23 JO#28825 ROSE
4PCS 9-12-23 JO#28114 JARVIS
4PCS 4-19-23 STF#2409 SPC
2PCS 4-14-23 JO24333 ROSE ANN
1pc 4-2-23 st002377 spc
4PCS 2-22-23 JO#21883 MARLO
9PCS 2-17-23 STF#2291 SPC
5PCS 2-16-23 STF#2288 S&amp;R
8PCS 2-16-23 STF2287 SPC S&amp;R
4PCS 2-8-23 STF#2271 SPC
8PCS 1-19-23 STF#2223 SPC
2PCS 1-13-23 STF#2210 SPC
2PCS 1-8-23 STF#2199 LIPA A
4PCS 12-03-22 ST002147 SPC
54PCS 11-26-22 STF# 2095 SPC
3PCS 11-12-22 STF#2066 SPC
4PCS 9-1-22 STF#1958 SPC
4pcs 7-15-22 STF#1876 SPC
2PC 6-30-22 JO16381 ALY
5PC 6-23-22 JO16223 SALES
4PC 6-23-22 JO16214 SALES
2pcs 5-29-22 stF#1805 stc
1pc 5-24-22 stf#1794 spc
4PC 05-06-2022 JO15222 SALES
4PC 05-03-2022 ST001765 lipa a</t>
        </r>
      </text>
    </comment>
    <comment ref="L1669" authorId="0" shapeId="0" xr:uid="{FB33511A-004D-344E-B9F0-55B3203B7BB6}">
      <text>
        <r>
          <rPr>
            <sz val="10"/>
            <rFont val="SimSun"/>
            <charset val="134"/>
          </rPr>
          <t>22PCS 02-15-23 NEW DEL MDD</t>
        </r>
      </text>
    </comment>
    <comment ref="G1672" authorId="0" shapeId="0" xr:uid="{D7A00E87-703B-5E44-9248-35A8F8F63EFB}">
      <text>
        <r>
          <rPr>
            <sz val="10"/>
            <rFont val="SimSun"/>
            <charset val="134"/>
          </rPr>
          <t>IN 4PCS 02.11.26 DR80739-40 SPC HACKKET
IN 4PCS 06.02.26 DR80726-27 SPC HACKET
IN 1PC 10/12/24 SI#3513 MINERVA 
IN 20PCS 09/09/24 DR#87871 DYMANS
IN 11PCS  08/28/24 DR#864450 DYMANS
IN 7PCS 8-2-24 DR#86462 DYMANS
IN 15PCS 07/30/24 DR#086462 DYMANS 
IN 10PCS 07/23/24 DR#86462 DYMANS
IN 13PCS 07/13/24 DR#86462 DYMANS
IN 12PCS 07/08/24 DR#86462 DYMANS
IN 13PCS 07/02/24 DR#86462 DYMANS
IN 9PCS 07/01/24 DR#86378 DYMANS
IN 9PCS 06/22/24 DR#86047 DYMANS
5pcs 6-22-24 DR#86012 DYMANS
4PCS 6-22-24 DR#85961 DYMANS
IN 3PCS 06/13/24 DR#85790 DYMANS
IN 11PCS 05/31/24 DR#85432 DYMANS
IN 6PCS 05/31/24 DR#85434 DYMANS
IN 3PCS 05/21/24 DR#85184 DYMANS
IN 11PCS 5/21/2024 DR#85183 DYMANS
IN 13PCS 05/15/24 DR#85010 DYMANS
IN 2PCS 05/14/24 DR#85009 DYMANS
IN 26PCS 05/04/24 DR#84808 DYMANS
IN 28PCS 03/20/24 DR#83549 DYMANS
IN 03/13/24 5PCS DR#83352 DYMANS
IN 4PCS 03/06/24 DR#74850 SPC
30PCS 2-16-24 DR#82377 DYMANS
20pcs 12-29-23 DR#81617 DYMANS
44pcs 12-29-23 DR#81617 DYMANS
13pcs 12-21-23 dr#80974 DYMANS
41pcs 12-19-23 DR#80975 DYMANS
4PCS 12-4-23 DR#80974 DYMANS 
6PCS 11-29-23 DR#80249  DYMANS
24PCS 11-29-23 DR#80877 DYMANS
24PCS 11-23-23 DR#79527 DYMANS
20PCS  11-20-23 DR#80249 DYMANS
8pcs 11-4-23 DR#80249 DYMANS
16PCS 10-18-23 DR#77273 DYMANS
10PCS 10-10-23 DR#77273 DYMANS
20PCS 09-13-23 DR#76476
DYMANS
4PCS 6-27-23 SPC
4PCS 3-27-23 STF#7907 SPC
2PCS 3-13-23 STf#2357 LIAPA 
4PCS 3-1-23 STF#7760 SPC
10PCS 02-15-23 021699 DYMANS
48PCS 01-17-23 YTSPO21158 DYMANS
2PCS 01-17-23 YTSPO21699 DYMANS
3PCS 1-6-23 STf#7459 SPC
22PCS 12-10-22 DR71938 DYMANS
1PC 12-6-22 SPC 
60 PCS 11-26-22 21025 DYMANS
4pcs 8-3-22 STF#6726 SPC
2PCS 7-31-22 STF#6715  SPC
4PCS 7-15-22 STF#6640 SPC
4PCS 6-10-22 stF#6473 spc
2pcs 5-21-22 STF#6363 SPC
4PCS 3-16-22 STF#6072 SPC
4PC 3-15-22 STF#6066 SPC
4PC 03-02-2022 ST005995 SPC
4PCS 1-14-22 STF#5769 SPC
4PCS 1-4-22 STF#5727 SPC
4PCS 12-24-21 STF#5700 SPC</t>
        </r>
      </text>
    </comment>
    <comment ref="H1672" authorId="0" shapeId="0" xr:uid="{A465D6C8-15C1-794A-A5C6-6EEBBF85AF48}">
      <text>
        <r>
          <rPr>
            <sz val="10"/>
            <rFont val="SimSun"/>
            <charset val="134"/>
          </rPr>
          <t>10/12/24
38367 1PC SALES ALY
OUT 2PCS 09/17/24 REF#75707 FOR SNR MASTER
OUT 2PCS 09/16/24 REF#75704 FOR SNR SERVICE
OUT 5PCS 09/12/24 REF#75700 STC FOR SNR
OUT 4PCS 09/10/24 REF#75699 FOR SNR KUYA HACKET
OUT 7PCS 09/09/24 REF#75698 FOR SNR MASTER
OUT 18PCS 08/29/24 REF#75685 STC FOR SNR KUYA EMMAN
OUT 7PCS 08/02/24 REF#75666 STC KUYA HACKET FOR SNR
OUT 13PCS 07/30/24 REF#75664 STC KUYA HACKET
OUT 2PCS 07/30/24 REF#75665 STC KUYA EMMAN
OUT 10PCS 07/23/24 REF#75661 STC KUYA HACKET FOR SNR
OUT 4PCS 07/15/24 REF#75650 STC FOR SNR KYA EMAN
OUT 9PCS 07/13/24 REF#75647 STC MASTER FOR SNR
OUT 12PCS 07/08/24 REF#75642 KUYA HACKET FOR SNR
OUT 4PCS 07/06/24 REF#75639 STC FOR SNR KUYA RON
OUT 9PCS 07/02/24 REF# STC FOR SNR KUYA HACKET
OUT 9PCS 07/01/24 REF# STC FOR SNR KUYA EMMAN
OUT 9PCS 06/22/24 REF#75629 STC FOR SNR KUYA EMMAN
OUT 9PCS 06/22/24 REF#75628 STC FOR SNR KUYA ADWIN
OUT 6-17-24 1PC DR#75109 LIPA A
OUT 2PCS 06/14/24 REF# STC KUYA ALGIN
OUT 1PC 06/03/24  DR#75099 SPC KUYA EMMAN
OUT 06/01/24 34742 4PCS SALES LEN
OUT 6PCS 06/01/24 REF# STC KUYA EMMAN (FOR SNR)
OUT 6PCS 05/31/24 REF# STC KUYA DANCRIS (FOR SNR)
OUT 1PCS 05/30/24 DR#75089 SPC KUYA HACKET
OUT 2PCS 05/21/24 STC KUYA ADWIN
OUT 11PCS 05/21/24 STC KUYA HACKET
OUT 6PCS 05/20/24 REF# STC KUYA EMMAN
OUT 7PCS 5/17/2024 STC KUYA JERRY
OUT 2PCS 05/15/24 REF# STC MASTER
OUT 20PCS 05/07/24 STC KUYA HACKET
OUT 6PCS 05/07/24 REF#74764 STC KUYA HACKET
OUT 5PCS 4/18/24 DR#74779 SPC KUYA EMAN
OUT 6PCS 04/03/24 DR#74753 SPC KUYA EMMAN
OUT 5PCS 03/28/24 DR#74742 MASTER
OUT 12PCS 03/20/24 DR#74728 SPC PICK UP KUYA HACKET
OUT 03/14/24 2PCS DR#74720 SPC
OUT 03/13/24 1PCS DR#74714  KUYA HACKET
OUT 4PCS 03/13/24 DR#74709 SPC PICK UP KUYA ADWIN
OUT 03/13/24 2PCS DR#74713 PICK UP MASTER
OUT 7PCS 2/26/24 DR# 74689-90 SPC PICK UP MASTER
1PC 2-23-24 DR#74686 LIPA A
OUT 2-22-24 DR#74685 18PCS SPC MASTER
OUT 02-18-2024
8PCS SPC MASTER PICK UP
1PC 2-16-24 DR#74676 SPC
6PCS 1-24-24 TA CRUZ PICK UP KUYA HACKET
8PCS 1-20-24 DR#73390-91 SPC
OUT 1-17-24 DR#73388 2PCS SPC
4PCS 1-10-24 30939 SALES
10PCS 1-8-24 DR#73367 SPC
4PCS 1-5-24 JO#30842 JARVIS
8PCS 1-4-24 DR#73355 LIPA A
2PCS 1-4-24 DR#73353 LIPA A
7pcs 1-4-24 DR#23351-52 SPC
8PCS 12-30-23 DR#73994 SPC
14Pcs 12-21-23 DR#73984 SPC
12PCS 12-19-23 DR#73979 SPC
29PCS 12-20-23 DR#73980 SPC
4PCS 12-10-23 DR#73965 SPC
1PC 12-4-23 JO#29949 MARLO
8PCS 12-2-23 DR#73951 SPC
4PCS 12-1-23 JO#29886 BEL
1PC 12-1-23 JO#29879 JARVIS
10PCS 11-30-23 DR#74297 SPC
8PCS 11-30-23 DR#74295-96 SPC
5PCS 11-23-23 DR#74286 SPC
17PCS 11-23-23 DR#74285 SPC
2PCS 11-22-23 JO#74282 SPC
6PCS 11-22-23 DR#74780 SPC
4PCS 11-21-23 DR#74279 SPC
8PCS 11-20-23 DR#74276-77 SPC
8PCS 11-5-23 DR#74252 SPC
2PCS 10-20-23 DR#73930 SPC
2pcs 10-19-23 DR#73928 LIPA A
4PCS 10-19-23 DR#73927 SPC
8PCS 10-18-23 DR#73926 SPC
4PCS 10-13-23 DR#73918 SPC
6PCS 10-10-23 DR#73913-14 SPC
4pcs 9-22-23 dr#72286 spc (snr)
8PCS 9-15-23 DR#72273 SPC
8PCS 9-14-23 DR#72269 SPC
4pcs 09-10-2023 DR#72264 SPC
1PC  4-19-23 STF#2409 SPC
3PCS 4-8-23 JO#24234 JARVIS
2PCS 3-14-23 STF#2337 SPC
4PCS 3/13/2023 22339 JARVIS
2PCS 2-16-23 STF#2288 S&amp;R
8PCS 2-16-23 STF2287 SPC S&amp;R
2PCS 1-24-23 STF#2239 SPC
9PCS 1-21-23 STf#2229 SPC
8PCS 1-21-23 STF#2228 SPC
17PCS 1-19-23 STF#2222 SPC
16PCS 1-19-23 STF#2220 SPC
1PC 1-18-23 STF#2219 SPC
1pcs 12-13-22 st002147 lipa b (spc)
4PCS 12-13-22 ST002144 LIPA B
2PCS 12-13-22 ST002145 LIPA B
4PCS 12-13-22 ST002143 LIPA B
9PCS 12-10-22 ST002133 SPC
2PC 12-11-22 JO20088 MARIBEL
4PCS 12-7-22 JO#20012 ALY
1pc 12-6-22 stf#2120 SITE A
15PCS 12-6-22 STF#2119 SPC
6PCS 12-2-22 STF#2116 ARNOLD
7PCS 12-01-22 ZJZ382 EMMAN
18PCS 11-30-22 ST002105 LIPA B
4PCS 11-29-22 ST002100 SPC
4PCS 11-29-22 ST002101 SPC
2PCS 8-26-22 STF#1944 SPC
2PC 8-13-22 JO17327 MARIBEL
4PCS 8-2-22 JO#17086 SALES
2PC 7-31-22 JO17061 MARIBEL
4PCS 7-25-22 STF#1890 SPC
4pcs 6-29-22 STF#1849 SPC
2PCS 5-26-22 STF#1797 SPC
4PC 03-31-2022 ST001702 SPC
4PC 03-30-22 ST001698 SPC
4PC 03-04-2022 ST001658 SPC
4pcs 2-4-22 STF#1617 SPC
4PCS 1-5-22 JO#12783 SALES
4PCS 12-29-21 JO#12670 JARVIS
4PCS 11-12-21 STF#1478 SPC</t>
        </r>
      </text>
    </comment>
    <comment ref="L1672" authorId="0" shapeId="0" xr:uid="{0A7F2AB3-F8B0-DD49-A835-646AF05DC46E}">
      <text>
        <r>
          <rPr>
            <sz val="10"/>
            <rFont val="SimSun"/>
            <charset val="134"/>
          </rPr>
          <t>10PCS 02-15-23 YTSP021699 DYMANS</t>
        </r>
      </text>
    </comment>
    <comment ref="G1676" authorId="0" shapeId="0" xr:uid="{5F6C28E5-B359-B544-AC21-6415328E5309}">
      <text>
        <r>
          <rPr>
            <sz val="10"/>
            <rFont val="SimSun"/>
            <charset val="134"/>
          </rPr>
          <t>5PCS 1-8-23 STF#7460 SPC
2PCS 8-6-22 STF#6713  SPC
4PCS 8-4-22 STF#6729 SPC
4pcs 7-30-22 STF#6710 SPC</t>
        </r>
      </text>
    </comment>
    <comment ref="H1676" authorId="0" shapeId="0" xr:uid="{7262032D-78CB-D140-8032-A205A773EBBD}">
      <text>
        <r>
          <rPr>
            <sz val="10"/>
            <rFont val="SimSun"/>
            <charset val="134"/>
          </rPr>
          <t>1PC 1-17-23 STF#2217 SPC
4pcs 1-16-23 jo#20968 BEL
1PC 9-8-22 STF#1967 SPC
1pc 8-14-22 JO#17361 MARLO
4PCS 8-4-22 JO#17146 ALY
4PC 7-30-22 JO17024 MARIBEL
1PC 6-15-22 STF#1822 SPC
1PC 05-17-2022 JO15442 SALES
2PC 12-20-2021 JO#12542 BEL</t>
        </r>
      </text>
    </comment>
    <comment ref="G1678" authorId="0" shapeId="0" xr:uid="{22F5E2F9-A98D-FC48-B6A6-922388542270}">
      <text>
        <r>
          <rPr>
            <sz val="10"/>
            <rFont val="SimSun"/>
            <charset val="134"/>
          </rPr>
          <t>IN 4PCS 08/06/24 SI#003310 MINERVA</t>
        </r>
      </text>
    </comment>
    <comment ref="H1678" authorId="0" shapeId="0" xr:uid="{6464494D-2278-9449-9345-E7805EE6ABB3}">
      <text>
        <r>
          <rPr>
            <sz val="10"/>
            <rFont val="SimSun"/>
            <charset val="134"/>
          </rPr>
          <t xml:space="preserve">08/06/24
36603 4PCS SALES MARLO
</t>
        </r>
      </text>
    </comment>
    <comment ref="G1680" authorId="0" shapeId="0" xr:uid="{BCBCAC6C-BE40-0B47-96C5-2B99D4F384CC}">
      <text>
        <r>
          <rPr>
            <sz val="10"/>
            <rFont val="SimSun"/>
            <charset val="134"/>
          </rPr>
          <t xml:space="preserve">IN 14PCS 08/16/24 DR#86462 DYMANS
IN 12PCS 08/03/24 DR#86462 DYMANS
IN 10PCS 8-2-24 DR#86462 DYMANS
IN 4PCS 07/30/24 DR#086462 DYMANS 
IN 25PCS 07/23/24 DR#86462 DYMANS
IN 6PCS 07/20/24 DR#86462 DYMANS
IN 8PCS 07/16/24 DR#86462 DYMANS
IN 10PCS 07/13/24 DR#86462 DYMANS
IN 18PCS 07/08/24 DR#86462 DYMANS
IN 5PCS 07/01/24 DR#86378 DYMANS
IN 19PCS 06/22/24 DR#86047 DYMANS
16PCS 6-22-24 DR#85961 DYMANS
IN 2PCS 06/13/24 DR#85790 DYMANS
IN 42PCS 04/30/24 DR#84630 DYMNAS
IN 13PCS 4/11/24 DR#84081 DYMANS
IN 45PCS 03/20/24 DR#83549 DYMANS
IN 03/13/24 50PCS DR#83352 DYMANS
IN 2/29/24 43PCS DR#83038 DYMANS
20PCS 2-13-24 DR#82443 DYMANS
30pcs 2-2-24 DR#82443 DYMANS
58PCS 12-29-23 DR#81617 DYMANS
16pcs 12-29-23 DR#81617 DYMANS
9pcs 12-21-23 dr#8975 
DYMANS
36pcs 12-19-23 DR#80975 DYMANS
49PCS 12-4-23 DR#80249 DYMANS 
30PCS 11-29-23 DR#80877 DYMANS
4PCS 11-23-23 DR#80226 DYMANS
16PCS 11-23-23 DR#80738 SYMANS
2PCS 11-23-23 DR#80738 SYMANS
26PCS 11-23-23 DR#80738 SYMANS
24pcs 11-4-23 DR#80249 DYMANS
31PCS 10-18-23 DR#79527 DYMANS
31PCS 10-10-23 DR#79527 DYMANS
2pcs 9-26-23 DR#73727 SPC
40PCS 09-13-23 DR#77220 DYMANS
4PCS 7-6-23 DR#72621 LIPA A
4PCS 6-27-23 SPC
4pcs 6-14-23 SPC
4PCS 3-27-23 STF#7907 SPC
4PCS 3-3-23  STF# SPC
12PCS 02-15-23 021720 DYMANS
4PCS 2-2-23 STF#7612 SPC
4PCS 1-28-23 STf#7589 SPC
4PCS 1-28-23 STF#7588 SPC
38PCS 1-19-23 DR72576 DYMANS
2PCS 1-19-23 DR72596 DYMANS
4PCS 1-16-23 STF#7519 SPC
32PCS 12-10-22 DR71938 DYMANS
70 PCS 11-26-22 21025 DYMANS
2PCS 8-11-22 STF#6761 SPC
2PCS 8-10-22 STF#6755 SPC
4PCS 8-9-22 STF#6751 SPC
4pcs 8-3-22 STF#6726 SPC
4PCS 7-26-22 STF#6695 SPC
3PCS 7-13-22 STF#6625 SPC
1PC 7-7-22 STF#6598 SPC
4PCS 6-10-22 stF#6473 spc
MINERVA ALAMINOS
6-2-22
</t>
        </r>
      </text>
    </comment>
    <comment ref="H1680" authorId="0" shapeId="0" xr:uid="{0FE599A5-3416-8142-A37B-77EB9B05CD91}">
      <text>
        <r>
          <rPr>
            <sz val="10"/>
            <rFont val="SimSun"/>
            <charset val="134"/>
          </rPr>
          <t>OUT 6PCS 08/18/24 REF# MASTER FOR SNR
OUT 8PCS 08/16/24 REF# STC FOR SNR KUYA HACKET
OUT 4PCS 08/13/24 REF#75675 KUYA HACKET FOR SNR
OUT 3PCS 08/11/24 REF#75674  STC FOR SNR MASTER
OUT 8PCS 08/06/24 REF#75669 STC FOR SNR KUYA EMMAN/KUYA MARK
OUT 1PCS 08/06/24 REF#75668 STC KUYA RON 
OUT 10PCS 08/02/24 REF#75666 STC KUYA HACKET FOR SNR
OUT 4PCS 07/30/24 REF#75664 STC KUYA HACKET
OUT 4PCS 07/25/24 REF#75663 STC KUYA HACKET
OUT 17PCS 07/23/24 REF#75661 STC KUYA HACKET FOR SNR
OUT 4PCS 07/22/24 REF#75659 STC KUYA BOYONG
OUT 6PCS 07/21/24 REF#75658 STC KUYA RON
OUT 4PCS 07/18/24 REF#75657 STC KUYA HACKET
OUT 4PCS 07/15/24 REF#75650 STC FOR SNR KYA EMAN
OUT 1PCS 07/15/24 REF#75649 STC FOR SNR KUYA EMMAN
OUT 5PCS 07/13/24 REF#75647 STC MASTER FOR SNR
OUT 18PCS 07/08/24 REF#75642 KUYA DANCRIS FOR SNR
OUT 9PCS 07/01/24 REF# STC FOR SNR KUYA EMMAN
OUT 8PCS 06/27/24 REF#75633 STC FOR SNR
OUT 7PCS 06/24/24 REF#75632 FOR SNR KUYA HACKET
OUT 4PCS 06/24/24 REF#75631 MEET UP KUYA LUCKY
OUT 16PCS 06/22/24 REF#75628 STC FOR SNR KUYA ADWIN
OUT 2PCS 06/14/24 REF# STC KUYA ALGIN
OUT 14PCS 05/06/24 REF# STC KUYA EMMAN
20PCS 5-3-24 DR# PICK UP KUYA HACKET
OUT 8PCS 05/01/24 REF# STC MASTER
OUT 5PCS 04/19/24 DR#74780 SPC
OUT 8PCS 4/18/24 DR#74779 SPC KUYA EMAN
OUT 6PCS 04/12/24 DR#74769 SPC KUYA EMAN
OUT 2PCS 04/11/24 DR#74766 SPC KUYA HACKET
OUT 8PCS 04/03/24 DR#74753 SPC KUYA EMMAN
OUT 8PCS 03/28/24 DR#74742 MASTER
OUT 4PCS 03/27/24 DR#74741 SPC PICK UP KUYA HACKET
OUT 4PCS 03/23/24 DR#74736 SPC PICK UP KUYA EMMAN
OUT 4PCS 03/23/24 DR#74735 SPC PICK UP KUYA MIKE
OUT 8PCS 03/20/24 DR#74728 SPC PICK UP KUYA HACKET
OUT 8PCS 03/19/24 DR#74725 PICK UP KUYA HACKET
OUT 12PCS 03/14/24 DR#74717 SPC KUYA HACKET
OUT 03/13/24 18PCS DR#74714  KUYA HACKET
OUT 03/13/24 12PCS DR#74713 PICK UP MASTER
OUT 3PCS 03/06/2024 DR#74699 SPC
OUT 4PCS 03/05/2024 DR#047547
6pcs 3-4-24 DR#74695 SPC MASTER PCIK UP
OUT 03/02/2024 32376 4PCS SALES MARLO
OUT 2/29/24 1PCS SALES
OUT 2/29/24 15PCS SALES
OUT 02-18-2024
6PCS SPC MASTER PICK UP
2PCS 2-16-24 DR#74676 SPC
18PCS 2-13-24 DR#74673 SPC
4PCS 2-1324 DR#74672 LIPA A
OUT 2-8-24 DR#74664-65 11PCS  SPC
OUT 2-3-24 DR#74658-59 9PCS SPC
9PCS 1-24-24 TA CRUZ PICK UP KUYA HACKET
4pc 1-24-24 STA CRUZ S&amp;R KUYA EMMAN PICK UP
9pcs 1-22-24 DR#73393 SPC
17PCS 1-20-24 DR#73390-91 SPC
OUT 1-17-24 DR#73388 6PCS SPC
4PCS 1-16-24 JO#31079 HANNAH
8PCS 1-4-24 DR#73355 LIPA A
8pcs 1-4-24 DR#23351-52 SPC
8PCS 12-30-23 DR#73994 SPC
2PCS 12-29-23 DR#73391 SPC
3pcs 12-21-23 DR#73984 SPC
6pcs 12-21-23 DR#73984 SPC
12PCS 12-19-23 DR#73979 SPC
24PCS 12-20-23 DR#73980 SPC
2PCS 12-10-23 DR#73965 SPC
23PCS 12-06-23 DR#73957 SPC
16PCS 12-5-23 DR#73955 SPC
9PCS 12-23-23 DR#73966 SPC
22PCS 11-30-23 DR#74297 SPC
8PCS 11-30-23 DR#74295-96 SPC
14PCS 11-24-23 DR#74289 SPC
29PCS 11-23-23 DR#74285 SPC
16PCS 11-21-23 DR#74279-80 SPC
8PCS 11-20-23 DR#74276-77 SPC
24PCS 11-5-23 DR#74252 SPC
6PCS 10-21-23 DR#73933 SPC
6PCS 10-20-23 DR#73930 SPC
13PCS 10-19-23 DR#73929 SPC
6PCS 10-19-23 DR#73927 SPC
1PC 10-12-23 DR#73917 SPC
3PCS 10-11-23 DR#73915 SPC
27PCS 10-10-23 DR#73913-14 SPC
2PCS 9-26-23 JO#28423 BEL
4pcs 9-22-23 dr#72286 spc (snr)
4pcs 9-21-23 DR#72285 SPC
8PCS 9-14-23 DR#72269 SPC
4PCS 7-6-23 JO#26571 ROSE
4PCS 6-29-23 JO#26357 ROSE
2PCS 6-21-23 STF#2517 SPC
2PCS 6-17-23 JO#26120 BEL
4PCS 4-8-23 JO#24214 BEL
4PCS 3-14-23 STF#2337 SPC
12PCS 2-16-23 STF#2288 S&amp;R
4pcs 2-3-23 stf#2262 LIPA A
4PCS 1-28-23 JO21309 ALY
4PCS 1-28-23 JO21280 JARVIS
3PCS 1-21-23 STf#2229 SPC
15PCS 1-21-23 STF#2228 SPC
22PCS 1-19-23 STF#2223 SPC
2PCS 1-19-23 STF#2220 SPC
2PCS 1-17-23 JO#21012 JARVIS
8PCS 12-13-22 ST002147 LIPA B
5PCS 12-13-22 ST002143 LIPA B
4PCS 12-12-22 ST002136 SPC
8PCS 12-12-22 ST002134 SPC
5PCS 12-12-22 ST002135 SPC
2PCS 12-12-22 STF#2138 STC
2PCS 11-30-22 SI EMMAN
4PC 8-13-22 JO17305 PAUL
2PCS 08-10-22 JO#17265 PAUL  2PCS 8-9-22 JO#17218 ALY
4PCS 8-8-22 JO17241 JARVIS
4PCS 7-27-22 STF#1894 SPC
3PCS 7-25-22 STF#1890 SPC
1PC 7-25-22 STF#1885 SPC
2PCS 6-25-22 STF#1839 SPC
2PC 6-11-22 JO15975 SALES
4PCS 6-2-22 JO#15736 SALES</t>
        </r>
      </text>
    </comment>
    <comment ref="L1680" authorId="0" shapeId="0" xr:uid="{4CDB6370-17B5-3146-801B-80832091882A}">
      <text>
        <r>
          <rPr>
            <sz val="10"/>
            <rFont val="SimSun"/>
            <charset val="134"/>
          </rPr>
          <t>12PCS 02-15-23 NEW DEL MDD</t>
        </r>
      </text>
    </comment>
    <comment ref="G1681" authorId="0" shapeId="0" xr:uid="{D0EE9437-D64B-0747-A25A-2A02FCC55C7C}">
      <text>
        <r>
          <rPr>
            <sz val="10"/>
            <rFont val="SimSun"/>
            <charset val="134"/>
          </rPr>
          <t>4pcs 3-4-23 STF#7784 SPC</t>
        </r>
      </text>
    </comment>
    <comment ref="H1681" authorId="0" shapeId="0" xr:uid="{86E4D757-3216-EB40-959E-827D3C912299}">
      <text>
        <r>
          <rPr>
            <sz val="10"/>
            <rFont val="SimSun"/>
            <charset val="134"/>
          </rPr>
          <t xml:space="preserve">
4PCS 4-5-23 STf#2380 SPC</t>
        </r>
      </text>
    </comment>
    <comment ref="G1682" authorId="0" shapeId="0" xr:uid="{AEAC82EC-04DC-C444-8FCE-ED9C78E8BD3D}">
      <text>
        <r>
          <rPr>
            <sz val="10"/>
            <rFont val="SimSun"/>
            <charset val="134"/>
          </rPr>
          <t>4PCS 6-24-23 SP[C
4PCS 2-21-23 STF#7711 SPC
8PCS 2-15-23 DR 22554 DYMANS
4pcs 2-11-23 STF#7669 SPC
4PCS 10-21-22 STF#7137 SPC</t>
        </r>
      </text>
    </comment>
    <comment ref="H1682" authorId="0" shapeId="0" xr:uid="{270A5A0C-0137-4D41-A298-ADA6A1615901}">
      <text>
        <r>
          <rPr>
            <sz val="10"/>
            <rFont val="SimSun"/>
            <charset val="134"/>
          </rPr>
          <t>2pcs 9-13-23 STA CRUZ
2PCS 7-11-23 JO#26668 BEL
4pcs 3-22-23 JO#22730 MARLO
4PCS 2-18-23 JO#21815 ALY
4PCS 2-15-23 JO#21771 ALY
4PCS 2-15-23 STF#2282 SPC
4PC 10-22-22 JO18937 ALY</t>
        </r>
      </text>
    </comment>
    <comment ref="G1683" authorId="0" shapeId="0" xr:uid="{874AD37C-CEC8-474D-8F04-46E7454D08AA}">
      <text>
        <r>
          <rPr>
            <sz val="10"/>
            <rFont val="SimSun"/>
            <charset val="134"/>
          </rPr>
          <t>IN 1PC  8-2-24 DR#86462 DYMANS
IN 1PCS 07/30/24 DR#086462 DYMANS 
IN 6PCS 07/23/24 DR#86462 DYMANS
IN 2PCS 07/20/24 DR#86462 DYMANS
IN 4PCS 07/13/24 DR#86462 DYMANS
IN 6PCS 07/02/24 DR#86462 DYMANS
IN 5PCS 06/22/24 DR#86047 DYMANS
6pcs 6-22-24 DR#86012 DYMANS
IN 15PCS 05/31/24 DR#85434 DYMANS
IN 4PCS 4/11/24 DR#84081 DYMANS
IN 6PCS 03/27/24 DR#83792 DYMANS
IN 03/19/24 8PCS DR#83549 DYMANS
IN 03/13/24 6PCS DR#83352 DYMANS
17pcs 12-28-23 dr#81673  dymans
30PCS 12-23-23 DR#81673 DYMANS
3pcs 12-21-23 dr#81579 DYMANS
17PCS 12-18-23 DR#81464 DYMANS
9PCS 12-4-23 DR#81076 DYMANS 
10PCS 11-23-23 DR#80738 SYMANS2pcs 11-4-23 DR#80318 DYMANS
8pcs 6-30-23 SPC
4PCS 3-13-23 STF#7836 SPC
6PCS 02-15-23 021699 DYMANS
18PCS 01-17-23 YTSPO21699 DYMANS
2PCS 12-6-22 STF#7339 SPC
32PCS 11-25-22 YTSP021025 DYMANS
4PCS 11-3-22 STf#7189 SPC
4PCS 8-10-22 STF#6755 SPC</t>
        </r>
      </text>
    </comment>
    <comment ref="H1683" authorId="0" shapeId="0" xr:uid="{9B21E997-B4EE-404D-B501-5898068D5E02}">
      <text>
        <r>
          <rPr>
            <sz val="10"/>
            <rFont val="SimSun"/>
            <charset val="134"/>
          </rPr>
          <t>OUT 1PCS 08/02/24 REF#75666 STC KUYA HACKET FOR SNR
OUT 1PCS 07/30/24 REF#75664 STC KUYA HACKET
OUT 6PCS 07/23/24 REF#75661 STC KUYA HACKET FOR SNR
OUT 2PCS 07/21/24 REF#75658 STC KUYA RON
OUT 4PCS 07/13/24 REF#75647 STC MASTER FOR SNR
OUT 6PCS 07/02/24 REF# STC FOR SNR KUYA HACKET
OUT 5PCS 06/22/24 REF#75629 STC FOR SNR KUYA EMMAN
OUT 4PCS 06/22/24 REF#75628 STC FOR SNR KUYA ADWIN
OUT 2PCS 6-22-24 DR#75114 SPC MSTER
OUT 4PCS 06/01/24 REF# STC KUYA EMMAN (FOR SNR)
OUT 5PCS 06/01/24 REF# STC KUYA ALGIN (FOR SNR)
OUT 6PCS 05/31/24 REF# STC KUYA DANCRIS (FOR SNR)
OUT 8PCS 04/21/24 STC MASTER
OUT 2PCS 04/19/24 DR#74780 SPC KUYA HACKET
OUT 5PCS 03/27/24 DR#74741 SPC PICK UP KUYA HACKET
OUT 3PCS 03/19/24 DR#74725 PICK UP KUYA HACKET
OUT 03/13/24 6PCS DR#74714  KUYA HACKET
OUT 2-24-24 DR#74687 1PC SPC PICK UP EMMAN
12PCS 1-31-24 STA CRUZ PICK UP BY KUYA MASTER&amp;EMMAN
4PCS 1-24-24 TA CRUZ PICK UP KUYA HACKET
OUT 01-23-2024
31272 2PCS SALES LEN
11PCS 1-20-24 DR#73390-91 SPC
3pcs 1-4-24 DR#23351-52 SPC
17pc 12-26-23 DR#73987 SPC
3PCS 12-21-23 DR#73984 SPC
3PCS 12-20-23 DR#73980 SPC
8PCS 12-20-23 DR#73980 SPC
6PCS 12-19-23 DR#73979 SPC
9PCS 12-06-23 DR#73957 SPC
6PCS 11-24-23 DR#74289 SPC
4PCS 11-23-23 DR#74285 SPC
2PCS 11-5-23 DR#74252 SPC
8pcs 7-19-23 DR#73874 SPC
4PCS 4-26-23 STF#2426 SPC
5PCS 2-16-23 STF#2288 S&amp;R
1PC 2-16-23 STF2287 SPC S&amp;R
4PCS 2-8-23 STF#2271 SPC
14PCS 1-23-23 STF#2234 SPC
4PCS 12-13-22 STF#2151 SPC
32PCS 11-25-22 STF# 2094 SPC
2PCS 11-3-22 JO#19173 MARLO
4PC 8-13-22 JO17326 MARIBEL
1PC 11-27-21 STF#1508  SPC
1PC 10/27/2021 JO#11496 JARVIS
1PC 10-2-21 JO#10981 SALES</t>
        </r>
      </text>
    </comment>
    <comment ref="L1683" authorId="0" shapeId="0" xr:uid="{04137620-B7C2-4141-90A4-41FFF8E84FF6}">
      <text>
        <r>
          <rPr>
            <sz val="10"/>
            <rFont val="SimSun"/>
            <charset val="134"/>
          </rPr>
          <t>6PCS 02-15-3-23 NEW DEL MDD</t>
        </r>
      </text>
    </comment>
    <comment ref="G1684" authorId="0" shapeId="0" xr:uid="{647B8946-B231-AA4C-8A80-A5A27C32D5B6}">
      <text>
        <r>
          <rPr>
            <sz val="10"/>
            <rFont val="SimSun"/>
            <charset val="134"/>
          </rPr>
          <t>2PCS 01-25-23 SI 48264 S3E
1pc 1-23-23 STF#7554 SPC
1PCS 1-23-23 STF#7551 SPC
4PCS DYMANS
4PCS 12-3-22 STF#7321 S3E</t>
        </r>
      </text>
    </comment>
    <comment ref="H1684" authorId="0" shapeId="0" xr:uid="{2D3FD7D3-5E91-054F-A764-452482657B26}">
      <text>
        <r>
          <rPr>
            <sz val="10"/>
            <rFont val="SimSun"/>
            <charset val="134"/>
          </rPr>
          <t>4PCS 1-30-23 JO#21326 ALY
4pcs 12-21-22 STF#2164 SPC
4PCS 11-30-2022 19884 ALY</t>
        </r>
      </text>
    </comment>
    <comment ref="G1685" authorId="0" shapeId="0" xr:uid="{D2C6C04B-74B0-6946-BEF1-6B379769EB34}">
      <text>
        <r>
          <rPr>
            <sz val="10"/>
            <rFont val="SimSun"/>
            <charset val="134"/>
          </rPr>
          <t>IN 4PCS 06.02.26 DR80726-27 SPC HACKET
IN 2PC 01.30.26 DR39492 SVB (5,950)
IN 4PCS 9.8.25 DR#37799 SVB
IN 2PCS 7.31.25 DR#78812 SPC KUYA PING
IN 1PC 2.25.25 DR#ST002473 BIÑAN
IN 4PCS 1-15-25 DR#76886 SPC service
IN 4PCS 1-8-25 DR#76876 SPC KUYA HACKET
----------------------------------------------
IN 48PCS 09/09/24 DR#86462 DYMANS
IN 4PCS 09/09/24 DR#87170 DYMANS
IN 40PCS 08/31/24 DR#86462 DYMANS
IN 12PCS 08/28/24 DR#86462 DYMANS
IN 7PCS 08/16/24 DR#86462 DYMANS
IN 2PCS 08/15/24 DR#76521 SPC KUYA HACKET
IN 15PCS 08/10/24 DR#86462 DYMANS
IN 12PCS 08/03/24 DR#86462 DYMANS
IN 10PCS 8-2-24 DR#86462 DYMANS
IN 12PCS 07/30/24 DR#086462 DYMANS 
IN 13PCS 07/23/24 DR#86462 DYMANS
IN 4PCS 07/20/24 DR#86462 DYMANS
IN 25PCS 07/16/24 DR#86462 DYMANS
IN 6PCS 07/13/24 DR#86462 DYMANS
IN 19PCS 07/08/24 DR#86462 DYMANS
IN 32PCS 07/02/24 DR#86462 DYMANS
IN 5PCS 07/01/24 DR#86378 DYMANS
4PCS 6-22-24 DR#85961 DYMANS
IN 1PCS 06/11/24 DR#75326 SPC KUA ALDWIN
IN 14PCS 05/31/24 DR#85432 DYMANS
IN 15PCS 05/31/24 DR#85434 DYMANS
IN 22PCS 05/21/24 DR#85184 DYMANS
IN 33PCS 5/21/2024 DR#85183 DYMANS
IN 28PCS 05/15/24 DR#85010 DYMANS
IN 16PCS 05/14/24 DR#85009 DYMANS
IN 28PCS 05/04/24 DR#84808 DYMANS
IN 5PCS 04/30/24 DR#84630 DYMNAS
IN 2PCS 04/26/24 DR#31905 SVB
IN 2PCS 03/27/24 DR#83792 DYMANS
IN 03/19/24 38PCS DR#83549 DYMANS
IN 03/13/24 13PCS DR#83078 DYMANS
IN 03/13/24 28PCS DR#83352 DYMANS
IN 2/29/24 32PCS DR#83038 DYMANS
50PCS 2-16-24 DR#82377 DYMANS
200PCS 12-29-23 DR#81617 DYMANS
20pcs 12-21-23 dr#81579 DYMANS
16pcs 12-19-23 DR#80975 DYMANS
42PCS 12-4-23 DR#80953 DYMANS 
30PCS 11-29-23 DR#80877 DYMANS
20pcs 11-23-23 DR#80769 DYMANS
33pcs 11-23-23 DR#80769 DYMANS
29pcs 11-23-23 DR#80769 DYMANS
16PCS 11-23-23 DR#80226 DYMANS
30PCS  11-20-23 DR#80645 DYMANS
2PCS 11-11-23 DR#74401 SPC
37pcs 11-4-23 DR#78812 DYMANS
68PCS 10-18-23 DR#77273 DYMANS
38PCS 10-10-23 DR#77273 DYMANS
50PCS 09-13-23 DR#77172 DYMANS
8PCS 8-28-23 DR#73291 SPC
6PCS 6-14-23 SPC
4PCS 3-27-23 STF#7907 SPC
4PCS 3-11-23 STF#7827 SPC
2PCS 2-2-23 STF#7612 SPC
4PCS 1-28-23 STF#7588 SPC
4P[CS 1-24-23 STF#7562 SPC
28PCS 1-19-23 DR71938 DYMANS
21PCS 1-19-23 DR71960 DYMANS
8PCS 1-7-23  STF#7465 SPC
26PCS 12-10-22 DR71938 DYMANS
90 PCS 11-26-22 21025 DYMANS
2PCS 10-28-22 STF#7171 SPC
4PCS 10-24-22 STF#7144 SPC
4PCS 9-20-22 STF#6958 SPC
4PCS 9-21-22 STF#6959 SPC
4PCS 9-13-22 STF#6920 SPC
2PCS 9-13-22 STF#6915 SPC
2PCS 9-10-22 STF#6909 SPC
4PCS 9-10-22 STf#6905 SPC
1PC 8-20-22 STF#6808 SPC
2PCS 8-17-22 STF#777 STC
2PCS 8-11-22 STF#6761 SPC
2PCS 8-10-22 STF#6755 SITE B
2PC 8-9-22 ST006750 SPC
4PCS 8-2-22 STF#6720 SPC
1PC 7-26-22 STF#6695 SPC
4pcs 7-21-22 STF#2046 SITE A
4pcs 6-11-22 STF#6481 SPC
2PCS 6-11-22 STF#1967 LIPA A
4PCS 6-7-22 STF#$6457 SPC
4pcs 5-31-22 STF#6421 SPC
4PCS 4-28-22 STF#6253 SPC
4PCS 4-28-22 STF#6251 SPC</t>
        </r>
      </text>
    </comment>
    <comment ref="H1685" authorId="0" shapeId="0" xr:uid="{D3207F49-44A5-4448-B750-BDBA18BA37D6}">
      <text>
        <r>
          <rPr>
            <sz val="10"/>
            <rFont val="SimSun"/>
            <charset val="134"/>
          </rPr>
          <t>01.30.26
54694 2PCS JARVIS
01.17.26
54297 2PCS ALY
9-8-25
4 PCS 50372 JARVIS
8-15-25
1PCS 49677 MARIBEL
7.31.25
49253 2PCS ROSE
3.24.25
44320 1PC BEL
1 PC OUT 2-25-25 JO43328 ALY
OUT 4PCS  1-28-25 DR#76954 SPC
4PC OUT 1/10/25 JO41605 JARVIS
----------------------------------------------
10/21/2024	38688 2PCS SALES
OUT 3PCS 09/17/24 REF#75707 FOR SNR MASTER
OUT 1PC 09/16/24 DR#75406 LIPA A
OUT 11PCS 09/12/24 REF#75700 STC FOR SNR
OUT 13PCS 09/10/24 REF#75699 FOR SNR KUYA HACKET
OUT 24PCS 09/09/24 REF#75698 FOR SNR MASTER
OUT 2PCS 09/06/24 REF#75695
OUT 7PCS 09/05/24 REF#75694 FOR SNR KUYA EMMAN 
OUT 6PCS 09/04/24 REF#75693 FOR SNR MASTER
OUT 8PCS 09/03/24 REF#75691 FOR SNR MASTER
OUT 5PCS 09/03/24 REF#75690 SNR
OUT 10PCS 09/03/24 REF#75689 SNR
09/02/24
37341 4PCS OFFICE
08/29/24
37150 2PCS SALES OFFICE
OUT 8PCS 08/29/24 REF#75685 STC FOR SNR KUYA EMMAN
OUT 5PCS 08/18/24 REF# MASTER FOR SNR
08/16/24
36844 2PCS SALES BEL
08/15/24
36806 2PCS SALES JARVIS
OUT 4PCS 08/13/24 REF#75675 KUYA HACKET FOR SNR
OUT 15PCS 08/11/24 REF#75674  STC FOR SNR MASTER
OUT 8PCS 08/09/24 REF#75673
STC KUYA HACKET MEET UP
OUT 10PCS 08/02/24 REF#75666 STC KUYA HACKET FOR SNR
OUT 6PCS 07/30/24 REF#75664 STC KUYA HACKET
OUT 6PCS 07/30/24 REF#75665 STC KUYA EMMAN
OUT 5PCS 07/23/24 REF#75661 STC KUYA HACKET FOR SNR
OUT 8PCS 07/23/24 REF#75660 STC MASTER FOR SNR
OUT 4PCS 07/21/24 REF#75658 STC KUYA RON
OUT 4PCS 07/18/24 REF#75657 STC KUYA HACKET
OUT 21PCS 07/17/24 REF#75655 STC FOR SNR KUYA EMMAN
OUT 2PCS 07/15/24 REF#75650 STC FOR SNR KYA EMAN
OUT 3PCS 07/13/24 REF#75647 STC MASTER FOR SNR
OUT 1PC 07/13/24 DR#75141 LIPA A
4PCS 7-12-24 DR#75140 LIPA A
OUT 2PCS 07/09/24 REF#75643 STC FOR SNR FOR PICK UP
OUT 13PCS 07/08/24 REF#75642 KUYA DANCRIS FOR SNR
OUT 2PCS 07/06/24 DR#75132 LIPA A 
OUT 2PCS 07/06/24 REF#75639 STC FOR SNR KUYA RON
OUT 28PCS 07/02/24 REF# STC FOR SNR KUYA HACKET
OUT 5PCS 07/01/24 REF# STC FOR SNR KUYA EMMAN
OUT 4PCS 06/22/24 REF#75628 STC FOR SNR KUYA ADWIN
OUT 06/11/24 35026 1PCS SALES MARLO
OUT 8PCS 06/03/24 DR#75099 SPC KUYA EMMAN
OUT 06/02/24 34777 4PCS SALES JARVIS 
OUT 6PCS 06/01/24 REF# STC KUYA EMMAN (FOR SNR)
OUT 16PCS 06/01/24 REF# STC KUYA ALGIN (FOR SNR)
OUT 5PCS 05/31/24 REF# STC KUYA DANCRIS (FOR SNR)
OUT 6PCS 05/30/24 DR#75089 SPC KUYA HACKET
OUT 18PCS 05/23/24 STC KUYA HACKET
OUT 4PCS 05/22/24 DR# SPC SERVICE
OUT 17PCS 05/21/24 STC KUYA HACKET
OUT 5PCS 05/18/24 STC KUYA BOYONG 
OUT 16PCS 5/17/2024 STC KUYA EMMAN
OUT 5PCS 05/16/24 REF# STC KUYA EMAN
OUT 2PCS 05/16/24 REF# STC KUYA EMAN
OUT 4PCS 05/15/24 REF# STC KUYA PING
OUT 12PCS 05/15/24 REF# STC MASTER
OUT 14PCS 05/07/24 REF#74764 STC KUYA HACKET
OUT 14PCS 05/06/24 REF#74763 STC KUYA EMMAN
OUT 5PCS 05/01/24 REF# STC MASTER
OUT 04/26/24 33750 2PCS SALES ROSE
OUT 4PCS 04/20/24 STC KUYA HACKET
OUT 1PC 04/01/24 STC KUYA MIKE
OUT 5PCS 04/01/24 DR#74747 SPC KUYA MIKE
OUT 6PCS 03/28/24 DR#74742 MASTER
OUT 1PC 03/15/24 DR#74734 LIPA A
OUT 31PCS 03/19/24 DR#74725 PICK UP KUYA HACKET
OUT 03/18/24 32777 2PCS SALES JARVIS
OUT 10PCS 03/14/24 DR#74717 SPC KUYA HACKET
OUT 03/13/24 8PCS DR#74714  KUYA HACKET
OUT 03/13/24 11PCS DR#74713 PICK UP MASTER
OUT 03/06/24 4PCS DR#74700 MASTER
OUT 9PCS 03/06/2024 DR#74699 SPC
OUT 8PCS 03/05/2024 DR#047547
5pcs 3-4-24 DR#74695 SPC MASTER PCIK UP
OUT 2/29/24 6PCS SALES
16PCS 2-19-24 DR#  SPC PICK UP EMMAN
OUT 02-18-2024
12PCS SPC MASTER PICK UP
15PCS 2-16-24 DR#74676 SPC
1PC  2-13-24 DR#74673 SPC
6PCS 2-10-24 DR#74669 SPC
OUT 2-3-24 DR#74658-59 8PCS SPC
4pcs 2-3-24 STA CRUZ PICK UP BY KUYA EMMAN&amp;MASTER
4pcs 2-2-24 STA CRUZ
30PCS 2-1-24 STA CRUZ PICK UP BY KUYA EMMAN&amp;MASTER
6PCS 1-31-24 STA CRUZ PICK UP BY KUYA MASTER&amp;EMMAN
4PCS 1-31-24 STA CRUZ PICK UP BY KUYA MASTER&amp;EMMAN
8PCS 1-29-24 DR# SPC
2pcs 1-27-2024 31389 rose
25PCS 1-24-24 TA CRUZ PICK UP KUYA HACKET4PCS 1-24-24 STA CRUZ S&amp;R PICK UP KUYA HACKET
19pc 1-24-24 STA CRUZ S&amp;R MASTER PICK UP
11PC 1-23-24 STA CRUZ S&amp;R DELIVERY
15PCS 1-20-24 DR#73390-91 SPC
5PCS 1-10-24 30958 SALES
8PCS 1-8-24 DR#73367 SPC
2PCS 1-4-24 JO#30782 BEL
8PCS 1-4-24 DR#73355 LIPA A
8pcs 1-4-24 DR#23351-52 SPC
2PCS 12-29-23 DR#73391 SPC
15pcs 12-21-23 DR#73984 SPC
12PCS 12-19-23 DR#73979 SPC
4PCS 12-20-23 DR#73980 SPC
25PCS 12-06-23 DR#73957 SPC
17PCS 12-5-23 DR#73955 SPC
6PCS 12-2-23 DR#73951 SPC
3PCS 12-1-23 DR#74300 SPC
22PCS 11-30-23 DR#74297 SPC
8PCS 11-30-23 DR#74295-96 SPC
59PCS 11-24-23 DR#74289 SPC
10PCS 11-23-23 DR#74285 SPC
25PCS 11-23-23 DR#74285 SPC
6PCS 11-22-23 JO#74282 SPC
12PCS 11-21-23 DR#74279-80 SPC
8PCS 11-20-23 DR#74276-77 SPC
2PCS 11-13-23 JO#29484 JARVIS
37PCS 11-5-23 DR#74252 SPC
4pcs 10-27-23 DR#73940 SPC
11PCS 10-20-23 DR#73930 SPC
11PCS 10-19-23 DR#73929 SPC
4PCS 10-19-23 DR#73927 SPC
38PCS 10-18-23 DR#73926 SPC
2PCS 10-12-23 JO#28780 JARVIS
2PCS 10-12-23 JO#28757 OFFICE
16PCS 10-11-23 DR#73915 SPC
18PCS 10-10-23 DR#73913-14 SPC
2PCS 9-23-23 JO#28366 SALES
9pcs 9-22-23 dr#72286 spc (snr)
12pcs 9-21-23 DR#72285 SPC
4PCS 9-19-23 JO#28275 JARVIS
10pcs 9-15-23 dr#72273 spc
8PCS 9-14-23 DR#72270 SPC
8PCS 9-14-23 DR#72269 SPC
4PCS 9-11-23 DR#72265 SPC
3PCS 9-3-23 JO#27897 JARVIS
4PCS 7-9-23 STF#2545 SPC
2PCSA 6-15-23 JO#26041 JARVUIS
2PCS 4-19-23 STF#2409 SPC
2PCS 4-13-23 JO#24318 BEL
2PCS 4-8-23 STF#2388 SPC
2PCS 3-27-23 JO#23414 BEL
2pcs 3-17-23 st002345 lipa a
7PCS 2-8-23 STF#2271 SPC
1PC 2-4-23 JO#21505 JARVIS
2PCS 2-1-23 STF#2255 LIPA A
13PCS 1-23-23 STF#2234 SPC
9PCS 1-22-23 ST002230 SPC (SNR)
9PCS 1-21-23 STF#2228 SPC
9pcs 1-19-23 STF#2223 SPC
6PCS 12-03-22 ST002147 SPC
4PCS 12-13-22 ST002144 LIPA B
8PCS 12-13-22 ST002143 LIPA B
12PCS 12-10-22 ST002133 SPC
2PCS 12-2-22 STF#2111 SITE A
14PCS 12-01-22 ZJZ382 EMMAN
11PCS 12-01-22 ABL1321 ALWIN
24PCS 11-30-22 ST002105 LIPA B
9PCS 11-30-22 SI EMMAN
30PCS 11-26-22 STF#2095 SPC
3PCS 11-7-22 JO#19293 ALY
1PC 11-2-22 JO#19162 JARVIS
4PC 10-28-22 JO19032 OFFICE
4PC 10-04-22 JO18558 JARVIS
**4PC 9-17-22 JO18173 MARIBEL
4PCS 9-13-22 JO18091 MARIBEL 
4PCS 9-10-22 JO#17944 OFFICE
1PC 8-20-22 JO17481 JARVIS
2PC 8-18-22 JO17446 JARVIS
2PC 8-14-22 ST001921 LIPA A
2PCS 8-13-22 STF#1920 SITE A
2PC 8-9-22 JO17233 JARVIS
4PC 8-8-22 JO17192 MARLO
1PC 8-6-22 JO17105 OFFICE
1pc 7-23-22 stf#1883 STC
4PC 7-21-22 JO16800 MARIBEL
3PCS SALES 07-08-22 JO#16504 OFFICE 
2PCS 06-22-22 JO#16146 SALES
4PCS 6-10-22 JO15898 SALES
4PCS 5-31-22 JO#15688 SALES
4PC 05-07-2022 ST001772 SPC
4PCS 5-4-22 JO#14948 SALES</t>
        </r>
      </text>
    </comment>
    <comment ref="G1686" authorId="0" shapeId="0" xr:uid="{B34C8395-DBB5-A446-B8C9-01F0CDF545D2}">
      <text>
        <r>
          <rPr>
            <sz val="10"/>
            <rFont val="SimSun"/>
            <charset val="134"/>
          </rPr>
          <t>2PCS 6-27-23 SPC
2pcs 5-22-23 STF#8141 SPC
8pcs 5-19-23 STF#8126 SPC
4PCS 3-3-23 STF# SPC</t>
        </r>
      </text>
    </comment>
    <comment ref="H1686" authorId="0" shapeId="0" xr:uid="{43AB59C6-F750-B147-8174-5709B0A132F0}">
      <text>
        <r>
          <rPr>
            <sz val="10"/>
            <rFont val="SimSun"/>
            <charset val="134"/>
          </rPr>
          <t xml:space="preserve">
1PC 7-7-23 JO#26550 JARVIS
1PC 7-5-23 JO#26479 ROSE
4PCS 6-7-23 JO#25834 JARVIS
2PCS 5-25-23 JO#25547 BEL
\4PCS 5-21-23 JO#25447 MARLO
2PCS 5-7-23 JO#25138 JARVIS</t>
        </r>
      </text>
    </comment>
    <comment ref="H1687" authorId="0" shapeId="0" xr:uid="{CF030F71-FD18-C04A-B0D5-3ADB901E310C}">
      <text>
        <r>
          <rPr>
            <sz val="10"/>
            <rFont val="SimSun"/>
            <charset val="134"/>
          </rPr>
          <t>4PC 01-31-2022 JO13282 ALY</t>
        </r>
      </text>
    </comment>
    <comment ref="G1689" authorId="0" shapeId="0" xr:uid="{2B078128-9CD7-F648-A248-F9B7A33ED799}">
      <text>
        <r>
          <rPr>
            <sz val="10"/>
            <rFont val="SimSun"/>
            <charset val="134"/>
          </rPr>
          <t>IN 5PCS 8-2-24 DR#86462 DYMANS
IN 2PCS 07/13/24 DR#86462 DYMANS
IN 9PCS 07/08/24 DR#86462 DYMANS
IN 4PCS 07/01/24 DR#86378 DYMANS
4pcs 6-22-24 DR#86012 DYMANS
IN 8PCS 05/31/24 DR#85434 DYMANS
IN 9PCS 05/14/24 DR#85010 DYMANS
IN 8PCS 03/27/24 DR#83792 DYMANS
IN 4PCS 03/19/24 DR#83549 DYMANS
IN 03/13/24 1PCS DR#83352 DYMANS
IN 2/29/24 7PCS DR#83038 DYMANS
2PCS 12-4-23 DR#81076  DYMANS 
8PCS 11-29-23 DR#80877 DYMANS
18PCS 11-23-23 DR#80738 DYMANS
8PCS 02-15-23 021699 DYMANS
2pcs 1-24-23 stf#7561 spc
11PCS 01-17-23 YTSPO21699 DYMANS
5PCS 01-17-23 YTSPO21699 DYMANS
4PCS 1-16-23 STF#7519 SPC
4PCS 12-10-22 DR71288 DYMANS
4PCS 12-6-22 STF#7339 SPC
30PCS 11-25-22 YTSP021025 DYMANS
4PCS 6-10-22 stF#6473 spc
\4PCS 5-11-22 STf#6319 SPC
4PCS 2-4-22 STF#5864 SPC
1PC 04-11-22 ST001867 LIPA A
8PC 03-16-2022 ST006072 SPC</t>
        </r>
      </text>
    </comment>
    <comment ref="H1689" authorId="0" shapeId="0" xr:uid="{B84BCFD9-1729-E445-B8F9-11025B3E7105}">
      <text>
        <r>
          <rPr>
            <sz val="10"/>
            <rFont val="SimSun"/>
            <charset val="134"/>
          </rPr>
          <t>OUT 5PCS 08/02/24 REF#75666 STC KUYA HACKET FOR SNR
OUT 7PCS 07/15/24 REF#75650 STC FOR SNR KYA EMAN
OUT 4PCS 07/08/24 REF#75642 KUYA DANCRIS FOR SNR
OUT 4PCS 07/01/24 REF# STC FOR SNR KUYA EMMAN
OUT 4PCS 06/22/24 REF# STC KUYA EMAN
OUT 8PCS 05/31/24 REF# STC KUYA DANCRIS (FOR SNR)
OUT 3PCS 05/30/24 DR#75089 SPC KUYA HACKET
OUT 2PCS 05/23/24 STC KUYA HACKET
OUT 4PCS 5/17/2024 STC KUYA JERRY
OUT 8PCS 03/28/24 DR#74742 MASTER
OUT 4PCS 03/20/24 DR#74727 PICK UP EMMAN SPC  
OUT 03/13/24 1PCS DR#74713 PICK UP MASTER
OUT 03/06/24 3PCS DR#74700 MASTER
OUT 2PCS 03/06/2024 DR#74699 SPC
2pcs 3-4-24 DR#74695 SPC MASTER PCIK UP
2pcs 12-2-23 dr#73960 SPC
8PCS 12-2-23 DR#73951 SPC
4PCS 11-30-23 DR#74297 SPC
4PCS 11-30-23 DR#74295-96 SPC
10PCS 11-24-23 DR#74289 SPC
4PCS 8-28-23 dr#72236 SPC
4PCS 2-17-23 STF#2291 SPC
2PCS 1-24-23 JO#21176 ALY
2PCS 1-22-23 STF#2230 SPC (SNR)
4PCS 1-21-23 STF#2228 SPC
4PCS 12-13-22 STF#2151 SPC
5PCS 11-26-22 STF# 2095 SPC
25PCS 11-25-22 STF#2094 SPC
4PCS 9-24-22 STF#1989 SPC
4PC 6-10-22 JO15920 SALES
4pcs 5-30-22 STF#1807 SPC
1PC 04-11-22 JO14669 SALES
4PC 03-25-2022 JO14297 SALES
4PC 03-24-2022 ST001691 SPC
4PCS 10/21/2021 SPC</t>
        </r>
      </text>
    </comment>
    <comment ref="L1689" authorId="0" shapeId="0" xr:uid="{2E9BF19C-F5A0-3B44-A32D-6A1CCC4BDE2E}">
      <text>
        <r>
          <rPr>
            <sz val="10"/>
            <rFont val="SimSun"/>
            <charset val="134"/>
          </rPr>
          <t>8PCS 02-15-23 NEW DEL MDD</t>
        </r>
      </text>
    </comment>
    <comment ref="G1690" authorId="0" shapeId="0" xr:uid="{91BBE032-697F-3E45-B4F8-FA64AA751609}">
      <text>
        <r>
          <rPr>
            <sz val="10"/>
            <rFont val="SimSun"/>
            <charset val="134"/>
          </rPr>
          <t>IN 2PCS 8-2-24 DR#86462 DYMANS
IN 5PCS 07/16/24 DR#86462 DYMANS
IN 6PCS 07/13/24 DR#86462 DYMANS
2PCS 6-22-24 DR#85961 DYMANS
IN 8PCS 05/31/24 DR#85432 DYMANS
IN 10PCS 05/21/24 DR#85184 DYMANS
IN 2PCS 05/14/24 DR#85009 DYMANS
IN 2PCS 04/19/24 DR#84321 DYMANS
IN 9PCS 04/18/24 DR#84282 DYMANS
IN 2PCS 03/27/24 DR#83792 DYMANS
IN 10PCS 03/19/24 DR#83549 DYMANS
IN 3/12/24 7PCS DR#83352 DYMANS 
IN 2/29/24 8PCS DR#83038 DYMANS
4pcs 2-2-24 DR#82443 DYMANS
16PCS 12-28-23 DR#81617 DYMANS
16PCS 12-18-23 DR#81465 DYMANS
14PCS 12-4-23 DR#80222 DYMANS 
8PCS 11-29-23 DR#80222 DYMANS
9PCS 11-23-23 DR#80222 DYMANS
12pcs 11-4-23 DR#80222 DYMANS
6PCS 10-18-23 DR#79527 DYMANS
18PCS 9-16-23 DR#78811 DYMANS
8PCS 09-13-23 DR#78811
DYMANS
4PCS 6-27-23 SPC
2pcs 6-12-23 spc
4PCS 3-11-23 STF#7827 SPC
4PCS 1-16-23 STF#7519 SPC
12PCS 12-10-22 DR71938 DYMANS
4PCS 12-6-22 STF#7339 SPC
50PCS 11-25-22 YTSP021025 DYMANS
2PCS 9-21-22 STF#6959 SPC
4pcs 8-3-22 STF#6726 SPC
4PCS 7-13-22 STF#6625 SPC
8PC 03-16-2022 ST006072 SPC</t>
        </r>
      </text>
    </comment>
    <comment ref="H1690" authorId="0" shapeId="0" xr:uid="{70B6778F-6340-6A42-A822-1137119260DB}">
      <text>
        <r>
          <rPr>
            <sz val="10"/>
            <rFont val="SimSun"/>
            <charset val="134"/>
          </rPr>
          <t>OUT 2PCS 08/02/24 REF#75666 STC KUYA HACKET FOR SNR
OUT 5PCS 07/18/24 REF#75657 STC KUYA HACKET
OUT 6PCS 07/15/24 REF#75650 STC FOR SNR KYA EMAN
OUT 2PCS 06/22/24 REF#75628 STC FOR SNR KUYA ADWIN
OUT 6PCS 06/03/24  DR#75099 SPC KUYA EMMAN
OUT 4PCS 06/01/24 REF# STC KUYA EMMAN (FOR SNR)
OUT 8PCS 05/31/24 REF# STC KUYA DANCRIS (FOR SNR)
OUT 2PCS 05/15/24 REF# STC KUYA PING
OUT 6PCS 04/20/24 STC KUYA HACKET
OUT 5PCS 04/19/24 DR#74780 SPC KUYA HACKET
OUT 03/30/24 33102 2PCS SALES LEN
OUT 10PCS 03/19/24 DR#74726 PICK UP BY EMAN
OUT 03/13/24 3PCS DR# KUYA HACKET
OUT 4PCS 03/13/24 DR#74709 SPC PICK UP KUYA ADWIN
OUT 2/29/24 8PCS SALES
OUT 4PCS 2/26/24 DR# 74689-90 SPC PICK UP MASTER
3pcs 1-20-24 dr#73390-91 spc
8PCS 12-30-23 DR#73994 SPC
16PCS 12-20-23 DR#73980 SPC
4PCS 12-15-23 DR#73972 LIPA A
10PCS 12-06-23 DR#73957 SPC
7PCS 11-30-23 DR#74297 SPC
4PCS 11-30-23 DR#74295-96 SPC
4PCS 11-27-23 STA CRUZ
4PCS 11-23-23 DR#74285 SPC
12PCS 11-5-23 DR#74251 SPC
2PCS 10-31-23 JO#29202 BEL
2PCS 10-19-23 DR#73927 SPC
6PCS 9-18-23 DR#72277 SPC
12PCS 9-18-23 DR#72278 SPC
8PCS 9-15-23 DR#72273 SPC
4pcs 7-19-23 DR#73874 SPC
2PCS 6-12-23 JO#25965 BEL
4pcs 3-14-23 STF#2339 SPC
4PCS 1-24-23 STF#2239 SPC
2PCS 1-20-23 JO#21059 JARVIS
1PC  1-14-23 STF#2213 SPC
2PCS 12-27-22 STF#2172 SPC
1PC 12-13-22 STF#2151 SPC
8PCS 12-10-22 ST002133 SPC
50PCS 11-26-22 STF# 2095 SPC
4PCS 9-21-22 JO#18254 ALY
2PCS 9-1-22 JO#17784 ALY
4PCS 7-25-22 STF#1890 SPC
4PC 03-25-2022 JO14297 SALES
4PC 03-24-2022 ST001691 SPC</t>
        </r>
      </text>
    </comment>
    <comment ref="G1693" authorId="0" shapeId="0" xr:uid="{CAF945AB-8A58-0C45-AB15-D8195CA13820}">
      <text>
        <r>
          <rPr>
            <sz val="10"/>
            <rFont val="SimSun"/>
            <charset val="134"/>
          </rPr>
          <t xml:space="preserve">4PCS 4-2-22 STF#6149 SPC
4PC 04-01-2022 ST006144 SPC
4PC 03-19-2022 ST006081 SPC
</t>
        </r>
      </text>
    </comment>
    <comment ref="H1693" authorId="0" shapeId="0" xr:uid="{03106630-5C33-AF43-A546-4F615DD2740F}">
      <text>
        <r>
          <rPr>
            <sz val="10"/>
            <rFont val="SimSun"/>
            <charset val="134"/>
          </rPr>
          <t>4PCS 4-18-22 STF#1735 SPC
4PC 04-01-2022 JO14437 SALES
2PC 03-31-2022 ST001701 LIPA A
3PC 01-27-2022 ST001608 LIPA A
1pc 1-11-22 stf#1585 a</t>
        </r>
      </text>
    </comment>
    <comment ref="G1694" authorId="0" shapeId="0" xr:uid="{2709B715-9DE7-2041-9C7E-60906C3667C8}">
      <text>
        <r>
          <rPr>
            <sz val="10"/>
            <rFont val="SimSun"/>
            <charset val="134"/>
          </rPr>
          <t>2PCS 2-9-24 STA CRUZ
4PCS 7-19-22 STF#6654 SPC</t>
        </r>
      </text>
    </comment>
    <comment ref="H1694" authorId="0" shapeId="0" xr:uid="{668B66F2-08FD-B148-B266-E01A993FDC96}">
      <text>
        <r>
          <rPr>
            <sz val="10"/>
            <rFont val="SimSun"/>
            <charset val="134"/>
          </rPr>
          <t>OUT 2PCS 08/22/24 DR#75381 SPC KUYA EMMAN (OLD DOT)
4POCS 11-14-22 STF#2068 SPC</t>
        </r>
      </text>
    </comment>
    <comment ref="G1695" authorId="0" shapeId="0" xr:uid="{3E27D88E-0FF5-B042-AC23-0CB8EA2459AC}">
      <text>
        <r>
          <rPr>
            <sz val="10"/>
            <rFont val="SimSun"/>
            <charset val="134"/>
          </rPr>
          <t>4PC 01-31-2022 ST005847 SPC</t>
        </r>
      </text>
    </comment>
    <comment ref="H1695" authorId="0" shapeId="0" xr:uid="{1043C666-ABC3-3140-A034-24629152266C}">
      <text>
        <r>
          <rPr>
            <sz val="10"/>
            <rFont val="SimSun"/>
            <charset val="134"/>
          </rPr>
          <t>4PC 01-31-2022 JO13236 SALES</t>
        </r>
      </text>
    </comment>
    <comment ref="G1696" authorId="0" shapeId="0" xr:uid="{AE7C71AA-FF22-9941-AD68-BF8D7B83CF93}">
      <text>
        <r>
          <rPr>
            <sz val="10"/>
            <rFont val="SimSun"/>
            <charset val="134"/>
          </rPr>
          <t>IN 4PCS 11/05/24 SI#3583 MINERVA
IN 2PCS 10-20-24 DR#76667 SPC
IN 6PCS 07/23/24 DR#86462 DYMANS
IN 2PCS 06/22/24 DR#86047 DYMANS
10Pcs 6-22-24 DR#86012 DYMANS
IN 7PCS 06/13/24 DR#85790 DYMANS
IN 10PCS 05/21/24 DR#85184 DYMANS
IN 3PCS 5/21/2024 DR#85183 DYMANS
IN 7PCS 05/15/24 DR#85010 DYMANS
IN 17PCS 05/04/24 DR#84808 DYMANS
IN 10PCS 04/19/24 DR#84321 DYMANS
IN 9PCS 4/11/24 DR#84081 DYMANS
IN 6PCS 03/19/24 DR#83549 DYMANS
IN 03/13/24 2PCS DR#83352 DYMANS
50PCS 12-23-23 DR#81673 DYMANS
6PCS 12-18-23 DR#81464 DYMANS
11PCS 12-4-23 DR#81076  DYMANS 
12PCS 11-29-23 DR#80877 DYMANS
3pcs 11-23-23 DR#80769 DYMANS
12PCS  11-20-23 DR#80645 DYMANS
2pcs 11-4-23 DR#80318 DYMANS
4pcs 6-30-23 SPC
\4PCS 3-3-23 STF#7778 SPC
4PCS 1-23-23 STF#7554 SPC
22PCS 11-26-22 21025 DYMANS
4PCS 8-9-22 STF#6751 SPC
4PC 03-30-2022 ST006127 SPC</t>
        </r>
      </text>
    </comment>
    <comment ref="H1696" authorId="0" shapeId="0" xr:uid="{2A6C39B7-ED2B-DF49-AA4A-F6ED6ADE95FD}">
      <text>
        <r>
          <rPr>
            <sz val="10"/>
            <rFont val="SimSun"/>
            <charset val="134"/>
          </rPr>
          <t xml:space="preserve">OUT 4PCS SALES 11/05/2024
JO39315 MARIBEL 
10/20/2024	38615 2PCS SALES
OUT 4PCS 08/18/24 REF# MASTER FOR SNR
OUT 2PCS 07/25/24 REF#75663 STC KUYA HACKET
OUT 9PCS 06/27/24 REF#75633 STC FOR SNR
OUT 10PCS 06/22/24 REF#75628 STC FOR SNR KUYA ADWIN
OUT 10PCS 05/30/24 REF#  STC MASTER (FOR SNR)
OUT 3PCS 05/23/24 STC KUYA HACKET
OUT 7PCS 5/17/2024 STC KUYA EMMAN
OUT 8PCS 05/07/24 REF#74764 STC KUYA HACKET
OUT 9PCS 05/06/24 REF#74762 STC MASTER
OUT 4PCS 04/21/24 STC MASTER
OUT 6PCS 04/20/24 STC KUYA HACKET/EMAN
OUT 4PCS 04/13/24 DR#74770 SPC KUYA EMAN
OUT 5PCS 04/11/24 DR#74766 SPC KUYA HACKET
OUT 6PCS 03/19/24 DR#74726 PICK UP EMMAN
OUT 03/13/24 2PCS DR#74713 PICK UP MASTERS
OUT 4PCS 2/26/24 DR# 74689-90 SPC PICK UP MASTER
OUT 2-3-24 DR#74658-59 3PCS SPC
10PCS 2-1-24 STA CRUZ PICK UP BY KUYA EMMAN&amp;MASTER
9PCS 1-24-24 TA CRUZ PICK UP KUYA HACKET
4PCS 1-3-24 DR#74000 LIPA A
20pc 12-26-23 DR#73987 SPC
6PCS 12-19-23 DR#73979 SPC
9PCS 12-06-23 DR#73957 SPC
2PCS 12-5-23 DR#73955 SPC
4PCS 11-30-23 DR#74297 SPC
8PCS 11-30-23 DR#74295-96 SPC
3PCS 11-24-23 DR#74289 SPC
4PCS 11-22-23 JO#74282 SPC
8PCS 11-20-23 DR#74276-77 SPC
2PCS 11-5-23 DR#74251 SPC
4PCS 7-3-23 STF#2531 DPC
3pcs 5-11-23 STF#2452 SPC
1PC 3-30-23 JO#23737 BEL
2PCS 2-8-23 STF#2271 SPC
2PCS 1-31-23 JO#21360 BEL
2pcs 12-29-22 stf#2180 spc
5PCS 12-01-22 ZJZ382 EMMAN
8PCS 11-30-22 SI99260 IMUS
7PCS 11-30-22 SI EMMAN
3PCS 10-4-22 STF#2001 SPC
4PC 8-24-22 STF#1942 SPC
4PCS 03-30-22 ST001699 SPC
</t>
        </r>
      </text>
    </comment>
    <comment ref="H1698" authorId="0" shapeId="0" xr:uid="{34940DC5-88B5-C04B-AA99-7F46F1DA7A9C}">
      <text>
        <r>
          <rPr>
            <sz val="10"/>
            <rFont val="SimSun"/>
            <charset val="134"/>
          </rPr>
          <t>4PCS 1-31-22 JO#13236 SALES</t>
        </r>
      </text>
    </comment>
    <comment ref="G1699" authorId="0" shapeId="0" xr:uid="{6AD436C5-20D6-5442-9E1E-21CF2E27945A}">
      <text>
        <r>
          <rPr>
            <sz val="10"/>
            <rFont val="SimSun"/>
            <charset val="134"/>
          </rPr>
          <t>4PCS  9-8-22 STF#6898 SPC
4PC 8-6-22 STF#6739 SPC</t>
        </r>
      </text>
    </comment>
    <comment ref="H1699" authorId="0" shapeId="0" xr:uid="{AA212A4F-B5FA-0244-A828-4C357BB33480}">
      <text>
        <r>
          <rPr>
            <sz val="10"/>
            <rFont val="SimSun"/>
            <charset val="134"/>
          </rPr>
          <t>4PCS 9-20-22 JO#18188 OFFICE
4PC 8-11-22 JO17273 OFFICE
4PCS 1-31-22 JO#13236 SALES</t>
        </r>
      </text>
    </comment>
    <comment ref="G1700" authorId="0" shapeId="0" xr:uid="{86006CF6-E6B1-454A-8362-883DD5439A36}">
      <text>
        <r>
          <rPr>
            <sz val="10"/>
            <rFont val="SimSun"/>
            <charset val="134"/>
          </rPr>
          <t>IN 4PCS 08/10/24 DR#86462 DYMANS
IN 6PCS 08/03/24 DR#86462 DYMANS
IN 4PCS 07/20/24 DR#86462 DYMANS
IN 6PCS 07/16/24 DR#86462 DYMANS
IN 4PCS 07/13/24 DR#86462 DYMANS
IN 4PCS 07/08/24 DR#86462 DYMANS
IN 8PCS 06/22/24 DR#86047 DYMANS
IN 6PCS 05/31/24 DR#85434 DYMANS
IN 20PCS 5/21/2024 DR#85183 DYMANS
IN 4PCS 05/14/24 DR#85009 DYMANS
IN 10PCS 05/14/24 DR#85010 DYMANS
IN 4PCS 05/04/24 DR#84808 DYMANS
IN 2PCS 04/30/24 DR#84630 DYMNAS
IN 15PCS 04/19/24 DR#84321 DYMANS
IN 5PCS 4/11/24 DR#84081 DYMANS
IN 18PCS 03/27/24 DR#83792 DYMANS
IN 37PCS 03/19/24 DR#83549 DYMANS
IN 03/13/24 2PCS DR#83352 DYMANS
IN 2/29/24 7PCS DR#83038 DYMANS
2PCS 2-16-24 DR#82377 DYMANS
9PCS 2-13-24 DR#82653 DYMANS
24PCS 12-23-23 DR#81673 DYMANS
20pcs 12-21-23 dr#81579 DYMANS
2PCS 12-18-23 DR#81464 DYMANS
12PCS 11-29-23 DR#80877 DYMANS
5pcs 11-23-23 DR#80769 DYMANS
19pcs 11-23-23 DR#80769 DYMANS
17pcs 11-4-23 DR#80318 DYMANS
19PCS 9-16-23 DR#79176 DYMANS
12PCS 09-13-23 DR#79088
DYMANS
1PC 8-1-23 DR#74954 SPC
4PCS 3-11-23 STF#7827 SPC
8PCS 02-15-23 22538 DYMANS
4pcs 1-27-23 STF#7583 SPC
17PCS 01-17-23 YTSPO21158 DYMANS
30PCS 11-26-22 21025 DYMANS
4PCS 9-20-22 STF#6958 SPC
4PCS MINERVA ALAMINOS
4PCS 7-13-22 STF#6625 SPC
1PC 04-29-2022 ST006256 SPC
4pcs 2-15-22 STF#5919 SPC</t>
        </r>
      </text>
    </comment>
    <comment ref="H1700" authorId="0" shapeId="0" xr:uid="{5F0FE24C-FD96-BF44-9CAE-C6133C19F70F}">
      <text>
        <r>
          <rPr>
            <sz val="10"/>
            <rFont val="SimSun"/>
            <charset val="134"/>
          </rPr>
          <t xml:space="preserve">OUT 4PCS 08/11/24 REF#75674  STC FOR SNR MASTER
OUT 4PCS 08/09/24 REF#75673
STC KUYA HACKET MEET UP
OUT 4PCS 08/06/24 REF#75669 STC FOR SNR KUYA EMMAN
OUT 4PCS 07/21/24 REF#75658 STC KUYA RON
OUT 6PCS 07/17/24 REF#75655 STC FOR SNR MASTER
OUT 4PCS 07/15/24 REF#75650 STC FOR SNR KYA EMAN
OUT 4PCS 07/08/24 REF#75642 KUYA DANCRIS FOR SNR
OUT 8PCS 06/27/24 REF#75633 STC FOR SNR
OUT 6PCS 06/01/24 REF# STC KUYA ALGIN (FOR SNR)
OUT 05/23/24 34328.1 2PCS SALES ROSE
OUT 12PCS 05/23/24 STC KUYA HACKET
OUT 8PCS 05/21/24 STC KUYA EMAN
OUT 4PCS 05/20/24 REF# STC KUYA EMMAN
OUT 5/17/2024 DR#75070 2PCS LIPA A
OUT 4PCS 5/17/2024 STC KUYA EMMAN
OUT 4PCS 05/15/24 REF# STC MASTER
OUT 05/11/24 34202 2PCS SALES ROSE
OUT 4PCS 05/07/24 REF#74764 STC KUYA HACKET
OUT 16PCS 04/20/24 STC KUYA EMAN
OUT 8PCS 04/19/24 DR#74780 SPC KUYA HACKET
OUT 4PCS 04/13/24 DR#74770 SPC
OUT 12PCS 03/28/24 DR#74742 MASTER
OUT 4PCS 03/27/24 DR#74741 SPC PICK UP KUYA HACKET
OUT 2PCS 03/25/24 DR#74739 SPC 
OUT 03/23/24 32889 4PCS SALES ROSE
OUT 6PCS 03/19/24 DR#74726 PICK UP EMMAN
OUT 24PCS 03/19/24 REF#74725 PICK UP KUYA HACKET
OUT 2PCS 03/14/24 DR#74717 SPC KUYA HACKET
OUT 03/06/24 7PCS DR#74700 MASTER
OUT 2PCS 2/26/24 DR# 74689-90 SPC PICK UP MASTER
6PCS 2-19-24 DR#  SPC PICK UP EMMAN
OUT 02-18-2024
2PCS SPC MASTER PICK UP
4PCS 1-3-24 DR#74000 LIPA A
16pcs 12-22-23 DR#73984 SPC
4pcs 12-21-23 DR#73984 SPC
2PCS 12-20-23 DR#73980 SPC
12PCS 12-2-23 DR#73951 SPC
4PCS 11-30-23 DR#74297 SPC
8PCS 11-30-23 DR#74295-96 SPC
6PCS 11-24-23 DR#74289 SPC
6PCS 11-23-23 DR#74285 SPC
17PCS 11-5-23 DR#74251 SPC
9PCS 9-18-23 DR#72277 SPC
10PCS 9-18-23 DR#72277 SPC
12PCS 9-14-23 DR#72270 SPC
1PC 8-1-23 JO#27132 ROSE
2PCS 4-1-23 JO#23772 ROSE
2PCS 3-30-23 JO#23729 ROSE
2PCS 3-18-23 JO#22712 ROSE
4PCS 2-16-23 STF#2288 S&amp;R
4PCS 2-16-23 STF2287 SPC S&amp;R
4PCS 1-27-23 JO#21281 OFFICE
1PC 1-24-23 STF#2239 SPC 
8PCS 1-23-23 STF#2236 SPC S&amp;R
4PCS 1-21-23 STF#2229 SPC
4PCS 1-21-23 STF#2228 SPC
30PCS 11-26-22 STF#2095 SPC
5PCS 10-4-22 STF#2001 SPC
2PCS 9-27-22 STF#1993 SPC
4PCS 7-25-22 STF#1890 SPC
1PC 04-30-2022 JO14946 SALES
4PC 02-19-2022 JO13526 SALES
</t>
        </r>
      </text>
    </comment>
    <comment ref="L1700" authorId="0" shapeId="0" xr:uid="{57E3F175-2A74-E04D-B736-A46127DBAD1A}">
      <text>
        <r>
          <rPr>
            <sz val="10"/>
            <rFont val="SimSun"/>
            <charset val="134"/>
          </rPr>
          <t>8PCS 02-15-23 NEW DEL MDD</t>
        </r>
      </text>
    </comment>
    <comment ref="G1703" authorId="0" shapeId="0" xr:uid="{CD5F4A52-DAC5-C44F-91B0-DF73D1A57185}">
      <text>
        <r>
          <rPr>
            <sz val="10"/>
            <rFont val="SimSun"/>
            <charset val="134"/>
          </rPr>
          <t>2pcs 9-7-22 stf#2110 site a
4pcs 7-30-22 STF#6710 SPC
8PCS 3-19-22 ST006081 SPC</t>
        </r>
      </text>
    </comment>
    <comment ref="H1703" authorId="0" shapeId="0" xr:uid="{3CB640A5-2A7F-E84E-B5C1-4AB6BC3015AA}">
      <text>
        <r>
          <rPr>
            <sz val="10"/>
            <rFont val="SimSun"/>
            <charset val="134"/>
          </rPr>
          <t>4PC 7-30-22 JO17045 ALY</t>
        </r>
      </text>
    </comment>
    <comment ref="G1704" authorId="0" shapeId="0" xr:uid="{625E0A01-DB58-2542-8D3D-78B6820FFF39}">
      <text>
        <r>
          <rPr>
            <sz val="10"/>
            <rFont val="SimSun"/>
            <charset val="134"/>
          </rPr>
          <t>IN 4PCS 06/26/24 DR# SPC MASTER
IN 4PCS 06/24/24 SI#03179 MINERVA
1pc 8-5-23 DR#74063 SPC
4PC 8-6-22 STF#6739 SPC
2PCS 6-13-22 STF#6484 SPC
8PC 03-19-2022 ST006081 SPC</t>
        </r>
      </text>
    </comment>
    <comment ref="H1704" authorId="0" shapeId="0" xr:uid="{59A2A46A-C74C-F444-A1B3-7F84AF199511}">
      <text>
        <r>
          <rPr>
            <sz val="10"/>
            <rFont val="SimSun"/>
            <charset val="134"/>
          </rPr>
          <t xml:space="preserve">OUT 06/27/27 35401 4PCS SALES  BEL
OUT 6/24/24 35338 4PCS SALES MAM JEN
1PC 8-5-23 JO#27262 MARLO
4PCS 9-5-22 JO#17864 BEL
4PCS 6-13-22 JO#15968 SALES
1pc 5-24-22 stf#1794 spc
1PC 05-21-2022 JO15498.1 SALES
4PC 03-24-2022 JO14286 SALES
</t>
        </r>
      </text>
    </comment>
    <comment ref="G1705" authorId="0" shapeId="0" xr:uid="{EBC9708F-26E5-9E4C-B2F1-4AFC01624568}">
      <text>
        <r>
          <rPr>
            <sz val="10"/>
            <rFont val="SimSun"/>
            <charset val="134"/>
          </rPr>
          <t>2PCS 1-28-23 48322 S3E
4PCS 9-17-22 STF#6937 SPC
2PC 9-7-22 STF#2110 A 
4PC 8-6-22 STF#6739 SPC</t>
        </r>
      </text>
    </comment>
    <comment ref="H1705" authorId="0" shapeId="0" xr:uid="{C9807389-269E-DF46-9EB9-2628BD4DC936}">
      <text>
        <r>
          <rPr>
            <sz val="10"/>
            <rFont val="SimSun"/>
            <charset val="134"/>
          </rPr>
          <t>2PCS 1-27-23 JO#21266 ALY
4PC 9-17-22 JO18154 ALY
4PC 9-7-22 JO#17915 JARVIS 
2PC 8-15-22 JO17372 MARIBEL</t>
        </r>
      </text>
    </comment>
    <comment ref="G1707" authorId="0" shapeId="0" xr:uid="{69C47C19-2AC3-A747-9ABD-4E7051E3F2F8}">
      <text>
        <r>
          <rPr>
            <sz val="10"/>
            <rFont val="SimSun"/>
            <charset val="134"/>
          </rPr>
          <t>4PCS  7-25-22 STF#6692 SPC</t>
        </r>
      </text>
    </comment>
    <comment ref="H1707" authorId="0" shapeId="0" xr:uid="{43F9B59E-9A9A-7549-91A6-F47CC8B806A1}">
      <text>
        <r>
          <rPr>
            <sz val="10"/>
            <rFont val="SimSun"/>
            <charset val="134"/>
          </rPr>
          <t>4PCS 7-25-22 JO#16913 SALES</t>
        </r>
      </text>
    </comment>
    <comment ref="G1710" authorId="0" shapeId="0" xr:uid="{8B64774E-7A0C-FC42-8E3C-02437C89EFBD}">
      <text>
        <r>
          <rPr>
            <sz val="10"/>
            <rFont val="SimSun"/>
            <charset val="134"/>
          </rPr>
          <t>2PCS 01-19-23 SI48161 S3E 
2PCS 10-22-22 STF#7140 SPC</t>
        </r>
      </text>
    </comment>
    <comment ref="H1710" authorId="0" shapeId="0" xr:uid="{2342441F-CCCB-3447-8BF0-3C1F01AB6249}">
      <text>
        <r>
          <rPr>
            <sz val="10"/>
            <rFont val="SimSun"/>
            <charset val="134"/>
          </rPr>
          <t>4PC 10-22-22 JO18939 ALY
(NOTE: 2PCS FOR ORDER JO18939)</t>
        </r>
      </text>
    </comment>
    <comment ref="G1716" authorId="0" shapeId="0" xr:uid="{35F598AF-33B6-3D43-BE76-2E044A2DA3F7}">
      <text>
        <r>
          <rPr>
            <sz val="10"/>
            <rFont val="SimSun"/>
            <charset val="134"/>
          </rPr>
          <t>IN 1PC 10.13.25 DR#79663 SPC ROBIN
IN 13PCS 08/16/24 DR#86462 DYMANS
IN 2PCS 08/10/24 DR#86462 DYMANS
IN 2PCS 08/03/24 DR#86462 DYMANS
IN 4PCS 8-2-24 DR#86462 DYMANS
IN 2PCS 07/30/24 DR#086462 DYMANS 
IN 4PCS 07/16/24 DR#86462 DYMANS
IN 7PCS 07/13/24 DR#86462 DYMANS
IN 4PCS 07/08/24 DR#86462 DYMANS
IN 4PCS 06/22/24 DR#86047 DYMANS
IN 2PCS 5/21/2024 DR#85183 DYMANS
IN 11PCS 05/14/24 DR#85010 DYMANS
IN 4PCS 04/30/24 DR#84630 DYMNAS
IN 2PCS 4/11/24 DR#84081 DYMANS
IN 14PCS 03/19/24 DR#83549 DYMANS
IN 2/29/24 8PCS DR#83038 DYMANS
8pcs 2-2-24 DR#82443 DYMANS
6PCS 12-4-23 DR#81076 DYMANS 
4PCS LIPA A
4pcs 6-10-23 SPC
4PCS 3-3-23 STF#7778 SPC
4pcs 1-31-23 STF#7600 SPC
4PCS 1-6-23 STF#7459 SPC
16PCS 12-10-22 DR71938 DYMANS
50PCS 11-26-22 21025 DYMANS
4PCS 11-19-22 STF#7256 SPC
2pcs 8-29-22 STF#6851 SPC
4PCS 6-27-22 STF#6547 SPC
4pcs 6-24-22 STF#6537 SPC
1pc 6-23-22 stf#6528 SPC
4PC 6-20-22 ST#1984 LIPA A
4PCS 6-10-22 stF#6473 spc
4pcs 5-9-22 STF#6307 SPC</t>
        </r>
      </text>
    </comment>
    <comment ref="H1716" authorId="0" shapeId="0" xr:uid="{D85C875E-ED60-BA48-B181-10D8471D68A9}">
      <text>
        <r>
          <rPr>
            <sz val="10"/>
            <rFont val="SimSun"/>
            <charset val="134"/>
          </rPr>
          <t>10-14-25
1 PC 51403 MARIBEL
out 1pcs 5.26.25 dr#77986 spc snr
OUT 8PCS 08/18/24 REF# MASTER FOR SNR
OUT 5PCS 08/16/24 REF# STC FOR SNR KUYA HACKET
OUT 2PCS 08/11/24 REF#75674  STC FOR SNR MASTER
OUT 2PCS 08/06/24 REF#75668 STC KUYA RON 
OUT 4PCS 08/02/24 REF#75666 STC KUYA HACKET FOR SNR
OUT 2PCS 07/30/24 REF#75665 STC KUYA EMMAN
OUT 4PCS 07/17/24 REF#75655 STC FOR SNR MASTER
OUT 6PCS 07/15/24 REF#75650 STC FOR SNR KYA EMAN
OUT 1PCS 07/13/24 REF#75647 STC MASTER FOR SNR
OUT 7PCS 07/08/24 REF#75642 KUYA DANCRIS FOR SNR
OUT 4PCS 06/22/24 REF#75629 STC FOR SNR KUYA EMMAN
OUT 2PCS 05/21/24 STC KUYA HACKET
OUT 4PCS 05/20/24 REF# STC KUYA EMMAN
OUT 7PCS 5/17/2024 STC KUYA JERRY
4PCS 5-3-24 DR#75055 PICK UP KUYA HACKET
OUT 4PCS 4/18/24 DR#74779 SPC KUYA EMAN
OUT 03/30/24 33091 4PCS SALES MARLO
OUT 4PCS 03/26/24 DR#74740 SPC PICK UP KUYA HACKET 
OUT 2PCS 03/20/24 DR#74728 SPC PICK UP KUYA HACKET
OUT 2PCS 03/19/24 DR#74726 PICK UP EMMAN
OUT 1PCS 2/26/24 DR# 74689-90 SPC PICK UP MASTER
OUT 2-3-24 DR#74658-59 3PCS SPC
2pcs 12-6-23 JO#30015 JOHNLY
6PCS 12-06-23 DR#73957 SPC
1PC 12-2-23 DR#73951 SPC
2PCS 11-2-23 DR#73948 SPC
1PC 10-9-23 DR#73910 SPC
4PCS 6-10-23 JO#25888 ROSE
4PCS 5-5-23 STF#2442 SPC
16PCS 2-17-23 STF#2291 SPC
4PCS 2-8-23 STF#2271 SPC
4PCS 1-19-23 STF#2223 SPC
4PCS 12-29-22 JO#20509 JARVIS
4PCS 12-26-22 JO#20426 ALY
2pcs 12-21-22 JO#20353 BEL
8PCS 12-15-22 STF#2153  SPC
7PCS 12-13-22 STF#2151 SPC
8PCS 12-10-22 ST002133 SPC
4PC 12-9-22 ST002128 LIPA A
4PCS 12-6-22 STF#2119 SPC
6PCS 12-2-22 STF#2116 ARNOLD
1PCS 12-01-22 ZJZ382 EMMAN
8PCS 12-01-22 ABL1321 ALWIN
2PCS 11-30-22 ST002099 SPC
4pcs 11-19-22 jo19558 aly
2PCS 8-29-22 JO#17680 MARIBEL
4PCS 8-6-22 JO17203 JARVIS
4PCS 7-15-22 STF#1876 SPC
4PC 6-25-22 JO16282 SALES
5PC 6-23-22 JO16137 SALES
4PC 06-19-22 JO16120 SALES
4PC 05-17-2022 ST001783 SPC</t>
        </r>
      </text>
    </comment>
    <comment ref="L1716" authorId="0" shapeId="0" xr:uid="{39D18DA4-E123-DF4E-A6FC-5B94DDDAED62}">
      <text>
        <r>
          <rPr>
            <sz val="10"/>
            <rFont val="SimSun"/>
            <charset val="134"/>
          </rPr>
          <t>16PCS 02-15-23 NEW DEL MDD</t>
        </r>
      </text>
    </comment>
    <comment ref="G1717" authorId="0" shapeId="0" xr:uid="{7F4D2874-8A59-8F40-83A0-A81CC8AFF162}">
      <text>
        <r>
          <rPr>
            <sz val="10"/>
            <rFont val="SimSun"/>
            <charset val="134"/>
          </rPr>
          <t>IN 4PCS 06/22/24 DR#86047 DYMANS</t>
        </r>
      </text>
    </comment>
    <comment ref="H1717" authorId="0" shapeId="0" xr:uid="{D9F0C12F-67FA-2848-80F4-738A51BE9B85}">
      <text>
        <r>
          <rPr>
            <sz val="10"/>
            <rFont val="SimSun"/>
            <charset val="134"/>
          </rPr>
          <t>OUT 04PCS 06/24/24 DR#75117 SPC SERVICE</t>
        </r>
      </text>
    </comment>
    <comment ref="G1718" authorId="0" shapeId="0" xr:uid="{008A401D-0B7B-3844-8C12-8F2B4F20FEA9}">
      <text>
        <r>
          <rPr>
            <sz val="10"/>
            <rFont val="SimSun"/>
            <charset val="134"/>
          </rPr>
          <t>IN 2PCS 03.02.26 DR80781 SPC MADAM
IN 3PCS 11/21/24 DR#75716 SPC
IN 18PCS 08/16/24 DR#86462 DYMANS
IN 6PCS 08/10/24 DR#86462 DYMANS
IN 3PCS 07/30/24 DR#086462 DYMANS 
IN 9PCS 07/20/24 DR#86462 DYMANS
IN 9PCS 07/16/24 DR#86462 DYMANS
IN 4PCS 07/13/24 DR#86462 DYMANS
IN 1PCS 07/08/24 DR#86462 DYMANS
IN 5PCS 07/02/24 DR#86462 DYMANS
6pcs 6-22-24 DR#86012 DYMANS
IN 20PCS 05/31/24 DR#85434 DYMANS
IN 17PCS 5/21/2024 DR#85183 DYMANS
IN 9PCS 05/14/24 DR#85010 DYMANS
IN 4PCS 05/04/24 DR#84808 DYMANS
IN 4PCS 04/30/24 DR#84630 DYMNAS
IN 21PCS 04/19/24 DR#84321 DYMANS
IN 6PCS 4/11/24 DR#84081 DYMANS
IN 8PCS 03/27/24 DR#83792 DYMANS
IN 13PCS 03/19/24 DR#83549 DYMANS
IN 3/12/24 10PCS DR#83352 DYMANS 
9pcs 2-2-24 DR#82443 DYMANS
22PCS 12-28-23 DR#81617 DYMANS
3PCS 12-28-23 DR#80953 DYMANS
12PCS 12-4-23 DR#80953 DYMANS 
20PCS 11-29-23 DR#80877 DYMANS
4PCS 11-23-23 DR#80222 DYMANS
4PCS 11-23-23 DR#80226 DYMANS
11PCS 11-23-23 DR#80738 DYMANS
20PCS  11-20-23 DR#80222 DYMANS
20PCS 09-13-23 DR#76476
DYMANS
4pcs 6-30-23 SPC
4PCS 5-24-23 STF#8155 SPC
4PCS 3-27-23 STF#7907 SPC
4PCS 3-3-23 STF#7778 SPC
1PCS 02-15-23 22538 DYMANS
15PCS 01-18-23 YTSP021158 DYMANS
8PCS 12-10-22 DR71938 DYMANS
100PCS 11-28-2022 21026 DYMANS 
4PCS 8-8-22 STf#6747 SPC
2PCS 8-2-22 STF#6720 SPC
4PCS 7-29-22 ST006707 SPC
4PCS 6-10-22 stF#6473 spc</t>
        </r>
      </text>
    </comment>
    <comment ref="H1718" authorId="0" shapeId="0" xr:uid="{F83C5105-BB7A-094C-A64A-14E0703FAB1B}">
      <text>
        <r>
          <rPr>
            <sz val="10"/>
            <rFont val="SimSun"/>
            <charset val="134"/>
          </rPr>
          <t>03.02.26
55629 2PCS ALY
OUT 3PCS 11/21/24 JO39927 MARIBEL 
OUT 12PCS 08/18/24 REF# MASTER FOR SNR
OUT 6PCS 08/16/24 REF# STC FOR SNR KUYA HACKET
OUT 6PCS 08/11/24 REF#75674  STC FOR SNR MASTER
OUT 3PCS 07/30/24 REF#75665 STC KUYA EMMAN
OUT 9PCS 07/21/24 REF#75658 STC KUYA RON
OUT 4PCS 07/18/24 REF#75657 STC KUYA HACKET
OUT 5PCS 07/17/24 REF#75655 STC FOR SNR MASTER
OUT 4PCS 07/15/24 REF#75650 STC FOR SNR KYA EMAN
OUT 1PCS 07/08/24 REF#75642 KUYA DANCRIS FOR SNR
OUT 2PCS 07/06/24 REF#75639 STC FOR SNR KUYA RON
OUT 3PCS 07/02/24 REF# STC FOR SNR KUYA HACKET
OUT 6PCS 06/22/24 REF# STC KUYA EMAN
OUT 10PCS 06/01/24 REF# STC KUYA EMMAN (FOR SNR)
OUT 10PCS 06/01/24 REF# STC KUYA ALGIN (FOR SNR)
OUT 17PCS 05/21/24 STC KUYA EMAN
OUT 9PCS 5/17/2024 STC KUYA EMMAN
OUT 4PCS 05/07/24 STC KUYA HACKET
OUT 4PCS 05/01/24 REF# STC MASTER
OUT 8PCS 04/21/24 STC MASTER
OUT 17PCS 04/20/24 STC KUYA EMAN
OUT 6PCS 04/11/24 DR#74766 SPC KUYA HACKET
OUT 4PCS 04/03/24 DR#74753 SPC KUYA EMMAN
OUT 5PCS 03/23/24 DR#74736 SPC PICK UP KUYA EMMAN
OUT 4PCS 03/20/24 DR#74728 SPC PICK UP KUYA HACKET
OUT 4PCS 03/19/24 DR#74726 PICK UP EMMAN
OUT 03/13/24 8PCS DR#74714  KUYA HACKET
OUT 03/12/13 2PCS DR#74711 KUYA HACKET
1PC  2-13-24 DR#74673 SPC
4PCS 2-8-24 31755 SALES
4pcs 2-6-24 dr#74663 lipa a
2pc 1-24-24 STA CRUZ S&amp;R MASTER PICK UP
1PC 1-22-24 DR#73394 SPC
OUT 01-12-2024
31036 2PCS SALES
8pcs 1-4-24 DR#23351-52 SPC
01-03-2024 JO#30737 4PCS JARVIS
2PCS 12-29-23 JO#30578 ROSE
9PCS 12-21-23 DR#73984 SPC
12PCS 12-4-23 DR#73954 SPC
10PCS 12-2-23 DR#73951 SPC
2PCS 11-30-23 DR#74297 SPC
8PCS 11-30-23 DR#74295-96 SPC
4PCS 11-24-23 DR#74286 LIPA A
15PCS 11-23-23 DR#74285 SPC
5PCS 11-22-23 JO#74282 SPC
15PCS 11-22-23 DR#74780 SPC
20PCS 9-14-23 DR#72270 SPC
1PC 8-9-23 DR#72209 SPC
4PCS 7-6-23 STF#2539 SPC
4PCS 6-21-23 STF#2517 SPC
3PCS 4-26-23 STF#2426 SPC
1PC 3-28-23 JO#23435 JARVIS
1PC 2-16-23 STF#2288 S&amp;R
1PC 1-24-23 STF#2239 SPC
21PCS 1-19-23 STF#2223 SPC
4PCS 12-22-22 JO#20391 SPC
4PCS 12-15-22 STF#2153  SPC
4PCS 12-13-22 STF#2151 SPC
9PCS 12-6-22 STF#2119 SPC
16PCS 12-01-22 ZJZ382 EMMAN
56PCS 11-30-22 ST002105 LIPA B
4PCS 8-9-22 STF#1912 SPC
4PCS 8-4-22 STF#1903 SPC
2PC 7-29-22 JO16997 OFFICE
4PCS 6-30-22 STF#1853 SPC</t>
        </r>
      </text>
    </comment>
    <comment ref="G1719" authorId="0" shapeId="0" xr:uid="{EAD432F9-384A-7A43-B113-DCB9371C4970}">
      <text>
        <r>
          <rPr>
            <sz val="10"/>
            <rFont val="SimSun"/>
            <charset val="134"/>
          </rPr>
          <t>4PCS 2-10-24 DR#7301 LIPA A
IN 12-23-23 DR#73316 1PC LIPA A
20PCS 3-11-23 STF#7827 SPC</t>
        </r>
      </text>
    </comment>
    <comment ref="H1719" authorId="0" shapeId="0" xr:uid="{ABBF5AA4-B15F-3C4D-AA6E-20EA367170D3}">
      <text>
        <r>
          <rPr>
            <sz val="10"/>
            <rFont val="SimSun"/>
            <charset val="134"/>
          </rPr>
          <t>OUT 1PC 03/30/24 DR#74745-46 SPC KUYA HACKET 
OUT 3/09/24 32570 2PCS SALES LEN
1pc 02-18-24 LIPA A DR#74678
4PCS 12-24-23 30533 SALES
4PCS 12-16-23 Jo#30315 MARLO
4PCS 11-25-23 JO#29784 ROSE
4PCS 10-28-23 JO#29102 MARLO
4PCS 3-14-23 JO#22383 ROSE ANN</t>
        </r>
      </text>
    </comment>
    <comment ref="G1721" authorId="0" shapeId="0" xr:uid="{53B2CA4B-2234-F447-A3D4-BF7AF309F2A7}">
      <text>
        <r>
          <rPr>
            <sz val="10"/>
            <rFont val="SimSun"/>
            <charset val="134"/>
          </rPr>
          <t>4PCS 4-2-22 STF#6149 SPC
4PCS 01-08-2022 ST005740 SPC
5PCS 01-06-2022 ST005734 SPC
4PC 12-13-2021 ST001656 LIPA A</t>
        </r>
      </text>
    </comment>
    <comment ref="H1721" authorId="0" shapeId="0" xr:uid="{1FA84170-01E9-EC49-88CF-70FFD87B2510}">
      <text>
        <r>
          <rPr>
            <sz val="10"/>
            <rFont val="SimSun"/>
            <charset val="134"/>
          </rPr>
          <t>6PCS 4-7-22 STF#1714 SPC
2PC 03-25-22 ST001692 SPC
1PC 03-24-2022 ST001691 SPC
1PC 03-15-2022 JO14077 SALES
4PC 02-20-2022 JO13644 SALES
4PC 12-13-2021 JO#12383 MARLO</t>
        </r>
      </text>
    </comment>
    <comment ref="G1722" authorId="0" shapeId="0" xr:uid="{4BF8FE24-1550-D74F-A4E5-465D7A532015}">
      <text>
        <r>
          <rPr>
            <sz val="10"/>
            <rFont val="SimSun"/>
            <charset val="134"/>
          </rPr>
          <t>4PC 8-6-22 STF#6739 SPC</t>
        </r>
      </text>
    </comment>
    <comment ref="H1722" authorId="0" shapeId="0" xr:uid="{E90BEFE0-71EC-844A-BB8A-18FE0D31E073}">
      <text>
        <r>
          <rPr>
            <sz val="10"/>
            <rFont val="SimSun"/>
            <charset val="134"/>
          </rPr>
          <t>4PCS 10-18-22 STF#2020 SPC</t>
        </r>
      </text>
    </comment>
    <comment ref="G1723" authorId="0" shapeId="0" xr:uid="{EDBBC9C8-D73E-B443-A374-482CA9719C24}">
      <text>
        <r>
          <rPr>
            <sz val="10"/>
            <rFont val="SimSun"/>
            <charset val="134"/>
          </rPr>
          <t>2pcS 7-25-22 STF#6692 SPC</t>
        </r>
      </text>
    </comment>
    <comment ref="H1723" authorId="0" shapeId="0" xr:uid="{2810B227-7159-784A-BBB0-D041974F37EE}">
      <text>
        <r>
          <rPr>
            <sz val="10"/>
            <rFont val="SimSun"/>
            <charset val="134"/>
          </rPr>
          <t>2PCS 7-25-22 JO#16913 SALES</t>
        </r>
      </text>
    </comment>
    <comment ref="G1724" authorId="0" shapeId="0" xr:uid="{11785692-7297-B947-B0B8-C3EEAD6B74D7}">
      <text>
        <r>
          <rPr>
            <sz val="10"/>
            <rFont val="SimSun"/>
            <charset val="134"/>
          </rPr>
          <t xml:space="preserve">IN 2PCS 10/12/24 DR#76653 SPC 
IN 11PCS  08/28/24 DR#86462 DYMANS
IN 12PCS 08/16/24 DR#86462 DYMANS
IN 18PCS 08/10/24 DR#86462 DYMANS
IN 10PCS 08/03/24 DR#86462 DYMANS
IN 21PCS 8-2-24 DR#86462 DYMANS
IN 13PCS 07/30/24 DR#086462 DYMANS 
IN 12PCS 07/23/24 DR#86462 DYMANS
IN 12PCS 07/20/24 DR#86462 DYMANS
IN 20PCS 07/16/24 DR#86462 DYMANS
IN 20PCS 07/13/24 DR#86462 DYMANS
IN 33PCS 07/02/24 DR#86462 DYMANS
IN 28PCS 07/01/24 DR#86378 DYMANS
IN 6PCS 06/22/24 DR#86047 DYMANS
2pcs 6-22-24 DR#86012 DYMANS
6PCS 6-22-24 DR#85961 DYMANS
IN 21PCS 06/13/24 DR#85790 DYMANS
IN 2PCS 06/11/24 DR#32358 SVB KUYA ALDWIN
IN 9PCS 05/31/24 DR#85432 DYMANS 
IN 20PCS 05/21/24 DR#85184 DYMANS
IN 23PCS 5/21/2024 DR#85183 DYMANS
IN 9PCS 05/14/24 DR#85009 DYMANS
IN 51PCS 05/14/24 DR#85010 DYMANS
IN 30PCS 05/04/24 DR#84808 DYMANS
IN 10PCS 04/30/24 DR#84630 DYMNAS
IN 2PCS 04/22/24 DR#84320 DYMANS
IN 12PCS 04/19/24 DR#84321 DYMANS
IN 18PCS 4/11/24 DR#84081 DYMANS
IN 18PCS 03/27/24 DR#83792 DYMANS
IN 33PCS 03/19/24 DR#83549 DYMANS
IN 3/12/24 40PCS DR#83352 DYMANS 
IN 2/29/24 12PCS DR#83038 DYMANS
10PCS 2-16-24 DR#82377 DYMANS
44PCS 2-13-24 DR#82443 DYMANS
36pcs 2-2-24 DR#82443 DYMANS
2PCS 2-1-24 DR#74639 SPC
46PCS 12-22-23 DR#81579 DYMANS
25pcs 12-21-23 dr#81464 DYMANS
25pcs 12-19-23 DR#80975 DYMANS
35PCS 12-18-23 DR#81464 DYMANS
68PCS 12-4-23 DR#80953 DYMANS 
30PCS 11-29-23 DR#80877 DYMANS
4PCS 11-23-23 DR#80226 DYMANS
27PCS 11-23-23 DR#80226 DYMANS
13PCS 11-23-23 DR#80738 DYMANS
30PCS  11-20-23 DR#80222 DYMANS
19pcs 11-4-23 DR#80226 DYMANS
17PCS 10-18-23 DR#79527 DYMANS
54PCS 10-10-23 DR#79527 DYMANS
3PCS 9-16-23 DR#79176 DYMANS
19PCS 9-16-23 DR#79176 DYMANS
18PCS 9-16-23 DR#79176 DYMANS
50PCS 09-13-23 DR#79088
DYMANS
4pcs 6-30-23 SPC
4PCS 4-10-23 STF#7978 SPC
4PCS 3-3-23 STF# SPC
4pcs 1-31-23 STF#7600 SPC
5PCS 01-18-23 YTSP021720 DYMANS
100PCS 01-18-23 YTSP021699 DYMANS
8PCS 1-7-23  STF#7465 SPC
4PCS 1-3-23 S3E 
36PCS 12-10-22 DR71938 DYMANS
150PCCS 11-28-22 21026 DYMANS
4PCS 8-2-22 STF#6720 SPC
2PCS 7-19-22 STf#6668 SPC
4PCS 7-7-22 STf#6594 SPC
2PCS 7-2-22 STF#6570 SPC
4pcs 5-23-22 STF#6375 SPC
4PCS 4-28-22 STF#6251 SPC
4PCS 4-2-22 STF#6149 SPC
</t>
        </r>
      </text>
    </comment>
    <comment ref="H1724" authorId="0" shapeId="0" xr:uid="{8C3FD91E-F296-B644-937D-CF9111BFEA04}">
      <text>
        <r>
          <rPr>
            <sz val="10"/>
            <rFont val="SimSun"/>
            <charset val="134"/>
          </rPr>
          <t xml:space="preserve">
10/12/24 
38320 2PCS SALES ROSE
OUT 11PCS 08/29/24 REF#75685 STC FOR SNR KUYA EMMAN
OUT 4PCS 08/23/24 REF#75680 STC RANGER FOR SNR
OUT 12PCS 08/18/24 REF# MASTER FOR SNR
OUT 8PCS 08/13/24 REF#75675 KUYA HACKET FOR SNR
OUT 10PCS 08/11/24 REF#75674  STC FOR SNR MASTER
OUT 6PCS 08/06/24 REF#75670 STC MADAM JEN
OUT 4PCS 08/06/24 REF#75669 STC FOR SNR KUYA EMMAN
OUT 17PCS 08/02/24 REF#75666 STC KUYA HACKET FOR SNR
4PCS 8-1-24 DR#75361 SPC
OUT 11PCS 07/30/24 REF#75664 STC KUYA HACKET
OUT 2PCS 07/30/24 REF#75665 STC KUYA EMMAN
OUT 2PCS 07/25/24 REF#75663 STC KUYA HACKET
OUT 6PCS 07/23/24 REF#75661 STC KUYA HACKET FOR SNR
OUT 12PCS 07/21/24 REF#75658
STC KUYA RON
OUT 4PCS 07/18/24 REF#75657 STC KUYA HACKET
OUT 16PCS 07/17/24 REF#75655 STC FOR SNR MASTER
OUT 16PCS 07/15/24 REF#75650 STC FOR SNR KYA EMAN
OUT 4PCS 07/15/24 REF#75649 STC FOR SNR KUYA EMMAN
OUT 4PCS 07/13/24 REF#75647 STC MASTER FOR SNR
OUT 16PCS 07/06/24 REF#75639 STC FOR SNR KUYA RON
OUT 13PCS 07/02/24 REF# STC FOR SNR KUYA HACKET
OUT 28PCS 07/01/24 REF# STC FOR SNR KUYA EMMAN
OUT 4PCS 06/28/24 REF#75634 STC FOR SNR
OUT 6PCS 06/24/24 REF#75632 FOR SNR KUYA HACKET
OUT 8PCS 06/22/24 REF#75628 STC FOR SNR KUYA ADWIN
OUT 8PCS 06/17/24 DR#75110 SPC MASTER
OUT 9PCS 06/14/24 REF# STC KUYA ALGIN
OUT 06/11/24 35043. 2PCS SALES  JARVIS
OUT 9PCS 06/03/24  DR#75099 SPC KUYA EMMAN
OUT 6PCS 06/01/24 REF# STC KUYA EMMAN (FOR SNR)
OUT 9PCS 06/01/24 REF# STC KUYA ALGIN (FOR SNR)
OUT 3PCS 05/30/24 REF#  STC MASTER (FOR SNR)
OUT 2PCS 05/23/24 STC
OUT 23PCS 05/21/24 STC KUYA EMAN
OUT 2PCS 05/20/24 REF# STC KUYA EMMAN
OUT 37PCS 5/17/2024 STC KUYA EMMAN
OUT 15PCS 05/16/24 REF# STC KUYA EMAN
OUT 6PCS 05/15/24 REF# STC MSATER
OUT 8PCS 05/07/24 STC KUYA HACKET
OUT 30PCS 05/06/24 REF#74762 STC MASTER
OUT 2PCS 05/01/24 REF# STC MASTER
OUT 2PCS 02/22/24 DR#74787 SPC
OUT 12PCS 04/21/24 REF#74693 STC MASTER
OUT 7PCS 04/20/24 REF#74688 STC KUYA EMAN
OUT 5PCS 04/19/24 DR#74780 SPC KUYA HACKET
OUT 10PCS 04/11/24 DR#74766 SPC KUYA HACKET
OUT 14PCS 03/27/24 DR#74741 SPC PICK UP KUYA HACKET
OUT 8PCS 03/23/24 DR#74736 SPC PICK UP KUYA EMMAN
OUT 10PCS 03/20/24 REF#74728 STC PICK UP KUYA HACKET
OUT 15PCS 03/19/24 REF#74726 PICK UP EMMAN
OUT 6PCS 03/14/24 DR#74717 SPC KUYA HACKET
OUT 03/13/24 7PCS DR#74714  KUYA HACKET
OUT 03/13/24 10PCS DR#74713 PICK UP MASTERS
OUT 03/12/13 10PCS DR#74711 KUYA HACKET
OUT 4PCS 03/06/2024 DR#74699 SPC
OUT 2PCS 2/26/24 DR# 74689-90 SPC PICK UP MASTER
OUT 2-24-24 REF#74687 4PCS SPC PICK UP EMMAN
OUT 2-22-24 DR#74685 1PC SPC MASTER
4PCS 2-19-24 DR#  SPC PICK UP EMMAN
OUT 02-18-2024
16PCS SPC MASTER PICK UP
2PCS 2-16-24 DR#74676 SPC
25PCS 2-13-24 DR#74673 SPC
7PCS 2-12-24 DR#74671 SPC
8PCS 2-10-24 DR#74669 SPCOUT 2-8-24 DR#74664-65 12PCS  SPC
OUT 2-3-24 DR#74658-59 8PCS SPC
3pcs 2-3-24 STA CRUZ PICK UP BY KUYA EMMAN&amp;MASTER
12PCS 1-20-24 DR#73390-91 SPC
OUT 1-17-24 DR#73388 4PCS SPC
OUT 1-16-24 DR#73386 4PCS SPC
4PCS 1-4-24 DR#73355 LIPA A
2pcs 1-4-24 DR#23351-52 SPC
20pc 12-26-23 DR#73987 SPC
20PCS 12-21-23 DR#73983 SPC
13PCS 12-19-23 DR#73979 SPC
27PCS 12-20-23 DR#73980 SPC
4PCS 12-10-23 DR#73965 SPC
68PCS 12-4-23 DR#73954 SPC
22PCS 11-30-23 DR#74297 SPC
8PCS 11-30-23 DR#74295-96 SPC
10PCS 11-24-23 DR#74288 SPC
10PCS 11-23-23 DR#74285 SPC
20PCS 11-23-23 DR#74285 SPC
6PCS 11-22-23 JO#74282 SPC
\14PCS 11-21-23 DR#74279-80 SPC
10PCS 11-20-23 DR#74276-77 SPC
19PCS 11-5-23 DR#74251 SPC
11PCS 10-21-23 DR#73933 SPC
4PCS 10-19-23 DR#73929 SPC
2PCS 10-18-23 DR#73926 SPC
15PCS 10-13-23 DR#73918 SPC
12pcs 10-12-23 DR#73917 SPC
27PCS 10-10-23 DR#73913-14 SPC
4pcs 9-22-23 dr#72286 spc (snr)
3pcs 9-21-23 DR#72285 SPC
40PCS 9-18-23 DR#72278 SPC
34PCS 9-15-23 DR#72273 SPC
8PCS 9-14-23 DR#72269 SPC
4PCS 7-1-23 JO#26408 JARVIS
5-6-23 STF#2444 SPC
4-1-23 STF#2375 4PCS SPC
1PC 3-28-23 JO#23366 ROSE
6PCS 2-8-23 STF#2271 SPC
4PCS 2-4-23 JO#21450 ALY
69PCS 1-24-23 STF#2237 SPC S&amp;R
36PCS 1-19-23 STF#2222 SPC
2PCS 1-14-23 JO#20814 OFFCIE
4PCS 1-4-23 JO#20536 OFFICE
10PCS 12-03-22 ST002147 SPC
8PCS 12-13-22 ST002173 LIPA B
18PCS 12-10-22 ST002133 SPC
8PCS 12-2-22 STF#2116 ARNOLD
12PCS 12-01-22 ZJZ382 EMMAN
15PCS 12-01-22 ABL1321 ALWIN
24PCS 11-30-22 ST002105 LIPA B
22PCS 11-30-22 SI99260 IMUS
12PCS 11-30-22 SI EMMAN
11PCS 11-29-22 ST002100 SPC
10PCS 11-29-22 ST002101 SPC
16PCS 11-28-22 SI#99255 SNR SUCAT
16PCS 11-28-22 SI#99255 SNR NUVALI
4PCS 8-30-22 STF#1952 SPC
8PCS 7-25-22 STF#1890 SPC
4PCS 6-21-22 stf#1834 spc
4PC 04-30-2022 ST001760 SPC
6PCS 4-7-22 STF# 1714 SPC</t>
        </r>
      </text>
    </comment>
    <comment ref="G1725" authorId="0" shapeId="0" xr:uid="{8AF96E7A-64E1-1945-B577-DA3354FBC2D0}">
      <text>
        <r>
          <rPr>
            <sz val="10"/>
            <rFont val="SimSun"/>
            <charset val="134"/>
          </rPr>
          <t>2pcs 4-27-23 STF#8048 SPC
4PCS 3-27-23 STF#7907 SPC
2pcs 9-28-22 STF#7007 SPC</t>
        </r>
      </text>
    </comment>
    <comment ref="H1725" authorId="0" shapeId="0" xr:uid="{FD14418C-3EF4-5B49-8E6F-BC218D5C3197}">
      <text>
        <r>
          <rPr>
            <sz val="10"/>
            <rFont val="SimSun"/>
            <charset val="134"/>
          </rPr>
          <t>2PCS 4-30-23 JO#24972 JARVIS
4P[CS 4-12-23 JO#24258 ROSE
2PCS 9-28-22 JO#18397 SALES</t>
        </r>
      </text>
    </comment>
    <comment ref="G1726" authorId="0" shapeId="0" xr:uid="{91B578EE-85EC-5341-8EF3-9066451ECB64}">
      <text>
        <r>
          <rPr>
            <sz val="10"/>
            <rFont val="SimSun"/>
            <charset val="134"/>
          </rPr>
          <t>2PCS 02-15-23 22538 DYMANS
2PCS 01-19-23 SI48166 S3E</t>
        </r>
      </text>
    </comment>
    <comment ref="H1726" authorId="0" shapeId="0" xr:uid="{2E232700-0443-3042-8789-C6034E8560E6}">
      <text>
        <r>
          <rPr>
            <sz val="10"/>
            <rFont val="SimSun"/>
            <charset val="134"/>
          </rPr>
          <t>11/24/24
40048 1PCS SALES ALY
2PCS 2-18-23 JO#21814 ALY
1-20-23 JO#20975 ALY</t>
        </r>
      </text>
    </comment>
    <comment ref="G1727" authorId="0" shapeId="0" xr:uid="{738CE7AF-76EE-344D-86AB-1BEA2D245AF6}">
      <text>
        <r>
          <rPr>
            <sz val="10"/>
            <rFont val="SimSun"/>
            <charset val="134"/>
          </rPr>
          <t>12-02-24 4PCS SALES S3E SI#57887</t>
        </r>
      </text>
    </comment>
    <comment ref="H1727" authorId="0" shapeId="0" xr:uid="{E8321E70-A6A5-B340-B394-A0C467561C7A}">
      <text>
        <r>
          <rPr>
            <sz val="10"/>
            <rFont val="SimSun"/>
            <charset val="134"/>
          </rPr>
          <t xml:space="preserve">11-30-24
40253 4PCS SALES BEL
</t>
        </r>
      </text>
    </comment>
    <comment ref="G1728" authorId="0" shapeId="0" xr:uid="{F65E0208-7F63-3B42-9C6F-A080D4250E11}">
      <text>
        <r>
          <rPr>
            <sz val="10"/>
            <rFont val="SimSun"/>
            <charset val="134"/>
          </rPr>
          <t>4PC 04-02-2022 ST006149 SPC
4PC 03-05-2022 ST006013 SPC</t>
        </r>
      </text>
    </comment>
    <comment ref="H1728" authorId="0" shapeId="0" xr:uid="{D799A8DD-747B-2344-9749-243939EA8A61}">
      <text>
        <r>
          <rPr>
            <sz val="10"/>
            <rFont val="SimSun"/>
            <charset val="134"/>
          </rPr>
          <t xml:space="preserve">4PCS 9-29-22 STF#1995 SPC
4PC 03-06-2022 JO13911 SALES
</t>
        </r>
      </text>
    </comment>
    <comment ref="G1731" authorId="0" shapeId="0" xr:uid="{1B116AA5-F19D-F345-99AA-1253456780D2}">
      <text>
        <r>
          <rPr>
            <sz val="10"/>
            <rFont val="SimSun"/>
            <charset val="134"/>
          </rPr>
          <t>4PC 8-6-22 STF#6739 SPC</t>
        </r>
      </text>
    </comment>
    <comment ref="H1731" authorId="0" shapeId="0" xr:uid="{0D2D7254-29C2-6842-ADE3-236C685930E3}">
      <text>
        <r>
          <rPr>
            <sz val="10"/>
            <rFont val="SimSun"/>
            <charset val="134"/>
          </rPr>
          <t>4pcs 1-9-24 DR#73369 SPC</t>
        </r>
      </text>
    </comment>
    <comment ref="G1732" authorId="0" shapeId="0" xr:uid="{81D0317A-C167-5E43-8430-FC86D4A4404E}">
      <text>
        <r>
          <rPr>
            <sz val="10"/>
            <rFont val="SimSun"/>
            <charset val="134"/>
          </rPr>
          <t>IN 8PCS  08/28/24 DR#86450 DYMANS
IN 9PCS 08/16/24 DR#86462 DYMANS
IN 10PCS 08/10/24 DR#86462 DYMANS
IN 10PCS 08/03/24 DR#86462 DYMANS
IN 22PCS 8-2-24 DR#86462 DYMANS
IN 21PCS 07/30/24 DR#086462 DYMANS 
IN 41PCS 07/23/24 DR#86462 DYMANS
IN 18PCS 07/16/24 DR#86462 DYMANS
IN 10PCS 07/13/24 DR#86462 DYMANS
IN 25PCS 07/08/24 DR#86462 DYMANS
IN 12PCS 07/02/24 DR#86462 DYMANS
IN 10PCS 07/01/24 DR#86378 DYMANS
IN 9PCS 06/22/24 DR#86047 DYMANS
24pcs 6-22-24 DR#86012 DYMANS
IN 17PCS 06/13/24 DR#85790 DYMANS
IN 4PCS 05/31/24 DR#85432 DYMANS
IN 15PCS 05/31/24 DR#85434 DYMANS
IN 11PCS 5/21/2024 DR#85183 DYMANS
IN 7PCS 05/14/24 DR#85009 DYMANS
IN 20PCS 05/04/24 DR#84808 DYMANS
IN 8PCS 04/30/24 DR#84630 DYMNAS
IN 40PCS 04/19/24 DR#84320 DYMANS
IN 32PCS 04/18/24 DR#84282 DYMANS
IN 17PCS 03/27/24 DR#83792 DYMANS
IN 14PCS 03/19/24 DR#83549 DYMANS
IN 3/12/24 26PCS DR#83352 DYMANS 
30PCS 2-13-24 DR#82443 DYMANS
20pcs 2-2-24 DR#82443 DYMANS
50PCS 12-28-23 DR#80953 DYMANS
2PCS  11-20-23 DR#79527 DYMANS
2Pcs 11-4-23 DR#79527 DYMANS
5PCS 10-18-23 DR#79527 DYMANS
11PCS 10-10-23 DR#79527 DYMANS
36PCS 9-16-23 DR#79176 DYMANS
35PCS 09-13-23 DR#79088
DYMANS
4pcs 6-30-23 SPC
4pcs 6-15-23 SPC
4PCS 6-13-23 SPC
4PCS 5-26-23 STF#8167 SPC
4PCS 3-3-23 STF#7778 SPC
24PCS 02-15-23 021699 DYMANS
55 PCS 11-28-22 21025 DYMANS
45PCS 11-26-22 21025 DYMANS
4pcs 8-3-22 STF#6726 SPC
4PCS 7-7-22 STf#6594 SPC</t>
        </r>
      </text>
    </comment>
    <comment ref="H1732" authorId="0" shapeId="0" xr:uid="{9C40DFB2-6775-8049-960C-D93699457EB2}">
      <text>
        <r>
          <rPr>
            <sz val="10"/>
            <rFont val="SimSun"/>
            <charset val="134"/>
          </rPr>
          <t xml:space="preserve">
OUT 8PCS 08/29/24 REF#75685 STC FOR SNR KUYA EMMAN
OUT 4PCS 08/23/24 REF#75680 STC RANGER FOR SNR
OUT 4PCS 08/18/24 REF# MASTER FOR SNR
OUT 4PCS 08/13/24 REF#75675 KUYA HACKET FOR SNR
OUT 8PCS 08/11/24 REF#75674  STC FOR SNR MASTER
OUT 6PCS 08/06/24 REF#75670 STC MADAM JEN
OUT 18PCS 08/02/24 REF#75666 STC KUYA HACKET FOR SNR
4PCS 8-1-24 DR#75361 SPC
OUT 9PCS 07/30/24 REF#75664 STC KUYA HACKET
OUT 12PCS 07/30/24 REF#75665 STC KUYA EMMAN
OUT 4PCS 07/25/24 REF#75663 STC KUYA HACKET
OUT 12PCS 07/23/24 REF#75661 STC KUYA HACKET FOR SNR
OUT 13PCS 07/23/24 REF#75660 STC MASTER FOR SNR
OUT 3PCS 07/18/24 REF#75657 STC KUYA HACKET
OUT 15PCS 07/17/24 REF#75655 STC FOR SNR MASTER
OUT 4PCS 07/15/24 REF#75650 STC FOR SNR KYA EMAN
OUT 10PCS 07/13/24 REF#75647 STC MASTER FOR SNR
OUT 16PCS 07/09/24 REF#75643 STC FOR SNR FOR PICK UP
OUT 9PCS 07/08/24 REF#75646 KUYA DANCRIS FOR SNR
OUT 4PCS 07/06/24 REF#75639 STC FOR SNR KUYA RON
OUT 4PCS 07/02/24 REF#75637 STC FOR SNR KUYA HACKET
OUT 10PCS 07/01/24 REF#75636 STC FOR SNR KUYA EMMAN
OUT 6PCS 06/24/24 REF#75632 FOR SNR KUYA HACKET
OUT 4PCS 06/24/24 REF#75645 MEET UP KUYA LUCKY
OUT 9PCS 06/22/24 REF#75629 STC FOR SNR KUYA EMMAN
OUT 14PCS 06/22/24 REF#75628 STC FOR SNR KUYA ADWIN
OUT 4PCS 06/22/24 REF#75626 STC KUYA EMAN
OUT 5PCS 06/17/24 DR#75110 SPC MASTER
OUT 12PCS 06/14/24 REF#75624 STC KUYA ALGIN
OUT 4PCS 06/03/24  DR#75099 SPC KUYA EMMAN
OUT 11PCS 06/01/24 REF#75619 STC KUYA EMMAN (FOR SNR)
OUT 4PCS 05/31/24 REF#75621 STC KUYA DANCRIS (FOR SNR)
OUT 11PCS 05/21/24 ref#75612 STC KUYA EMAN
OUT 5PCS 05/15/24 REF#75608 STC KUYA PING
OUT 2PCS 05/15/24 REF#75607 STC MASTER
OUT 24PCS 05/06/24 REF#74762 STC MASTER
OUT 4PCS 05/01/24 REF#74760 STC MASTER
OUT 16PCS 04/21/24 STC MASTER
OUT 33PCS 04/20/24 STC KUYA EMAN
OUT 2PCS 04/19/24 DR#74780 SPC KUYA HACKET
OUT 16PCS 4/18/24 DR#74779 SPC KUYA EMAN
OUT 8PCS 03/28/24 DR#74742 MASTER
OUT 9PCS 03/27/24 DR#74741 SPC PICK UP KUYA HACKET
OUT 4PCS 03/23/24 DR#74736 SPC PICK UP KUYA EMMAN
OUT 10PCS 03/19/24 DR#74726 PICK UP EMMAN
OUT 4PCS 03/14/24 DR#74717 SPC KUYA HACKET
OUT 03/13/24 9PCS DR#74714  KUYA HACKET
OUT 03/13/24 4PCS DR#74713 PICK UP MASTER
OUT 03/12/13 16PCS DR#74711 KUYA HACKET
9PCS 2-19-24 DR#  SPC PICK UP EMMAN
OUT 02-18-2024
16PCS SPC MASTER PICK UP
6PCS 2-16-24 DR#74676 SPC
3PCS 2-10-24 DR#74669 SPC
OUT 2-8-24 DR#74664-65 9PCS  SPC
OUT 2-3-24 DR#74658-59 7PCS SPC
1pc 1-24-24 STA CRUZ S&amp;R MASTER PICK UP
16PCS 1-20-24 DR#73390-91 SPC
12PCS 1-8-24 DR#73367 SPC
8pcs 1-4-24 DR#23351-52 SPC
4PCS 1-3-24 DR#74000 LIPA A
13PCS 12-30-23 DR#73992 SPC
2PCS 11-30-23 DR#74297 SPC
2PCS 11-5-23 DR#74251 SPC
1PC  10-19-23 DR#73927 SPC
4PCS 10-18-23 DR#73926 SPC
11PCS 10-10-23 DR#73913-14 SPC
36PCS 9-18-23 DR#72277 SPC
8PCS 9-15-23 DR#72273 SPC
19PCS 9-14-23 DR#72270 SPC
8PCS 9-14-23 DR#72269 SPC
1PC 7-11-23 STF#2551 SPC
2PCS 7-1-23 JO#26327 MARLO
4PCS 6-13-23 JO#25980 ROSE
OUT 6-1-23 STF#2486 4PCS SALES
4PCS 3-28-23 JO#23430 MARIBEL
16PCS 2-16-23 STF#2288 S&amp;R
8PCS 2-16-23 STF2287 SPC S&amp;R
4PCS 12-12-22 ST002134 SPC
2PCS 12-12-22 ST002136 SPC
4PCS 12-7-22 STF#2122 SPC
8PCS 12-6-22 STF#2119 SPC
4PCS 12-3-22 STF#2113 SITE A
6PCS 12-01-22 ZJZ382 EMMAN
12PCS 12-01-22 ABL1321 ALWIN
4PCS 12-7-22 STF#2122 SPC
20PCS 11-30-22 ST002105 LIPA B
12PCS 11-30-22 SI99260 IMUS
4PCS 11-29-22 ST002100 SPC
14PCS 11-29-22 ST002101 SPC
10PCS 11-28-22 SI#99254 SNR SUCAT
4PCS 8-16-22 JO#17401 ALY
4PCS 7-25-22 STF#1890 SPC</t>
        </r>
      </text>
    </comment>
    <comment ref="L1732" authorId="0" shapeId="0" xr:uid="{0433B0A3-7821-3D42-99BE-8143C1C75819}">
      <text>
        <r>
          <rPr>
            <sz val="10"/>
            <rFont val="SimSun"/>
            <charset val="134"/>
          </rPr>
          <t>24PCS 02-15-23 NEW DEL MDD</t>
        </r>
      </text>
    </comment>
    <comment ref="G1733" authorId="0" shapeId="0" xr:uid="{89581BFE-6B3D-794C-831A-3E2511385FB2}">
      <text>
        <r>
          <rPr>
            <sz val="10"/>
            <rFont val="SimSun"/>
            <charset val="134"/>
          </rPr>
          <t>IN 2PCS 10.2.25 DR#79631 SPC HACKET
IN 4PCS 2.14.25 DR#77027 SPC
20PCS 12-23-23 DR#81673 DYMANS
4pcs 7-28-23 DR#74046 SPC
4PCS 3-27-23 STF#7907 SPC
1PC 12-20-22 STF#7415 SPC
4PC 8-6-22 STF#6739 SPC</t>
        </r>
      </text>
    </comment>
    <comment ref="H1733" authorId="0" shapeId="0" xr:uid="{A91B2475-26C2-AC43-9698-E99AA800DA6E}">
      <text>
        <r>
          <rPr>
            <sz val="10"/>
            <rFont val="SimSun"/>
            <charset val="134"/>
          </rPr>
          <t>10-3-25
2 PCS 51090 JARVIS
OUT 4PCS 4.8.25 DR#77568 SPC
EMMAN
OUT 4PCS 08/22/24 DR#75381 SPC KUYA EMMAN (OLD DOT)
4PCS 2-1324 DR#74672 LIPA A
12pc 12-26-23 DR#73987 SPC
4PCS 7-29-23 JO#27040 ROSE
4pcs 5-27-23 STFG#2476 LIPA A
1PC 12-26-22 JO20376 COMPANY USE
4PCS 8-21-22 JO#17515 ALY</t>
        </r>
      </text>
    </comment>
    <comment ref="G1734" authorId="0" shapeId="0" xr:uid="{22B744A1-4F26-CC4E-A3E3-61F19A45BF32}">
      <text>
        <r>
          <rPr>
            <sz val="10"/>
            <rFont val="SimSun"/>
            <charset val="134"/>
          </rPr>
          <t>IN 2PCS 10.2.25 DR#79631 SPC HACKET
4PC 05-14-2022 ST006341 SPC</t>
        </r>
      </text>
    </comment>
    <comment ref="H1734" authorId="0" shapeId="0" xr:uid="{60CD9354-A0D7-6845-B2E6-9E7654D658F6}">
      <text>
        <r>
          <rPr>
            <sz val="10"/>
            <rFont val="SimSun"/>
            <charset val="134"/>
          </rPr>
          <t>OUT 2PCS 10.14.25 DR#79757 SPC RONNIE
4pcs 2-4-23 stf#2264 spc</t>
        </r>
      </text>
    </comment>
    <comment ref="G1737" authorId="0" shapeId="0" xr:uid="{2C5B8991-89ED-C54A-9F08-C7D8E8273EC4}">
      <text>
        <r>
          <rPr>
            <sz val="10"/>
            <rFont val="SimSun"/>
            <charset val="134"/>
          </rPr>
          <t>4PCS 7-21-23 S=DR#74029 SPC</t>
        </r>
      </text>
    </comment>
    <comment ref="H1737" authorId="0" shapeId="0" xr:uid="{8385E20D-B2F2-7740-A84E-BD93510A335F}">
      <text>
        <r>
          <rPr>
            <sz val="10"/>
            <rFont val="SimSun"/>
            <charset val="134"/>
          </rPr>
          <t>4PCS 7-28-23 JO#27037 ROSE</t>
        </r>
      </text>
    </comment>
    <comment ref="G1738" authorId="0" shapeId="0" xr:uid="{642A5A67-6DBD-284D-8E22-B21555E566FE}">
      <text>
        <r>
          <rPr>
            <sz val="10"/>
            <rFont val="SimSun"/>
            <charset val="134"/>
          </rPr>
          <t>IN 2PCS  08/28/24 DR#86462 DYMANS
IN 1PCS 08/16/24 DR#86462 DYMANS
IN 1PCS 08/10/24 DR#86462 DYMANS
IN 9PCS 07/30/24 DR#086462 DYMANS 
IN 1PC 07/25/24 DR#75247 SPC BRIAN 
IN 4PCS 07/23/24 DR#86462 DYMANS
IN 3PCS 07/16/24 DR#86462 DYMANS
IN 4PCS 05/31/24 DR#85432 DYMANS
IN 5PCS 05/31/24 DR#85434 DYMANS
IN 1PCS 05/21/24 DR#85184 DYMANS
IN 1PC 5/21/2024 DR#85183 DYMANS
IN 4PCS 05/14/24 DR#85009 DYMANS
IN 10PCS 05/14/24 DR#85010 DYMANS
IN 6PCS 05/04/24 DR#84808 DYMANS
IN 2PCS 04/30/24 DR#84630 DYMNAS
IN 5PCS 04/19/24 DR#84321 DYMANS
IN 11PCS 4/11/24 DR#84081 DYMANS
IN 12PCS 03/27/24 DR#83792 DYMANS
IN 3PCS 03/19/24 DR#83549 DYMANS
IN 3/12/24 13PCS DR#83352 DYMANS 
42PCS 12-23-23 DR#81673 DYMANS
2pcs 12-21-23 dr#81558 DYMANS
6pcs 12-21-23 dr#81579 DYMANS
30PCS 11-29-23 DR#80877 DYMANS
14PCS 11-23-23 DR#80738 DYMANS
20PCS  11-20-23 DR#802645 DYMANS
4pcs 11-4-23 DR#80318 DYMANS
1PC  9-16-23 DR#79176 DYMANS
30PCS 09-13-23 DR#79088
DYMANS
4PCS 7-19-23 DR#74016 SPC
4PCS 6-10-23 DR#73162 SPC
4PCS 4-4-23 STF#2377 LIPA A
2PCS 3-31-23 STFG#2371 SPC
2PCS 3-27-23 STF#7907 SPC
6PCS 02-15-23 21158 DYMANS
20PCS 01-18-23 YTSP021158 DYMANS
8PCS 12-10-22 DR71938 DYMANS
50PCS 11-28-22 21026 DYMANS
2PCS 8-22-22 STF#6812 SPC
4PCS 7-7-22 STf#6594 SPC
4PC 03-15-2022 ST006066 SPC
2PCS 2-4-22 STF#5864 SPC</t>
        </r>
      </text>
    </comment>
    <comment ref="H1738" authorId="0" shapeId="0" xr:uid="{D35CF88D-83E7-5940-A42F-453E663FBC60}">
      <text>
        <r>
          <rPr>
            <sz val="10"/>
            <rFont val="SimSun"/>
            <charset val="134"/>
          </rPr>
          <t>OUT 2PCS 08/29/24 REF#75685 STC FOR SNR KUYA EMMAN
OUT 1PCS 08/18/24 REF# MASTER FOR SNR
OUT 1PCS 08/11/24 REF#75674  STC FOR SNR MASTER
OUT 1PCS 07/30/24 REF#75664 STC KUYA HACKET
OUT 8PCS 07/30/24 REF#75665 STC KUYA EMMAN
07/25/24
36252 1PC SALES BEL
OUT 4PCS 07/23/24 REF#75660 STC MASTER FOR SNR
OUT 3PCS 07/18/24 REF#75657 STC KUYA HACKET
OUT 4PCS 06/03/24  DR#75099 SPC  KUYA EMMAN
OUT 5PCS 06/01/24 REF# STC KUYA EMMAN (FOR SNR)
OUT 1PCS 05/30/24 DR#75089 SPC KUYA HACKET
OUT 1PCS 05/21/24 REF#75612 STC KUYA EMAN
OUT 1PCS 05/20/24 REF#75613 STC KUYA EMMAN
OUT 9PCS 5/17/2024 REF#75602 STC KUYA JERRY
OUT 4PCS 05/15/24 REF#75606 STC KUYA EMAN
OUT 4PCS 05/09/24 REF#74768 KUYA HACKET
OUT 2PCS 05/06/24 REF#74762 STC MASTER
OUT 2PCS 05/01/24 REF#74760 STC MASTER
OUT 9PCS 04/20/24 REF#74688 STC KUYA EMAN
OUT 4PCS 4/18/24 DR#74779 SPC KUYA EMAN
OUT 7PCS 04/11/24 DR#74766 SPC KUYA HACKET
OUT 8PCS 03/27/24 DR#74741 SPC PICK UP KUYA HACKET
OUT 3PCS 03/19/24 DR#74726 PICK UP EMMAN
OUT 03/12/13 13PCS DR#74711 KUYA HACKET
OUT 2-12-24 DR#74671 4PCS SPC
OUT 2-8-24 DR#74664-65 6PCS  SPC
OUT 2-3-24 DR#74658-59 6PCS SPC
5PCS 2-1-24 STA CRUZ PICK UP BY KUYA EMMAN&amp;MASTER
7PCS 1-20-24 DR#73390-91 SPC
OUT 1-17-24 DR#73388 4PCS SPC
4PCS 1-4-23 DR#73356 LIPA A
4pcs 1-4-24 DR#23351-52 SPC
12pc 12-26-23 DR#73987 SPC
6pcs 12-22-23 DR#73984 SPC
2PCS 12-21-23 DR#73983 SPC
8PCS 12-2-23 DR#73951 SPC
8PCS 11-30-23 DR#74295-96 SPC
14PCS 11-23-23 DR#74285 SPC
20PCS 11-20-23 DR#74276-77 SPC
4PCS 11-5-23 DR#74251 SPC
1pc 9-19-23 dr#72282 spc
20PCS 9-14-23 DR#72270 SPC
4PCS 8-9-23 DR#72209 SPC
4PCS 6-30-23 JO#26358 JEN
4PCS 4-22-23 STF#2414 SPC
4PCS 3-31-23 JO#23795 BE;L
4PCS 3-28-23 JO#23433 JARVIS
4PCS 3-16-23 JO#22662 BEL
3PCS 2-8-23 STF#2271 SPC
4PCS 1-24-23 STF#2239 SPC
8PCS 1-22-23 ST002230 SPC (SNR)
5PCS 1-21-23 STf#2229 SPC
4PCS 12-13-22 ST002143 SPC
4PCS 12-12-22 ST002134 SPC
2PCS 12-12-22 ST002136 SPC
4PCS 12-10-22 ST002133 SPC
4PCS 12-01-22 ABL1321 ALWIN
8PCS 11-30-22 ST002105 LIPA B
12PCS 11-30-22 SI99260 IMUS
8PCS 11-29-22 ST002100 SPC
12PCS 11-29-22 ST002101 SPC
6PCS 11-28-22 SI# 99255 SNR NUVALI
4PCS 9-7-22 JO#17921 ALY 
2PCS 8-18-22 STF#1934 SITE A
4PCS 5-21-22 STF#1788 SPC
2PC 02-24-2022 ST001646 SPC
2PCS 2-3-22 jo#13105 MARLO
2pcs 1-12-22 stf#1586 A
4PC 12-01-2021 ST001517 SPC</t>
        </r>
      </text>
    </comment>
    <comment ref="L1738" authorId="0" shapeId="0" xr:uid="{CA698EA3-A7E4-E34F-ADA0-746A3DDD78E0}">
      <text>
        <r>
          <rPr>
            <sz val="10"/>
            <rFont val="SimSun"/>
            <charset val="134"/>
          </rPr>
          <t>6PCS 02-15-23 NEW DEL MDD</t>
        </r>
      </text>
    </comment>
    <comment ref="G1739" authorId="0" shapeId="0" xr:uid="{92E0849C-2D5D-804A-9426-3E19642C97E7}">
      <text>
        <r>
          <rPr>
            <sz val="10"/>
            <rFont val="SimSun"/>
            <charset val="134"/>
          </rPr>
          <t>IN 2PCS 05/09/24 DR#75031 SPC MASTER
4PCS 9-7-23 DR#74188 SPC
4PCS 7-19-23 DR#74018 SPC
4PCS 3-27-23 STF#7907 SPC</t>
        </r>
      </text>
    </comment>
    <comment ref="H1739" authorId="0" shapeId="0" xr:uid="{2E6050F9-BFE4-334B-B0D9-FBEBA364BBE4}">
      <text>
        <r>
          <rPr>
            <sz val="10"/>
            <rFont val="SimSun"/>
            <charset val="134"/>
          </rPr>
          <t>2PCS 5/10/2024 34194 JARVIS
4pcs 1-9-24 DR#73369 SPC
4pcs 8-12-23 dr#72215 spc
1pc 5-20-23 stf#2467 liap a
2PCS 4-1-23 JO#23802 JARVIS</t>
        </r>
      </text>
    </comment>
    <comment ref="H1740" authorId="0" shapeId="0" xr:uid="{2AE37425-951F-1E43-A0F5-0D45F0D12FA8}">
      <text>
        <r>
          <rPr>
            <sz val="10"/>
            <rFont val="SimSun"/>
            <charset val="134"/>
          </rPr>
          <t>2PCS 2-5-22 STF#1619 SPC</t>
        </r>
      </text>
    </comment>
    <comment ref="G1741" authorId="0" shapeId="0" xr:uid="{62C2A798-92BB-0D43-B203-41C94192A8CD}">
      <text>
        <r>
          <rPr>
            <sz val="10"/>
            <rFont val="SimSun"/>
            <charset val="134"/>
          </rPr>
          <t>IN 4PCS 02.23.26 DR80744 SPC ROI</t>
        </r>
      </text>
    </comment>
    <comment ref="G1742" authorId="0" shapeId="0" xr:uid="{527AFD70-6449-BE4E-8CDE-4417B1DD5D3C}">
      <text>
        <r>
          <rPr>
            <sz val="10"/>
            <rFont val="SimSun"/>
            <charset val="134"/>
          </rPr>
          <t xml:space="preserve">IN 4PCS 02.26.26 DR80774 SPC RONNIE
</t>
        </r>
      </text>
    </comment>
    <comment ref="G1743" authorId="0" shapeId="0" xr:uid="{2BE8D9E4-1341-E14B-9203-0336851656E9}">
      <text>
        <r>
          <rPr>
            <sz val="10"/>
            <rFont val="SimSun"/>
            <charset val="134"/>
          </rPr>
          <t>IN 4PCS 02.23.26 DR80744 SPC ROI</t>
        </r>
      </text>
    </comment>
    <comment ref="G1744" authorId="0" shapeId="0" xr:uid="{A5AF35EC-BE11-1E43-AC39-7C9FC7127A26}">
      <text>
        <r>
          <rPr>
            <sz val="10"/>
            <rFont val="SimSun"/>
            <charset val="134"/>
          </rPr>
          <t>IN 4PCS 02.23.26 DR80744 SPC ROI</t>
        </r>
      </text>
    </comment>
    <comment ref="G1745" authorId="0" shapeId="0" xr:uid="{2105CF20-CC26-0348-AA29-7CE3A5BEE62C}">
      <text>
        <r>
          <rPr>
            <sz val="10"/>
            <rFont val="SimSun"/>
            <charset val="134"/>
          </rPr>
          <t>IN 4PCS 02.26.26 DR80775 SPC RONNIE</t>
        </r>
      </text>
    </comment>
    <comment ref="G1746" authorId="0" shapeId="0" xr:uid="{5A06557E-6BE0-6243-B075-1E3CA921376C}">
      <text>
        <r>
          <rPr>
            <sz val="10"/>
            <rFont val="SimSun"/>
            <charset val="134"/>
          </rPr>
          <t>IN 4PCS 02.26.26 DR80775 SPC RONNIE</t>
        </r>
      </text>
    </comment>
    <comment ref="H1746" authorId="0" shapeId="0" xr:uid="{A0C34750-E6EB-5142-9925-ED0B3FE07D4E}">
      <text>
        <r>
          <rPr>
            <sz val="10"/>
            <rFont val="SimSun"/>
            <charset val="134"/>
          </rPr>
          <t>03.02.26
55662 4PCS JARVIS</t>
        </r>
      </text>
    </comment>
    <comment ref="G1747" authorId="0" shapeId="0" xr:uid="{7FA0D364-F82D-0A45-9C25-9C2038E52E9B}">
      <text>
        <r>
          <rPr>
            <sz val="10"/>
            <rFont val="SimSun"/>
            <charset val="134"/>
          </rPr>
          <t>IN 4PCS 01.20.26 DR79983 SPC RONNIE</t>
        </r>
      </text>
    </comment>
    <comment ref="G1748" authorId="0" shapeId="0" xr:uid="{7075413F-4F68-7A48-8530-8F20FF4BE6AF}">
      <text>
        <r>
          <rPr>
            <sz val="10"/>
            <rFont val="SimSun"/>
            <charset val="134"/>
          </rPr>
          <t>IN 4PCS 01.20.26 DR79983 SPC RONNIE</t>
        </r>
      </text>
    </comment>
    <comment ref="G1749" authorId="0" shapeId="0" xr:uid="{212293B1-F3DA-F848-8224-E984A982F087}">
      <text>
        <r>
          <rPr>
            <sz val="10"/>
            <rFont val="SimSun"/>
            <charset val="134"/>
          </rPr>
          <t>IN 12PCS 10.31.25 DR#79853-54  HACKET</t>
        </r>
      </text>
    </comment>
    <comment ref="G1750" authorId="0" shapeId="0" xr:uid="{0D1ED9A2-8491-6943-8D93-42446C7F6E68}">
      <text>
        <r>
          <rPr>
            <sz val="10"/>
            <rFont val="SimSun"/>
            <charset val="134"/>
          </rPr>
          <t>IN 4PCS 01.20.26 DR79983 SPC RONNIE</t>
        </r>
      </text>
    </comment>
    <comment ref="G1751" authorId="0" shapeId="0" xr:uid="{C3D4134A-B0FA-4344-9910-08D111D9D565}">
      <text>
        <r>
          <rPr>
            <sz val="10"/>
            <rFont val="SimSun"/>
            <charset val="134"/>
          </rPr>
          <t>IN 4PCS 01.20.26 DR79983 SPC RONNIE</t>
        </r>
      </text>
    </comment>
    <comment ref="G1752" authorId="0" shapeId="0" xr:uid="{D9F4D1ED-7466-4B4F-8CA8-49BAC4D79B61}">
      <text>
        <r>
          <rPr>
            <sz val="10"/>
            <rFont val="SimSun"/>
            <charset val="134"/>
          </rPr>
          <t>IN 4PCS 12.4.25 DR#79723 SPC BRY</t>
        </r>
      </text>
    </comment>
    <comment ref="G1753" authorId="0" shapeId="0" xr:uid="{DD033E25-55B4-1844-97AE-C52D72A7D873}">
      <text>
        <r>
          <rPr>
            <sz val="10"/>
            <rFont val="SimSun"/>
            <charset val="134"/>
          </rPr>
          <t>IN 4PCS 02.26.26 DR80775 SPC RONNIE</t>
        </r>
      </text>
    </comment>
    <comment ref="G1754" authorId="0" shapeId="0" xr:uid="{F3EEFA5C-6E31-F34E-A467-963C3FAA79E7}">
      <text>
        <r>
          <rPr>
            <sz val="10"/>
            <rFont val="SimSun"/>
            <charset val="134"/>
          </rPr>
          <t>IN 4PCS 02.26.26 DR80775 SPC RONNIE</t>
        </r>
      </text>
    </comment>
    <comment ref="G1755" authorId="0" shapeId="0" xr:uid="{23D9CD3C-A6F1-7743-BD62-07720F031095}">
      <text>
        <r>
          <rPr>
            <sz val="10"/>
            <rFont val="SimSun"/>
            <charset val="134"/>
          </rPr>
          <t>IN 4PCS 02.26.26 DR80775 SPC RONNIE</t>
        </r>
      </text>
    </comment>
    <comment ref="G1756" authorId="0" shapeId="0" xr:uid="{42F8CE92-0552-124A-B0DF-FCFEF1D9E472}">
      <text>
        <r>
          <rPr>
            <sz val="10"/>
            <rFont val="SimSun"/>
            <charset val="134"/>
          </rPr>
          <t>IN 4PCS 12.3.25 DR#79717 SPPC HACKET</t>
        </r>
      </text>
    </comment>
    <comment ref="G1757" authorId="0" shapeId="0" xr:uid="{9B598A1C-0440-674C-A392-2EC73CFD996A}">
      <text>
        <r>
          <rPr>
            <sz val="10"/>
            <rFont val="SimSun"/>
            <charset val="134"/>
          </rPr>
          <t>IN 4PCS 12.3.25 DR#79717 SPPC HACKET</t>
        </r>
      </text>
    </comment>
    <comment ref="G1758" authorId="0" shapeId="0" xr:uid="{8FCF425C-C493-894B-AF4C-7115F2FC34D4}">
      <text>
        <r>
          <rPr>
            <sz val="10"/>
            <rFont val="SimSun"/>
            <charset val="134"/>
          </rPr>
          <t>IN 4PCS 02.26.26 DR80775 SPC RONNIE</t>
        </r>
      </text>
    </comment>
    <comment ref="G1759" authorId="0" shapeId="0" xr:uid="{4CF8B7B1-CF8C-5E46-83D1-B67A6330E4AF}">
      <text>
        <r>
          <rPr>
            <sz val="10"/>
            <rFont val="SimSun"/>
            <charset val="134"/>
          </rPr>
          <t>IN 4PCS 02.26.26 DR80775 SPC RONNIE</t>
        </r>
      </text>
    </comment>
    <comment ref="G1760" authorId="0" shapeId="0" xr:uid="{7719BDB5-0875-FC4F-804D-69230B24E4D8}">
      <text>
        <r>
          <rPr>
            <sz val="10"/>
            <rFont val="SimSun"/>
            <charset val="134"/>
          </rPr>
          <t>IN 4PCS 02.26.26 DR80775 SPC RONNIE</t>
        </r>
      </text>
    </comment>
    <comment ref="G1761" authorId="0" shapeId="0" xr:uid="{D0A37C7C-441D-4A4F-8CBC-753207769CF6}">
      <text>
        <r>
          <rPr>
            <sz val="10"/>
            <rFont val="SimSun"/>
            <charset val="134"/>
          </rPr>
          <t>IN 4PCS 02.26.26 DR80775 SPC RONNIE</t>
        </r>
      </text>
    </comment>
    <comment ref="G1763" authorId="0" shapeId="0" xr:uid="{17BA8217-DE78-AA48-8BAD-53F0736BCC53}">
      <text>
        <r>
          <rPr>
            <sz val="10"/>
            <rFont val="SimSun"/>
            <charset val="134"/>
          </rPr>
          <t>4PC 12-18-2021 ST001670 LIPA A
4PCS -11-4-21 STF#5477 SPC</t>
        </r>
      </text>
    </comment>
    <comment ref="H1763" authorId="0" shapeId="0" xr:uid="{5093F6EB-1BDA-1147-B0AB-151B41A06564}">
      <text>
        <r>
          <rPr>
            <sz val="10"/>
            <rFont val="SimSun"/>
            <charset val="134"/>
          </rPr>
          <t>4PC 12-18-2021 JO#12439 MARLO
4PCS  11-29-21 STF#1515  SPC
4PCS - 10/19/2021 SPC</t>
        </r>
      </text>
    </comment>
    <comment ref="G1764" authorId="0" shapeId="0" xr:uid="{55E6A00F-C814-834D-83BE-490FBB3AAD33}">
      <text>
        <r>
          <rPr>
            <sz val="10"/>
            <rFont val="SimSun"/>
            <charset val="134"/>
          </rPr>
          <t>IN 11-4-21 STF#5477 4PC SPC</t>
        </r>
      </text>
    </comment>
    <comment ref="H1764" authorId="0" shapeId="0" xr:uid="{5B6530B9-32D9-1E43-AAA8-4B8D37E6CDA6}">
      <text>
        <r>
          <rPr>
            <sz val="10"/>
            <rFont val="SimSun"/>
            <charset val="134"/>
          </rPr>
          <t>2PCS 2-5-22 STF#1619 SPC
2PCS 1-13-22 JO#12905  SALES
2PC 01-13-2022 JO#12905 MARLO</t>
        </r>
      </text>
    </comment>
    <comment ref="G1765" authorId="0" shapeId="0" xr:uid="{19AC1A8A-3B00-2648-8D5F-BE1467BF66C5}">
      <text>
        <r>
          <rPr>
            <sz val="10"/>
            <rFont val="SimSun"/>
            <charset val="134"/>
          </rPr>
          <t>6PCS 1-27-22 STF#5823 SPC</t>
        </r>
      </text>
    </comment>
    <comment ref="H1765" authorId="0" shapeId="0" xr:uid="{5876D5F1-2F60-0D4F-994C-D4E4836AC577}">
      <text>
        <r>
          <rPr>
            <sz val="10"/>
            <rFont val="SimSun"/>
            <charset val="134"/>
          </rPr>
          <t>4PCS 2-28-22 JO#13776  MARLO
2PC 12-06-2021 ST001526 SPC</t>
        </r>
      </text>
    </comment>
    <comment ref="H1766" authorId="0" shapeId="0" xr:uid="{C76302C0-2894-B044-A9EE-169E4C753657}">
      <text>
        <r>
          <rPr>
            <sz val="10"/>
            <rFont val="SimSun"/>
            <charset val="134"/>
          </rPr>
          <t>4PCS - 11/06/2021 JO#11740 MARIBEL</t>
        </r>
      </text>
    </comment>
    <comment ref="G1767" authorId="0" shapeId="0" xr:uid="{B12D1BFD-E3FD-4C45-ACB9-849777856C70}">
      <text>
        <r>
          <rPr>
            <sz val="10"/>
            <rFont val="SimSun"/>
            <charset val="134"/>
          </rPr>
          <t>2PCS 6-21-22 stf#1989 site a
4PCS - 11-4-21 STF#5477 SPC</t>
        </r>
      </text>
    </comment>
    <comment ref="H1767" authorId="0" shapeId="0" xr:uid="{B49D8F0B-A23E-E44A-8B6C-FEC003EEA92D}">
      <text>
        <r>
          <rPr>
            <sz val="10"/>
            <rFont val="SimSun"/>
            <charset val="134"/>
          </rPr>
          <t>1PC  6-23-22 STF#1837 SPC
1PC 6-21-22 JO16157 1PC SALES</t>
        </r>
      </text>
    </comment>
    <comment ref="G1768" authorId="0" shapeId="0" xr:uid="{B3C37F36-2AC6-134B-9C48-079A518A3678}">
      <text>
        <r>
          <rPr>
            <sz val="10"/>
            <rFont val="SimSun"/>
            <charset val="134"/>
          </rPr>
          <t>3PCS 11-5-22 STF#7201 SPC
4PCS 5-11-22 STf#6319 SPC
4PCS 1-27-22 STF#5823 SPC
4PCS 11-16-21 STF#5527 SPC</t>
        </r>
      </text>
    </comment>
    <comment ref="H1768" authorId="0" shapeId="0" xr:uid="{037BAE31-297C-824A-A70C-13A6F06880BD}">
      <text>
        <r>
          <rPr>
            <sz val="10"/>
            <rFont val="SimSun"/>
            <charset val="134"/>
          </rPr>
          <t>1PC 12-19-22 STF#2162 SPC
2PCS 12-8-22 JO#200618 MARLO
1PC 12-1-22 JO#19768 MARLO
2pc 11-5-22 JO19209 JARVIS
1PC 11-02-2022 JO 19137 SALES
4PC 04-29-2022 JO15053 SALES
1PC 12-29-21 STF#1565 SPC
1PC 12-20-21 JO#12532 SALES
4PCS 12-2-21 STF#1519 SPC
2PCS  10/24/2021 JO#11457 MARLO</t>
        </r>
      </text>
    </comment>
    <comment ref="G1769" authorId="0" shapeId="0" xr:uid="{631ECD9A-1C2A-C046-9A88-32615F2137EA}">
      <text>
        <r>
          <rPr>
            <sz val="10"/>
            <rFont val="SimSun"/>
            <charset val="134"/>
          </rPr>
          <t>4PC 03-25-22 ST006110 SPC</t>
        </r>
      </text>
    </comment>
    <comment ref="H1769" authorId="0" shapeId="0" xr:uid="{91892627-97DF-724F-BAB9-EAA28C6832BE}">
      <text>
        <r>
          <rPr>
            <sz val="10"/>
            <rFont val="SimSun"/>
            <charset val="134"/>
          </rPr>
          <t>4PC 8-23-22 STF#1940 SPC
4PC 04-11-2022 JO14711 SALES
4PC 03-17-2022 JO14146 SALES
4PC 02-12-2022 JO13435 MARLO</t>
        </r>
      </text>
    </comment>
    <comment ref="G1770" authorId="0" shapeId="0" xr:uid="{51C1B1B6-FC2A-D64B-A56F-CF1BC95F8FDF}">
      <text>
        <r>
          <rPr>
            <sz val="10"/>
            <rFont val="SimSun"/>
            <charset val="134"/>
          </rPr>
          <t>1PC 03-28-2022 ST006118 SPC
IN 11-4-21 STF#5477 4PC SPC</t>
        </r>
      </text>
    </comment>
    <comment ref="H1770" authorId="0" shapeId="0" xr:uid="{D719DFF4-BF7D-624B-A91E-75111CFB89AC}">
      <text>
        <r>
          <rPr>
            <sz val="10"/>
            <rFont val="SimSun"/>
            <charset val="134"/>
          </rPr>
          <t>4PC 7-28-22 JO16984 MARIBEL
1PC 03-28-2022 JO14340 SALES
3PCS 3-17-22 STF#1682 SPC
1pc 3-17-22 STF#1681 SPC
4PCS 11/02/2021 JO#11651 JARVIS</t>
        </r>
      </text>
    </comment>
    <comment ref="G1775" authorId="0" shapeId="0" xr:uid="{096DDFCE-CDA0-4943-9C45-146FB765BE09}">
      <text>
        <r>
          <rPr>
            <sz val="10"/>
            <rFont val="SimSun"/>
            <charset val="134"/>
          </rPr>
          <t xml:space="preserve">IN 2PCS 12.3.25 DR#79717 SPPC HACKET
</t>
        </r>
      </text>
    </comment>
    <comment ref="H1775" authorId="0" shapeId="0" xr:uid="{99BFBEF4-ABB5-C744-822F-8920A4042B3A}">
      <text>
        <r>
          <rPr>
            <sz val="10"/>
            <rFont val="SimSun"/>
            <charset val="134"/>
          </rPr>
          <t xml:space="preserve">11-28-25
2 PCS 52705 MARIBEL
</t>
        </r>
      </text>
    </comment>
    <comment ref="G1776" authorId="0" shapeId="0" xr:uid="{C01FE2B5-938D-624A-BE70-AB0730AEFBEA}">
      <text>
        <r>
          <rPr>
            <sz val="10"/>
            <rFont val="SimSun"/>
            <charset val="134"/>
          </rPr>
          <t>IN 4PCS 10.17.25 DR#79671 SPC ROBIN/ALWIN</t>
        </r>
      </text>
    </comment>
    <comment ref="G1777" authorId="0" shapeId="0" xr:uid="{1641F133-400B-F645-AD36-7FCB7C184A6B}">
      <text>
        <r>
          <rPr>
            <sz val="10"/>
            <rFont val="SimSun"/>
            <charset val="134"/>
          </rPr>
          <t>IN 4PCS 10.17.25 DR#79671 SPC ROBIN/ALWIN</t>
        </r>
      </text>
    </comment>
    <comment ref="G1778" authorId="0" shapeId="0" xr:uid="{877B4FA0-E1D2-7A45-AC66-A5C58F9129A9}">
      <text>
        <r>
          <rPr>
            <sz val="10"/>
            <rFont val="SimSun"/>
            <charset val="134"/>
          </rPr>
          <t>IN 4PCS 12.3.25 DR#79717 SPPC HACKET
IN 4PCS 10.17.25 DR#79671 SPC ROBIN/ALWIN</t>
        </r>
      </text>
    </comment>
    <comment ref="H1778" authorId="0" shapeId="0" xr:uid="{5D071F5D-2383-C949-9D11-83FFE6A70B7F}">
      <text>
        <r>
          <rPr>
            <sz val="10"/>
            <rFont val="SimSun"/>
            <charset val="134"/>
          </rPr>
          <t>OUT 4PCS 11.18.25 DR#80021 SPC HACKET</t>
        </r>
      </text>
    </comment>
    <comment ref="G1779" authorId="0" shapeId="0" xr:uid="{827DE73E-39EA-7443-94FB-B64C710A11C5}">
      <text>
        <r>
          <rPr>
            <sz val="10"/>
            <rFont val="SimSun"/>
            <charset val="134"/>
          </rPr>
          <t>IN 1PCS 02.18.26 DR80762 SPC HACKET
IN 2PCS 10.22.25 DR#79682 SPC ROBIN
IN 4PCS 10.17.25 DR#79671 SPC ROBIN/ALWIN</t>
        </r>
      </text>
    </comment>
    <comment ref="H1779" authorId="0" shapeId="0" xr:uid="{2F2765C3-2484-9048-A7B4-FF0C776D9FA3}">
      <text>
        <r>
          <rPr>
            <sz val="10"/>
            <rFont val="SimSun"/>
            <charset val="134"/>
          </rPr>
          <t xml:space="preserve">OUT 2PCS 01.10.26 DR80095 STC LALAMOVE
OUT 1PC 10.29.25 DR#79790 SPC
10-21-25
2 PCS 51594 ALY
</t>
        </r>
      </text>
    </comment>
    <comment ref="G1780" authorId="0" shapeId="0" xr:uid="{15374EDD-257A-7E4B-B3C5-2E862352C3CF}">
      <text>
        <r>
          <rPr>
            <sz val="10"/>
            <rFont val="SimSun"/>
            <charset val="134"/>
          </rPr>
          <t>IN 4PCS 10.17.25 DR#79671 SPC ROBIN/ALWIN</t>
        </r>
      </text>
    </comment>
    <comment ref="G1781" authorId="0" shapeId="0" xr:uid="{843EF6DE-FF9C-9544-AAE2-93C70CF9AB7A}">
      <text>
        <r>
          <rPr>
            <sz val="10"/>
            <rFont val="SimSun"/>
            <charset val="134"/>
          </rPr>
          <t>IN 2PCS 02.14.26 DR165855 DRAKESTER (5,944)
IN 2SETS 12.1.25 DR#79711 SPC</t>
        </r>
      </text>
    </comment>
    <comment ref="H1781" authorId="0" shapeId="0" xr:uid="{19FAB22F-808F-FD43-8B5D-FE79F23A8DCF}">
      <text>
        <r>
          <rPr>
            <sz val="10"/>
            <rFont val="SimSun"/>
            <charset val="134"/>
          </rPr>
          <t>02.17.26
55216 2PCS BEL</t>
        </r>
      </text>
    </comment>
    <comment ref="G1783" authorId="0" shapeId="0" xr:uid="{BC992F44-06E3-8A49-93F3-32E310CC4CCE}">
      <text>
        <r>
          <rPr>
            <sz val="10"/>
            <rFont val="SimSun"/>
            <charset val="134"/>
          </rPr>
          <t>IN 3PCS 02.11.26 DR80739-40 SPC HACKKET
IN 4PCS 10.17.25 DR#79672 SPC ROBIN/ALWIN</t>
        </r>
      </text>
    </comment>
    <comment ref="H1783" authorId="0" shapeId="0" xr:uid="{C0EBF120-206E-5A4F-9D6B-D7650AE1C9FE}">
      <text>
        <r>
          <rPr>
            <sz val="10"/>
            <rFont val="SimSun"/>
            <charset val="134"/>
          </rPr>
          <t>02.07.26
54943 2PCS JARVIS
OUT 1PC 11.18.25 DR#80021 SPC HACKET</t>
        </r>
      </text>
    </comment>
    <comment ref="G1785" authorId="0" shapeId="0" xr:uid="{AAD0A407-B899-DF46-A35A-155BFCA14EC7}">
      <text>
        <r>
          <rPr>
            <sz val="10"/>
            <rFont val="SimSun"/>
            <charset val="134"/>
          </rPr>
          <t>IN 4PCS 02.06.26 DR163868 DRAKESTER</t>
        </r>
      </text>
    </comment>
    <comment ref="H1785" authorId="0" shapeId="0" xr:uid="{39EBDB35-1EAD-9448-925B-2E7726FA8BA1}">
      <text>
        <r>
          <rPr>
            <sz val="10"/>
            <rFont val="SimSun"/>
            <charset val="134"/>
          </rPr>
          <t>OUT 4PCS 02.10.26 DR80244 SPC ALWIN</t>
        </r>
      </text>
    </comment>
    <comment ref="G1788" authorId="0" shapeId="0" xr:uid="{DBE2F2A5-3EF6-5E43-8170-084CC618A901}">
      <text>
        <r>
          <rPr>
            <sz val="10"/>
            <rFont val="SimSun"/>
            <charset val="134"/>
          </rPr>
          <t>IN 4PCS 02.06.26 DR163941 DRAKESTER</t>
        </r>
      </text>
    </comment>
    <comment ref="H1788" authorId="0" shapeId="0" xr:uid="{59653F04-1CD3-784A-BF5E-0C6D59F90843}">
      <text>
        <r>
          <rPr>
            <sz val="10"/>
            <rFont val="SimSun"/>
            <charset val="134"/>
          </rPr>
          <t>OUT 4PCS 02.10.26 DR80244 SPC ALWIN</t>
        </r>
      </text>
    </comment>
    <comment ref="H1789" authorId="0" shapeId="0" xr:uid="{1090F431-DE0B-6841-AC8C-ACE07F7D32E1}">
      <text>
        <r>
          <rPr>
            <sz val="10"/>
            <rFont val="SimSun"/>
            <charset val="134"/>
          </rPr>
          <t>OUT 1PC 03/30/24 DR#74745-46 SPC KUYA HACKET 
OUT 4PCS 03/20/24 STC 
OUT 3 03/14/24 DR#74716 LIPA A</t>
        </r>
      </text>
    </comment>
    <comment ref="G1792" authorId="0" shapeId="0" xr:uid="{0DF461C3-E4F0-8D41-BEAC-2DB0A84E6031}">
      <text>
        <r>
          <rPr>
            <sz val="10"/>
            <rFont val="SimSun"/>
            <charset val="134"/>
          </rPr>
          <t>2PCS 10-22-22 STF#7140 SPC</t>
        </r>
      </text>
    </comment>
    <comment ref="H1792" authorId="0" shapeId="0" xr:uid="{18CF334F-E90E-1B4B-B351-005C99680771}">
      <text>
        <r>
          <rPr>
            <sz val="10"/>
            <rFont val="SimSun"/>
            <charset val="134"/>
          </rPr>
          <t>2PC 10-22-22 JO18954 JOJO</t>
        </r>
      </text>
    </comment>
    <comment ref="G1794" authorId="0" shapeId="0" xr:uid="{4D98D3EA-ED2A-ED4E-B79E-BD8C210A62C5}">
      <text>
        <r>
          <rPr>
            <sz val="10"/>
            <rFont val="SimSun"/>
            <charset val="134"/>
          </rPr>
          <t>IN 3PCS 02.11.26 DR80739-40 SPC HACKKET
IN 4PCS 10.31.25 DR#143700 DRAKESTER (2725)
IN 3PCS 9.22.25 DR#135338 DRAKESTER
IN 4PCS 7.5.25 DR#119880 DRAKESTER (7,450)
10PCS 5.21.25 DR#77744 SPC 
IN 4PCS 2.11.25 DR#093357 DRAKESTER
IN 2PCS 2.5.25 DR#76200 LIPA A
IN 4PCS 1-22-25 DR#76899 SPC KUYA EMMAN
----------------------------------------------
IN 4PCS 11/23/24 DR#75723 SPC
12PCS 7-6-23 SPC
2PCS 10-20-22 STF#7128 SPC
6PCS 10-7-22 STF#7059 SPC</t>
        </r>
      </text>
    </comment>
    <comment ref="H1794" authorId="0" shapeId="0" xr:uid="{98540891-A984-6745-A5B0-EA371495BEF0}">
      <text>
        <r>
          <rPr>
            <sz val="10"/>
            <rFont val="SimSun"/>
            <charset val="134"/>
          </rPr>
          <t>OUT 4PCS 02.15.26 DR80858 STC
12.18.25 
53317 1PC ROSE
11-20-25
2 SETS 52465 ALY
OUT 4PCS 10.27.25 DR#79783 STC
OUT 2PCS 8.16.25 STC
8-13-25
1 SET 49606 MARIBEL
OUT 4PCS 6.28.25 DR#78339 SPC ALWIN
OUT 6PCS 6.14.25 DR#78323 SPC
ADWIN
3.21.25 DR#77179 2pcs spc adwin
2.13.25 42894 2pcs bel
4 PC OUT 2/5/25 JO42495 MARIBEL
OUT 2.3.25 4PCS DR#76963 SPC
01-07-25
41489 2PCS SALES BEL
12-26-24
41068 2PCS SALES BEL
4PCS 9-7-23 STA CRUZ
8PCS 8-22-23 JO#27685 BEL
2PCS 10-20-22 JO#18610 JOJO
6PC 10-13-22 JO18606 JOJO</t>
        </r>
      </text>
    </comment>
    <comment ref="G1796" authorId="0" shapeId="0" xr:uid="{DC07D1EC-7D85-DA44-AE11-D6031798CC0B}">
      <text>
        <r>
          <rPr>
            <sz val="10"/>
            <rFont val="SimSun"/>
            <charset val="134"/>
          </rPr>
          <t>IN 8PCS 3.29.25 DR#101474 DRAKESTER
IN 4PCS 2.21.25 DR#095108 DRAKESTER</t>
        </r>
      </text>
    </comment>
    <comment ref="H1796" authorId="0" shapeId="0" xr:uid="{AE68E390-F464-D34E-9664-13EA762DD3DF}">
      <text>
        <r>
          <rPr>
            <sz val="10"/>
            <rFont val="SimSun"/>
            <charset val="134"/>
          </rPr>
          <t>OUT 4PCS 5.14.25 DR#77952 SPC HACKET
OUT 4PC 5.5.25 DR#77638 SPC EMMAN
out 4pcs 3.29.25 dr#77196 hacket stc</t>
        </r>
      </text>
    </comment>
    <comment ref="G1798" authorId="0" shapeId="0" xr:uid="{9FF95B6E-350D-134C-A33C-9E32E9E5892E}">
      <text>
        <r>
          <rPr>
            <sz val="10"/>
            <rFont val="SimSun"/>
            <charset val="134"/>
          </rPr>
          <t>4PCS 7-6-23 SPC</t>
        </r>
      </text>
    </comment>
    <comment ref="H1798" authorId="0" shapeId="0" xr:uid="{50F22AAC-3B66-F349-B041-FEE38D6FFE30}">
      <text>
        <r>
          <rPr>
            <sz val="10"/>
            <rFont val="SimSun"/>
            <charset val="134"/>
          </rPr>
          <t>2PCS 8-19-23 DR#72225 SPC
2pcs 8-5-23 DR#70637 SPC</t>
        </r>
      </text>
    </comment>
    <comment ref="G1808" authorId="0" shapeId="0" xr:uid="{8D7F49B4-B28D-E340-A2A4-AD6B3337FDCF}">
      <text>
        <r>
          <rPr>
            <sz val="10"/>
            <rFont val="SimSun"/>
            <charset val="134"/>
          </rPr>
          <t>1PC 10-4-22 STF#7043 SPC</t>
        </r>
      </text>
    </comment>
    <comment ref="H1808" authorId="0" shapeId="0" xr:uid="{C24219FB-FA22-2640-A042-B8979CD8D688}">
      <text>
        <r>
          <rPr>
            <sz val="10"/>
            <rFont val="SimSun"/>
            <charset val="134"/>
          </rPr>
          <t>1PC 1-24-23 JO#20780 JOJO</t>
        </r>
      </text>
    </comment>
    <comment ref="G1809" authorId="0" shapeId="0" xr:uid="{7C85158B-0D8B-7A45-ACE4-85AB82D7DB89}">
      <text>
        <r>
          <rPr>
            <sz val="10"/>
            <rFont val="SimSun"/>
            <charset val="134"/>
          </rPr>
          <t>3SETS 9-23-22 STF#6968 SPC
7SETS 9-17-22 STF#6937 SPC</t>
        </r>
      </text>
    </comment>
    <comment ref="H1809" authorId="0" shapeId="0" xr:uid="{182C96BD-0EE5-A047-9B5C-3A5D8D16E0C3}">
      <text>
        <r>
          <rPr>
            <sz val="10"/>
            <rFont val="SimSun"/>
            <charset val="134"/>
          </rPr>
          <t xml:space="preserve">3SETS 9-23-22 JO#18129 JOJO
7SET 9-17-22 JO18122 JOJO
</t>
        </r>
      </text>
    </comment>
    <comment ref="G1810" authorId="0" shapeId="0" xr:uid="{A7957218-183F-5D42-8CE9-4D8F6A2268A7}">
      <text>
        <r>
          <rPr>
            <sz val="10"/>
            <rFont val="SimSun"/>
            <charset val="134"/>
          </rPr>
          <t>1SET 9-23-22 STF#6968 SPC
7SETS 9-17-22 STF#6937 SPC</t>
        </r>
      </text>
    </comment>
    <comment ref="H1810" authorId="0" shapeId="0" xr:uid="{4CB42F83-EDC4-C841-AD11-19FFFBC12FD9}">
      <text>
        <r>
          <rPr>
            <sz val="10"/>
            <rFont val="SimSun"/>
            <charset val="134"/>
          </rPr>
          <t xml:space="preserve">2SETS 9-23-22 JO#18129 JOJO
6SET 9-17-22 JO18123 JOJO
</t>
        </r>
      </text>
    </comment>
    <comment ref="G1815" authorId="0" shapeId="0" xr:uid="{0FC5577C-2827-3C44-AC97-58FE7F6AAA97}">
      <text>
        <r>
          <rPr>
            <sz val="10"/>
            <rFont val="SimSun"/>
            <charset val="134"/>
          </rPr>
          <t>4PCS 9-17-22 STF#6937 SPC</t>
        </r>
      </text>
    </comment>
    <comment ref="H1815" authorId="0" shapeId="0" xr:uid="{D32D1E67-6AD8-884B-B227-E0CFD7B88FF1}">
      <text>
        <r>
          <rPr>
            <sz val="10"/>
            <rFont val="SimSun"/>
            <charset val="134"/>
          </rPr>
          <t>4PC 9-17-22 JO18122 JOJO</t>
        </r>
      </text>
    </comment>
    <comment ref="G1817" authorId="0" shapeId="0" xr:uid="{CF5E6D19-4117-994C-B860-098CA2CB1814}">
      <text>
        <r>
          <rPr>
            <sz val="10"/>
            <rFont val="SimSun"/>
            <charset val="134"/>
          </rPr>
          <t>8PCS 4-4-23 STF#7953 SPC</t>
        </r>
      </text>
    </comment>
    <comment ref="H1817" authorId="0" shapeId="0" xr:uid="{BAB1FF96-ED08-BB49-812B-B8D2AAD79B9D}">
      <text>
        <r>
          <rPr>
            <sz val="10"/>
            <rFont val="SimSun"/>
            <charset val="134"/>
          </rPr>
          <t>8pcs 4-4-23 JO#22280 JOJO</t>
        </r>
      </text>
    </comment>
    <comment ref="G1821" authorId="0" shapeId="0" xr:uid="{D060053D-0B8C-7341-AD27-270CF7B64C58}">
      <text>
        <r>
          <rPr>
            <sz val="10"/>
            <rFont val="SimSun"/>
            <charset val="134"/>
          </rPr>
          <t>2PCS 2-18-23 STF#7705 SPC
4pcs 2-11-23 stf#7669 spc</t>
        </r>
      </text>
    </comment>
    <comment ref="H1821" authorId="0" shapeId="0" xr:uid="{4452C2EE-0DA2-7C4C-8560-07B0581393F0}">
      <text>
        <r>
          <rPr>
            <sz val="10"/>
            <rFont val="SimSun"/>
            <charset val="134"/>
          </rPr>
          <t>2PCS 2-18-23 JO#21633 JOJO
4pcs 2-11-23 jo21646 jarvis</t>
        </r>
      </text>
    </comment>
    <comment ref="G1825" authorId="0" shapeId="0" xr:uid="{093A9F66-F545-A44F-9492-58930AA4C815}">
      <text>
        <r>
          <rPr>
            <sz val="10"/>
            <rFont val="SimSun"/>
            <charset val="134"/>
          </rPr>
          <t>IN 8PCS 09/07/24 SI#64523 SOUTHWAY</t>
        </r>
      </text>
    </comment>
    <comment ref="H1825" authorId="0" shapeId="0" xr:uid="{4A035C92-F81A-B341-B240-A4FE034DE1DE}">
      <text>
        <r>
          <rPr>
            <sz val="10"/>
            <rFont val="SimSun"/>
            <charset val="134"/>
          </rPr>
          <t xml:space="preserve">
OUT 8PCS 09/07/24 REF# 75696 STC KUYA HOWARD</t>
        </r>
      </text>
    </comment>
    <comment ref="G1826" authorId="0" shapeId="0" xr:uid="{83D35F5F-8949-D943-9746-D8D841BBD523}">
      <text>
        <r>
          <rPr>
            <sz val="10"/>
            <rFont val="SimSun"/>
            <charset val="134"/>
          </rPr>
          <t>IN 2PCS 11.20.25 DR#0049138 SOUHTWAY (LALAMOVE)</t>
        </r>
      </text>
    </comment>
    <comment ref="H1826" authorId="0" shapeId="0" xr:uid="{3970FAE8-E4D5-404B-8698-37565B73834B}">
      <text>
        <r>
          <rPr>
            <sz val="10"/>
            <rFont val="SimSun"/>
            <charset val="134"/>
          </rPr>
          <t>11.20.25
52465 2PCS ALY</t>
        </r>
      </text>
    </comment>
    <comment ref="G1831" authorId="0" shapeId="0" xr:uid="{EB438999-6C41-B94B-BF5D-2A6A2C715EAC}">
      <text>
        <r>
          <rPr>
            <sz val="10"/>
            <rFont val="SimSun"/>
            <charset val="134"/>
          </rPr>
          <t>2PCS 4-12-23 SHEEHAN
2PCS 1-12-23 STF#7503 SPC</t>
        </r>
      </text>
    </comment>
    <comment ref="H1831" authorId="0" shapeId="0" xr:uid="{6F22C9AF-9BF1-1C46-923B-3DCE623BDEF8}">
      <text>
        <r>
          <rPr>
            <sz val="10"/>
            <rFont val="SimSun"/>
            <charset val="134"/>
          </rPr>
          <t>2PCS 4-12-23 JO#24182 JOJO
2PCS 1-13-23 JO#20773 BEL</t>
        </r>
      </text>
    </comment>
    <comment ref="G1832" authorId="0" shapeId="0" xr:uid="{998C78AD-171E-B34F-B937-792D35CE6138}">
      <text>
        <r>
          <rPr>
            <sz val="10"/>
            <rFont val="SimSun"/>
            <charset val="134"/>
          </rPr>
          <t>2PCS 2-22-23 STF#7716 SPC</t>
        </r>
      </text>
    </comment>
    <comment ref="H1832" authorId="0" shapeId="0" xr:uid="{0DB6C2FB-6FC8-134B-A78A-5562857B6365}">
      <text>
        <r>
          <rPr>
            <sz val="10"/>
            <rFont val="SimSun"/>
            <charset val="134"/>
          </rPr>
          <t>2pcs 2-23-23 JO#21640 JOJO</t>
        </r>
      </text>
    </comment>
    <comment ref="G1835" authorId="0" shapeId="0" xr:uid="{181A9D40-9F9F-D444-B29A-D3B47E9DB915}">
      <text>
        <r>
          <rPr>
            <sz val="10"/>
            <rFont val="SimSun"/>
            <charset val="134"/>
          </rPr>
          <t xml:space="preserve">IN 4PCS 07/03/03 DR#75222 SPC
</t>
        </r>
      </text>
    </comment>
    <comment ref="H1835" authorId="0" shapeId="0" xr:uid="{DC8C1588-B1F2-FD4A-8F1F-A722EAA63AD2}">
      <text>
        <r>
          <rPr>
            <sz val="10"/>
            <rFont val="SimSun"/>
            <charset val="134"/>
          </rPr>
          <t>OUT 07/03/24 35617 2PCS SALES JARVIS
OUT 07/03/24 35616 2PCS SALES JARVIS</t>
        </r>
      </text>
    </comment>
    <comment ref="G1837" authorId="0" shapeId="0" xr:uid="{D4ED20B9-89C3-0741-8C91-15CDFF8EBFEE}">
      <text>
        <r>
          <rPr>
            <sz val="10"/>
            <rFont val="SimSun"/>
            <charset val="134"/>
          </rPr>
          <t xml:space="preserve">IN 2PCS 07/10/24 DR#75235 SPC KUYA HACKET
</t>
        </r>
      </text>
    </comment>
    <comment ref="H1837" authorId="0" shapeId="0" xr:uid="{E4D23364-862F-124F-B97B-23B72EA2CFBF}">
      <text>
        <r>
          <rPr>
            <sz val="10"/>
            <rFont val="SimSun"/>
            <charset val="134"/>
          </rPr>
          <t>OUT 07/10/24 35768 2PCS SALES ROSE</t>
        </r>
      </text>
    </comment>
    <comment ref="G1843" authorId="0" shapeId="0" xr:uid="{8B034690-200E-D044-9030-2E902FBCA10C}">
      <text>
        <r>
          <rPr>
            <sz val="10"/>
            <rFont val="SimSun"/>
            <charset val="134"/>
          </rPr>
          <t>IN 4PCS 06/26/24 DR# SPC MASTER
IN 4PCS 04/25/24 DR#75002 SPC KUYA HACKET</t>
        </r>
      </text>
    </comment>
    <comment ref="H1843" authorId="0" shapeId="0" xr:uid="{317332CF-498E-5C40-AC8E-7307A3B7DE75}">
      <text>
        <r>
          <rPr>
            <sz val="10"/>
            <rFont val="SimSun"/>
            <charset val="134"/>
          </rPr>
          <t>OUT 09/11/24 75404 2SETS SPC KUYA ADWIN
OUT 07/06/24 35738 2PCS SALES JARVIS
OUT 4PCS 06/01/24 DR#75094 SPC KUYA ALDWIN</t>
        </r>
      </text>
    </comment>
    <comment ref="G1844" authorId="0" shapeId="0" xr:uid="{34AEE8A9-4D51-3243-AE01-568F43AB9550}">
      <text>
        <r>
          <rPr>
            <sz val="10"/>
            <rFont val="SimSun"/>
            <charset val="134"/>
          </rPr>
          <t>IN 4PCS 04/25/24 DR#75002 SPC KUYA HACKET</t>
        </r>
      </text>
    </comment>
    <comment ref="H1844" authorId="0" shapeId="0" xr:uid="{378EE438-65CA-5B43-AD6F-AA3398345476}">
      <text>
        <r>
          <rPr>
            <sz val="10"/>
            <rFont val="SimSun"/>
            <charset val="134"/>
          </rPr>
          <t>4PCS 5/24/2024 34572 ROSE</t>
        </r>
      </text>
    </comment>
    <comment ref="G1845" authorId="0" shapeId="0" xr:uid="{1384153C-BD0D-9248-B808-B3673BED9445}">
      <text>
        <r>
          <rPr>
            <sz val="10"/>
            <rFont val="SimSun"/>
            <charset val="134"/>
          </rPr>
          <t>IN 2PC 07/06/24 DR#45228 SPC</t>
        </r>
      </text>
    </comment>
    <comment ref="H1845" authorId="0" shapeId="0" xr:uid="{658F4F2C-2F11-B548-B60D-4DD334F9EA92}">
      <text>
        <r>
          <rPr>
            <sz val="10"/>
            <rFont val="SimSun"/>
            <charset val="134"/>
          </rPr>
          <t>OUT  07/06/24 35738 2PCS SALES JARVIS</t>
        </r>
      </text>
    </comment>
    <comment ref="G1846" authorId="0" shapeId="0" xr:uid="{A8FCAB16-E000-124A-A282-583953BD596A}">
      <text>
        <r>
          <rPr>
            <sz val="10"/>
            <rFont val="SimSun"/>
            <charset val="134"/>
          </rPr>
          <t>IN 4PCS 09/07/24 DR#43504 SOUTHWAY</t>
        </r>
      </text>
    </comment>
    <comment ref="H1846" authorId="0" shapeId="0" xr:uid="{120EAA0B-F53E-9041-9101-7079A2CC769A}">
      <text>
        <r>
          <rPr>
            <sz val="10"/>
            <rFont val="SimSun"/>
            <charset val="134"/>
          </rPr>
          <t>OUT 4PCS 09/07/24 REF# 75696 STC KUYA HOWARD</t>
        </r>
      </text>
    </comment>
    <comment ref="G1850" authorId="0" shapeId="0" xr:uid="{E8D8128D-1981-AE4B-9135-2F470CC90552}">
      <text>
        <r>
          <rPr>
            <sz val="10"/>
            <rFont val="SimSun"/>
            <charset val="134"/>
          </rPr>
          <t>IN 2PCS 5.9.25 DR#2055 COMETZ
IN 2PCS 1-28-25 DR# COMETZ</t>
        </r>
      </text>
    </comment>
    <comment ref="H1850" authorId="0" shapeId="0" xr:uid="{9C0F4E4B-7E8C-FD4A-86BB-FD11AC055017}">
      <text>
        <r>
          <rPr>
            <sz val="10"/>
            <rFont val="SimSun"/>
            <charset val="134"/>
          </rPr>
          <t>5-9-25
2 SET 46215 JARVIS
2 PC OUT 1/28/25 JO42177 ALY</t>
        </r>
      </text>
    </comment>
    <comment ref="G1852" authorId="0" shapeId="0" xr:uid="{0C3A2B57-C2EC-3E4C-992E-815200C73D6A}">
      <text>
        <r>
          <rPr>
            <sz val="10"/>
            <rFont val="SimSun"/>
            <charset val="134"/>
          </rPr>
          <t>2SETS 11-21-22 STF#7261 SPC
4SETS  2-22-22 STF#5954 SPC</t>
        </r>
      </text>
    </comment>
    <comment ref="H1852" authorId="0" shapeId="0" xr:uid="{753E3480-B51B-A246-8A73-3BF56EBAE076}">
      <text>
        <r>
          <rPr>
            <sz val="10"/>
            <rFont val="SimSun"/>
            <charset val="134"/>
          </rPr>
          <t xml:space="preserve">2SETS 11-21-22 JO#19250 JOJO
2SETS 7-22-22 STF#16820 SALES
2SET 05-20-2022 JO15492 SALES
</t>
        </r>
      </text>
    </comment>
    <comment ref="G1854" authorId="0" shapeId="0" xr:uid="{A450DD20-CB5E-C345-9489-1CB415EB0C56}">
      <text>
        <r>
          <rPr>
            <sz val="10"/>
            <rFont val="SimSun"/>
            <charset val="134"/>
          </rPr>
          <t>2SETS 2-21-23 COMETS
4SETS 9-20-22 STF#6958 SPC
2SETS  2-22-22 STF#5954 SPC</t>
        </r>
      </text>
    </comment>
    <comment ref="H1854" authorId="0" shapeId="0" xr:uid="{2F5A418F-2C31-D142-9B32-82FB34326604}">
      <text>
        <r>
          <rPr>
            <sz val="10"/>
            <rFont val="SimSun"/>
            <charset val="134"/>
          </rPr>
          <t>2SETS 2-21-23 JO#21864 ALY
1SET 10-27-22 STF#2034 SPC
2SETS 9-21-22 JO#18127 JOJO
2SETS 9-21-22 JO#18126 JOJO
1SET 9-3-22 STF#1961 SPC</t>
        </r>
      </text>
    </comment>
    <comment ref="G1856" authorId="0" shapeId="0" xr:uid="{930A0127-DC93-8A40-A18D-E34274833D42}">
      <text>
        <r>
          <rPr>
            <sz val="10"/>
            <rFont val="SimSun"/>
            <charset val="134"/>
          </rPr>
          <t>2SETS 7-18-22 STF#6650 SPC</t>
        </r>
      </text>
    </comment>
    <comment ref="H1856" authorId="0" shapeId="0" xr:uid="{74F5BD47-E891-D548-8444-463B6C8AB2BA}">
      <text>
        <r>
          <rPr>
            <sz val="10"/>
            <rFont val="SimSun"/>
            <charset val="134"/>
          </rPr>
          <t>2SETS 7-18-22 JO#16659 SALES</t>
        </r>
      </text>
    </comment>
    <comment ref="G1857" authorId="0" shapeId="0" xr:uid="{FBB7757E-7C4C-7246-B428-094C14D055A3}">
      <text>
        <r>
          <rPr>
            <sz val="10"/>
            <rFont val="SimSun"/>
            <charset val="134"/>
          </rPr>
          <t>2SETS  9-20-22 STF#6958 SPC</t>
        </r>
      </text>
    </comment>
    <comment ref="H1857" authorId="0" shapeId="0" xr:uid="{DBB1FA02-62DE-DA4B-8AF5-F40B796A5408}">
      <text>
        <r>
          <rPr>
            <sz val="10"/>
            <rFont val="SimSun"/>
            <charset val="134"/>
          </rPr>
          <t>2SETS 9-21-22 JO#18125 JOJO</t>
        </r>
      </text>
    </comment>
    <comment ref="G1861" authorId="0" shapeId="0" xr:uid="{23E23239-F989-7E4A-933A-478BBCBB40DF}">
      <text>
        <r>
          <rPr>
            <sz val="10"/>
            <rFont val="SimSun"/>
            <charset val="134"/>
          </rPr>
          <t xml:space="preserve">
4PCS 9-15-22 STF#6925 SPC</t>
        </r>
      </text>
    </comment>
    <comment ref="H1861" authorId="0" shapeId="0" xr:uid="{785D4196-2DBB-C446-9616-E8242D0E548D}">
      <text>
        <r>
          <rPr>
            <sz val="10"/>
            <rFont val="SimSun"/>
            <charset val="134"/>
          </rPr>
          <t>4PCS 9-14-22 JO#18121 JOJO</t>
        </r>
      </text>
    </comment>
    <comment ref="G1862" authorId="0" shapeId="0" xr:uid="{5572EDA4-B779-8943-9DEF-830B4E9FE5CF}">
      <text>
        <r>
          <rPr>
            <sz val="10"/>
            <rFont val="SimSun"/>
            <charset val="134"/>
          </rPr>
          <t>4PCS 10-15-22 STF#7105 SPC</t>
        </r>
      </text>
    </comment>
    <comment ref="H1862" authorId="0" shapeId="0" xr:uid="{76698F3C-F9D4-4948-83DA-4EC8F1D3F058}">
      <text>
        <r>
          <rPr>
            <sz val="10"/>
            <rFont val="SimSun"/>
            <charset val="134"/>
          </rPr>
          <t>2PCS 1-18-23 STF#2218 SPC
2PCS 1-9-23 STF#2203 SPC</t>
        </r>
      </text>
    </comment>
    <comment ref="G1866" authorId="0" shapeId="0" xr:uid="{E1FDBE25-523F-0544-89EB-07C38691B87F}">
      <text>
        <r>
          <rPr>
            <sz val="10"/>
            <rFont val="SimSun"/>
            <charset val="134"/>
          </rPr>
          <t>IN 4SETS 01.16.26 SI49712 SOUTHWAY
IN 4SETS 03/14/24 SI#63511 SOUTHWAY</t>
        </r>
      </text>
    </comment>
    <comment ref="H1866" authorId="0" shapeId="0" xr:uid="{0221EE69-0B61-804E-B8BB-8CD9A62D9510}">
      <text>
        <r>
          <rPr>
            <sz val="10"/>
            <rFont val="SimSun"/>
            <charset val="134"/>
          </rPr>
          <t xml:space="preserve">01.17.26
54260 4PCS ALY
OUT 4PCS 03/15/24 STC </t>
        </r>
      </text>
    </comment>
    <comment ref="G1867" authorId="0" shapeId="0" xr:uid="{9E44CA5B-857B-DB4F-9801-67FB041ECEA9}">
      <text>
        <r>
          <rPr>
            <sz val="10"/>
            <rFont val="SimSun"/>
            <charset val="134"/>
          </rPr>
          <t>IN 4PCS 11.24.25 DR#0049185 SOUTHWAY
IN 4PCS 09/26/24 REF#75714 STC KUYA BOYONG
IN 4PCS 09/24/24 DR#76550 SPC KUYA MIKE
IN 2PCS 05/16/24 DR# SPC</t>
        </r>
      </text>
    </comment>
    <comment ref="H1867" authorId="0" shapeId="0" xr:uid="{BEBBA7C9-F943-2940-989C-038184601E81}">
      <text>
        <r>
          <rPr>
            <sz val="10"/>
            <rFont val="SimSun"/>
            <charset val="134"/>
          </rPr>
          <t xml:space="preserve">OUT 2PCS 01.16.26 DR80203 SNV ROI
10/05/24
37349 8PCS SALES MAM JEN
OUT 05/16/24 34320 2PCS SALES MAM JEN </t>
        </r>
      </text>
    </comment>
    <comment ref="G1868" authorId="0" shapeId="0" xr:uid="{03C685CD-6617-2146-8B35-56635245DD4D}">
      <text>
        <r>
          <rPr>
            <sz val="10"/>
            <rFont val="SimSun"/>
            <charset val="134"/>
          </rPr>
          <t>IN 4SETS 6.21.25 DR#0046829 SOUTHWAY
1PCS 12-17-24 SI#65049 SOUTHWAY
IN 8PCS 09/28/24 SI#64628 SOUTHWAY</t>
        </r>
      </text>
    </comment>
    <comment ref="H1868" authorId="0" shapeId="0" xr:uid="{3F944EB0-A58B-CD4D-AD98-142396F6636E}">
      <text>
        <r>
          <rPr>
            <sz val="10"/>
            <rFont val="SimSun"/>
            <charset val="134"/>
          </rPr>
          <t>OUT 4PCS 7.30.25 DR#78387 LIPA A
OUT 2PCS 2.20.25 DR#77120 SPC ALWIN
OUT 2PCS 1-20-25 DR#76927 SPC (KUYA ADWIN)
10/09/24
38324 1SET SALES JARVIS
OUT 4PCS 09/28/24 DR#75412 SPC KUYA MIKE</t>
        </r>
      </text>
    </comment>
    <comment ref="G1879" authorId="0" shapeId="0" xr:uid="{D2B1BBAE-D5CC-7646-BBED-757D50D0E32F}">
      <text>
        <r>
          <rPr>
            <sz val="10"/>
            <rFont val="SimSun"/>
            <charset val="134"/>
          </rPr>
          <t>IN 4PCS 09/07/24 SI#64524 SOUTHWAY
IN 2PCS 06/01/24 SI#63975 SOUTHWAY</t>
        </r>
      </text>
    </comment>
    <comment ref="H1879" authorId="0" shapeId="0" xr:uid="{FCA0FF98-EC85-0140-B6B0-F1543FB12EF2}">
      <text>
        <r>
          <rPr>
            <sz val="10"/>
            <rFont val="SimSun"/>
            <charset val="134"/>
          </rPr>
          <t xml:space="preserve">OUT 4PCS 09/07/24 DR#75399 SPC MASTER
OUT 2PCS 06/01/24 DR#75094 SPC KUYA EMMAN </t>
        </r>
      </text>
    </comment>
    <comment ref="G1886" authorId="0" shapeId="0" xr:uid="{468A67DD-C915-354B-8CBA-6CC8902CB1E0}">
      <text>
        <r>
          <rPr>
            <sz val="10"/>
            <rFont val="SimSun"/>
            <charset val="134"/>
          </rPr>
          <t>2PCS 10-21-22 ST007131 SPC</t>
        </r>
      </text>
    </comment>
    <comment ref="H1886" authorId="0" shapeId="0" xr:uid="{3562E5B2-0DB1-2941-801B-BCB8C98E15AA}">
      <text>
        <r>
          <rPr>
            <sz val="10"/>
            <rFont val="SimSun"/>
            <charset val="134"/>
          </rPr>
          <t>2PCS 10-21-22 JO18890 MARIBEL</t>
        </r>
      </text>
    </comment>
    <comment ref="G1887" authorId="0" shapeId="0" xr:uid="{9F57448C-711A-064C-8732-953827BAD351}">
      <text>
        <r>
          <rPr>
            <sz val="10"/>
            <rFont val="SimSun"/>
            <charset val="134"/>
          </rPr>
          <t>2pcs 1.29.25 DR#354714 SHEEHAN</t>
        </r>
      </text>
    </comment>
    <comment ref="H1887" authorId="0" shapeId="0" xr:uid="{01C7FC90-A67B-5C42-B44A-6EED39B3639B}">
      <text>
        <r>
          <rPr>
            <sz val="10"/>
            <rFont val="SimSun"/>
            <charset val="134"/>
          </rPr>
          <t>2PC OUT 2/2/25 JO42278 ALY</t>
        </r>
      </text>
    </comment>
    <comment ref="G1888" authorId="0" shapeId="0" xr:uid="{E4C59DBF-B161-5A45-BBE7-D0B62D52EC16}">
      <text>
        <r>
          <rPr>
            <sz val="10"/>
            <rFont val="SimSun"/>
            <charset val="134"/>
          </rPr>
          <t xml:space="preserve">2SET 5-25-23 SHEEHAN </t>
        </r>
      </text>
    </comment>
    <comment ref="H1888" authorId="0" shapeId="0" xr:uid="{B09DFA85-E94D-2E46-A1A5-464E750680EA}">
      <text>
        <r>
          <rPr>
            <sz val="10"/>
            <rFont val="SimSun"/>
            <charset val="134"/>
          </rPr>
          <t>2SETS 5-25-23 JO#25565 ROSE</t>
        </r>
      </text>
    </comment>
    <comment ref="G1889" authorId="0" shapeId="0" xr:uid="{79C940B7-9F34-6442-978F-E426CA8AC3DD}">
      <text>
        <r>
          <rPr>
            <sz val="10"/>
            <rFont val="SimSun"/>
            <charset val="134"/>
          </rPr>
          <t>IN 8-25-22 STF#6829  4SET SPC</t>
        </r>
      </text>
    </comment>
    <comment ref="H1889" authorId="0" shapeId="0" xr:uid="{45ADD164-81A3-E14A-8517-9A4E237588F4}">
      <text>
        <r>
          <rPr>
            <sz val="10"/>
            <rFont val="SimSun"/>
            <charset val="134"/>
          </rPr>
          <t>4SETS 8-26-22 JO#17509 OFFCIE</t>
        </r>
      </text>
    </comment>
    <comment ref="G1891" authorId="0" shapeId="0" xr:uid="{B9E9D271-1924-0E4B-833A-9FE34B64DF53}">
      <text>
        <r>
          <rPr>
            <sz val="10"/>
            <rFont val="SimSun"/>
            <charset val="134"/>
          </rPr>
          <t>IN 2SETS 8.1.25 DR#0018081 TIRE ASIA (4,775)
IN 4SETS 7.31.25 DR#0017582 TIRE ASIA (4,775)
IN 4PCS 4.26.25 DR#77685 SPC HACKET 
IN 4PCS 3.13.25 DR#77429 SPC MIKE
----------------------------------------------
4SETS 6-3-23 JO#25741 SHEEHAN
4sets 1-25-23 STF#7566 SHEEHAN
2SETS 1-17-23 STF#926 SPC
3SETS 1-16-23 STF#7520 SPC
2SETS 12-22-22 STF#7420 SPC
4sets 12-22-22 stf#7420 SHEEHAN
4SETS  10-21-22 STF#7134 SPC
2sets 8-10-22 STF#6838 SPC
4SETS 7-28-22 STF#6702 SPC
4PC 1-24-22 STF#5807 SPC
W/ TUBE</t>
        </r>
      </text>
    </comment>
    <comment ref="H1891" authorId="0" shapeId="0" xr:uid="{BF7FC2AC-A5A9-2645-9716-DCC131A93DCD}">
      <text>
        <r>
          <rPr>
            <sz val="10"/>
            <rFont val="SimSun"/>
            <charset val="134"/>
          </rPr>
          <t>7-30-25
4 PCS 49201 ROSE
4-29-25
4 PCS 45892 ROSE
4SETS OUT 3-13-25 JO43893 ROSE
4SETS 6-3-23 JO#25741 ROSE
4SETS 1-25-23 JO#21135 BATELEC
5SETS 1-16-23 JO#20981 BATELEC
4SETS 1-13-23 STF#2212 SPC
4SETS 8-26-22 JO#17508 OFFICE
2SET 8-25-22 JO17540 MARLO
4SET 7-29-22 JO16996 OFFICE
2PCS 6-16-22 JO#16072 SALES</t>
        </r>
      </text>
    </comment>
    <comment ref="G1892" authorId="0" shapeId="0" xr:uid="{3026CCBE-A91A-634A-95B6-C980A6D15BB7}">
      <text>
        <r>
          <rPr>
            <sz val="10"/>
            <rFont val="SimSun"/>
            <charset val="134"/>
          </rPr>
          <t>IN 6SETS 9.27.25 DR#79617 SPC
HACKET
IN 4SETS 8.1.25 DR#0018081 TIRE ASIA (4,775)
IN 4SETS 7.31.25 DR#0017582 TIRE ASIA (4,775)
IN 4SETS 6.28.25 DR#0016070 TIRE ASIA (4,775)
IN 2PCS 4.26.25 DR#77685 SPC HACKET
IN 10PCS 3.13.25 DR#77429 SPC MIKE
IN 5PCS 2.28.25 DR#77039 SPC HACKET
IN 4PCS 2.18.25 DR#77025 SPC
----------------------------------------------
6SETS 6-8-23 SHEEHAN
2SETS 6-3-23 JO#25741 SHEEHAN
5SETS 5-25-23 STF#8161 SPC
2SETS 2-27-23 STF#7754 SPC
2SETS 1-25-23 STF#7566 SHEEHAN
2SETS 1-16-23 STF# SHEEHAN
4SETS 11-22-22 STF#7272 SPC
4SETS  10-21-22 STF#7134 SPC
2SETS 10-18-22 STF#7122 SPC
6SETS 10-6-22 STF#2157 SPC SHEEHAN
4SETS 9-28-22 STF#7009 SPC
4SETS 8-10-22 STF#6755 SPC
20SETS 7-26-22 STF#6696 SPC SHEEHAN
5sets 7-14-22 STF#6636 SPC SHEEHAN</t>
        </r>
      </text>
    </comment>
    <comment ref="H1892" authorId="0" shapeId="0" xr:uid="{1A543DFB-6637-6B41-9F83-F36C16616CAE}">
      <text>
        <r>
          <rPr>
            <sz val="10"/>
            <rFont val="SimSun"/>
            <charset val="134"/>
          </rPr>
          <t>9-27-25
4 PCS 50855 ROSE
2 SETS 50856 ROSE
7-30-25
4 SETS 42901 ROSE
6-30-25
4 SETS OUT 48056 ROSE
4-29-25
 2 PCS 45892 ROSE
10 SETS OUT 3-12-25 JO43893
 ROSE
2-28-25
5 PCS OUT JO43310 ROSE
4 PCS OUT 2-19-25 JO42938 ROSE
2SETS 6-24-23 JO#26246 OFICE
4SETS 6-8-23 JO#25883 ROSE
2SETS 6-3-23 JO#25741 ROSE
5SETS 5-25-23 JO#25564 ROSE
2PCS 5-17-23 STF#2457 SPC
OUT 2PCS 4-27-23 STF#2431 LIPA A
2SETS 1-25-23 JO#21135 BATELEC
2SETS 1-16-23 JO#20981 BATELEC
OUT 12-26-22 JO#20179 2SETS BATELEC
OUT 12-26-22 JO#204151 4SETS BATELEC
OUT 11-25-22 JO#19738 8PCS BATELEC
2SETS 11-14-22 JO#19491 JARVIS
3PCS 10-19-22 JO#18748/18750/18749
1SET 10-19-22 JO#18749 OFFICE
6SETS 10-6-22 JO#18614 OFFICE
2SET 10-04-22 JO18515 OFFICE
2SETS  8-29-22 STF#1949 SPC
2SETS 8-26-22 JO#17508 OFFICE
4SETS 8-2-22 JO#16998 SALES
2SET 7-29-22 JO16996 OFFICE
4SETS 7-28-22 JO#16994 SALES
4SETS 7-28-22 JO#16995 SALES
6pcs 7-26-22 JO#16914 SALES
5SETS 7-14-22 JO#16654 SALES</t>
        </r>
      </text>
    </comment>
    <comment ref="G1893" authorId="0" shapeId="0" xr:uid="{110F5DD0-2375-174E-995C-59AFDC45D64E}">
      <text>
        <r>
          <rPr>
            <sz val="10"/>
            <rFont val="SimSun"/>
            <charset val="134"/>
          </rPr>
          <t>2SETS 9-8-23 DR#74192 SPC
2SETS 1-16-23 STF#925 STC
2PCS 1-12-23 STF#919 STC
4SET 04-09-2022 ST006190 SPC
4PC 1-24-22 STF#5807 SPC
W/ TUBE</t>
        </r>
      </text>
    </comment>
    <comment ref="H1893" authorId="0" shapeId="0" xr:uid="{B70441AE-63FD-D14A-995D-77CBE3E0B8FA}">
      <text>
        <r>
          <rPr>
            <sz val="10"/>
            <rFont val="SimSun"/>
            <charset val="134"/>
          </rPr>
          <t>2SETS 9-8-23 JO#28037 SALES
2SETS 3-22-23 JO#22787 JARVIS
2SETS 3-17-23 JO#22274 JOJO
2SETS 1-13-23 JO#20892 SHEEHAN
4PCS 7-25-22 STF#1891 STC
2PCS  3-17-22 STF#1680 LIPA A
2SET 01-24-2022 JO#13131 JARVIS</t>
        </r>
      </text>
    </comment>
    <comment ref="G1894" authorId="0" shapeId="0" xr:uid="{CFB83CE8-0624-4249-A1AD-DA9E1D9B4C5A}">
      <text>
        <r>
          <rPr>
            <sz val="10"/>
            <rFont val="SimSun"/>
            <charset val="134"/>
          </rPr>
          <t>IN 4PCS 10.30.25 DR#0023982 &amp; 0023953 TIRE ASIA
IN 3SETS 6.28.25 DR#0016070 TIRE ASIA (5,562)
IN 6PCS 2.28.25 DR#77039 SPC HACKET
----------------------------------------------
2SETS 2-27-23 STF#7754 SPC
4SETS 10-18-22 STF#7122 SPC
2SETS 10-4-22 STF#7048 SPC
2SETS 9-2-22 STF#6867 SPC</t>
        </r>
      </text>
    </comment>
    <comment ref="H1894" authorId="0" shapeId="0" xr:uid="{291C87A5-AF0D-654E-8CF1-6281ABABF49B}">
      <text>
        <r>
          <rPr>
            <sz val="10"/>
            <rFont val="SimSun"/>
            <charset val="134"/>
          </rPr>
          <t>10-27-25
4 PCS 51752 ROSE
6-30-25
3 SETS OUT 48056 ROSE
2-28-25
6 PCS OUT JO43310 ROSE
2sets 3-17-23 JO#22274 JOJO
4PCS 10-19-22 JO#18749 OFFICE
2sets 10-4-22 JO#18330 JOJO
2SETS 9-2-22 JO#17821 OFFICE</t>
        </r>
      </text>
    </comment>
    <comment ref="G1896" authorId="0" shapeId="0" xr:uid="{02438E50-D3C7-AD48-8E6F-0428C84674C0}">
      <text>
        <r>
          <rPr>
            <sz val="10"/>
            <rFont val="SimSun"/>
            <charset val="134"/>
          </rPr>
          <t>IN 2SETS 02.07.26 DR0029875 TIRE ASIA (5,182)
IN 4SETS 12.23.25 DR#0027365 TIRE ASIA (5,182)
IN 4SETS 7.31.25 DR#0017582 TIRE ASIA (5,182)
IN 2SETS 7.15.25 DR#0016703 TIRE ASIA (5,182)
IN 6SETS 6.28.25 DR#0016070 TIRE ASIA (5,182)
3sets 2-16-23 STF# SPC SHEEHAN
4SETS 1-16-23 STF#7520 SPC
2SETS 1-7-23 STF#7460 SHEEHAN
1SET 12-22-22 STF#7420 SHEEHAB
2SEST 12-22-22 STF#7420 SPC
2SETS 10-18-22 STF#7122 SPC</t>
        </r>
      </text>
    </comment>
    <comment ref="H1896" authorId="0" shapeId="0" xr:uid="{B3DFDA51-3C85-AC40-B801-B593A7731E16}">
      <text>
        <r>
          <rPr>
            <sz val="10"/>
            <rFont val="SimSun"/>
            <charset val="134"/>
          </rPr>
          <t>02.09.26
54898 2PCS ROSE
12.24.25
53581 4PCS ROSE
7-30-25
4 SETS 42901 ROSE
7-16-25
2 SETS OUT 48510 ROSE
6-30-25
6 SET OUT 48056 ROSE
3SETS 2-16-23 JO#21754 OFFICE
2SETS 1-6-23 JO#20537 BATELEC
3SETS 12-26-22 JO#20180 BATELEC
2SETS 10-19-22 JO#18748 OFFICE</t>
        </r>
      </text>
    </comment>
    <comment ref="G1897" authorId="0" shapeId="0" xr:uid="{1C772D85-C063-4140-AC04-6ED215191E34}">
      <text>
        <r>
          <rPr>
            <sz val="10"/>
            <rFont val="SimSun"/>
            <charset val="134"/>
          </rPr>
          <t>IN 4SETS 12.23.25 DR#0027365 TIRE ASIA (5,182)
IN 2SETS 7.31.25 DR#0017582 TIRE ASIA(5,182)
IN 4SETS 7.15.25 DR#0016703 TIRE ASIA (5,182)
IN 2SETS 6.28.25 DR#0016070 TIRE ASIA (5,182)
IN 6SETS 6.28.25 DR#0016070 TIRE ASIA (5,182)
2SETS 1-12-23 STF#7503 SPC
4SETS 1-7-23 STF#7460 SHEEHAN</t>
        </r>
      </text>
    </comment>
    <comment ref="H1897" authorId="0" shapeId="0" xr:uid="{EF9C477E-C2BD-D244-BB7D-9E8283A8C711}">
      <text>
        <r>
          <rPr>
            <sz val="10"/>
            <rFont val="SimSun"/>
            <charset val="134"/>
          </rPr>
          <t>12-29-25
4 PCS 53588 ROSE
7-30-25
2 SETS 49201 ROSE
7-16-25
4 SETS OUT 48510 ROSE
6-30-25
10 SETS OUT JO#48056-48057 ROSE
2PCS 1-13-23 JO#20892 ALY
4SETS 1-6-23 JO#20537 BATELEC</t>
        </r>
      </text>
    </comment>
    <comment ref="G1898" authorId="0" shapeId="0" xr:uid="{11E0A7E3-5193-FC4D-9D2B-264B0943F0CD}">
      <text>
        <r>
          <rPr>
            <sz val="10"/>
            <rFont val="SimSun"/>
            <charset val="134"/>
          </rPr>
          <t>IN 5SETS 02.07.26 DR0029875 TIRE ASIA (5,726)
IN 6SETS 12.23.25 DR#0026759 TIRE ASIA (5,726)
IN 7SETS 9.27.25 DR#79617 SPC
HACKET
IN 1SETS 6.28.25 DR#0016070 TIRE ASIA (5,726)
1PC 1-5-24 DR#74550 SPC
2PCS 4-17-23 STF#8000 SPC
2SETS 3-21-23 STF#7879 SPC
2SETS 3-15-23 STF#7845 SPC
2SETS 9-9-22 STF#6904 SPC</t>
        </r>
      </text>
    </comment>
    <comment ref="H1898" authorId="0" shapeId="0" xr:uid="{E661D87E-670C-1444-B7CA-B78C441CE494}">
      <text>
        <r>
          <rPr>
            <sz val="10"/>
            <rFont val="SimSun"/>
            <charset val="134"/>
          </rPr>
          <t>02.09.26
54898 5PCS ROSE
12.24.25
53490 6SETS ROSE
9-27-25
7 PCS 50855 ROSE
6-30-25
1 SET OUT 48056 ROSE
1SET CONCEPCION
2PCS 4-17-23 JO#24184 JOJO
2SETS 3-21-23 JO#22275 JOJO
2SETS 3-15-23 JO#22272 JOJO
2SETS 9-10-22 JO#17983 ALY</t>
        </r>
      </text>
    </comment>
    <comment ref="G1900" authorId="0" shapeId="0" xr:uid="{62B7BDF8-8E02-A447-9F99-E71D73BB2D11}">
      <text>
        <r>
          <rPr>
            <sz val="10"/>
            <rFont val="SimSun"/>
            <charset val="134"/>
          </rPr>
          <t>4SETS 5-4-23 STF#8078 SHEEHAN
2SETS 3-21-23 STF# SPC
2SETS 2-27-23 STF#7754 SPC
2SETS 10-31-22 STF#7174 SPC</t>
        </r>
      </text>
    </comment>
    <comment ref="H1900" authorId="0" shapeId="0" xr:uid="{15B99738-C7B3-3D4E-9359-4CA6D3C4B874}">
      <text>
        <r>
          <rPr>
            <sz val="10"/>
            <rFont val="SimSun"/>
            <charset val="134"/>
          </rPr>
          <t>4SETS 5-4-23 Jo#25091 JOJO
2SETS 3-21-23 JO#22275 JOJO
2SETS 3-4-23 JO22144 MARIBEL
2SETS 10-31-22 JO#18958 JOJO</t>
        </r>
      </text>
    </comment>
    <comment ref="G1901" authorId="0" shapeId="0" xr:uid="{BED24BFA-9E44-4F4D-B69C-87AFC8D16F55}">
      <text>
        <r>
          <rPr>
            <sz val="10"/>
            <rFont val="SimSun"/>
            <charset val="134"/>
          </rPr>
          <t>IN 2SETS 12PLY DR#0016070 TIRE ASIA 6.28.25 (5,726)
1SET 12-5-23 SHEEHAN</t>
        </r>
      </text>
    </comment>
    <comment ref="H1901" authorId="0" shapeId="0" xr:uid="{F17D092F-28B7-974F-A0B1-E6FA5C030F28}">
      <text>
        <r>
          <rPr>
            <sz val="10"/>
            <rFont val="SimSun"/>
            <charset val="134"/>
          </rPr>
          <t>6-30-25
2 SETS OUT 48056 ROSE
OUT 1PC 03/30/24 DR#74745-46 SPC KUYA HACKET 
1SET  12-5-23 JO#29870 ROSE</t>
        </r>
      </text>
    </comment>
    <comment ref="G1907" authorId="0" shapeId="0" xr:uid="{EC2393E0-36A4-BB4C-8416-08682BC774B7}">
      <text>
        <r>
          <rPr>
            <sz val="10"/>
            <rFont val="SimSun"/>
            <charset val="134"/>
          </rPr>
          <t>6sets 1-31-24 DR# SPC SVB
4SETS 10-21-22 STF#7134 SPC</t>
        </r>
      </text>
    </comment>
    <comment ref="H1907" authorId="0" shapeId="0" xr:uid="{54B32D7F-7A47-494C-BEF5-FD17C1F8ABAB}">
      <text>
        <r>
          <rPr>
            <sz val="10"/>
            <rFont val="SimSun"/>
            <charset val="134"/>
          </rPr>
          <t>6SETS 1-30-24 JO#31522 ROSE
2SETS 3-27-23 JO#22277 JOJO
2SETS 3-10-23 JO#22271 JOJO</t>
        </r>
      </text>
    </comment>
    <comment ref="G1908" authorId="0" shapeId="0" xr:uid="{C4860497-0753-6243-8709-759953FB91E4}">
      <text>
        <r>
          <rPr>
            <sz val="10"/>
            <rFont val="SimSun"/>
            <charset val="134"/>
          </rPr>
          <t>IN 10SETS 7.31.25 DR#0017582 TIRE ASIA (9,566.97)
4SETS 10-21-22 STF#7134 SPC</t>
        </r>
      </text>
    </comment>
    <comment ref="H1908" authorId="0" shapeId="0" xr:uid="{ED1C2992-2BBA-7A49-A041-C5031F9BEBB1}">
      <text>
        <r>
          <rPr>
            <sz val="10"/>
            <rFont val="SimSun"/>
            <charset val="134"/>
          </rPr>
          <t>7-30-25
6 SETS 49201 ROSE
OUT 2PCS 06/06/24 DR#75100 SPC KUYA HACKET
2set 01-30-2024 jo#31496 maribel</t>
        </r>
      </text>
    </comment>
    <comment ref="G1909" authorId="0" shapeId="0" xr:uid="{C3AE3E7E-BFA2-D948-9D4A-88054E4463A1}">
      <text>
        <r>
          <rPr>
            <sz val="10"/>
            <rFont val="SimSun"/>
            <charset val="134"/>
          </rPr>
          <t>4SETS 10-21-22 STF#7134 SPC</t>
        </r>
      </text>
    </comment>
    <comment ref="H1909" authorId="0" shapeId="0" xr:uid="{7437CA32-48C3-F049-A866-793D050F04A8}">
      <text>
        <r>
          <rPr>
            <sz val="10"/>
            <rFont val="SimSun"/>
            <charset val="134"/>
          </rPr>
          <t>2SETS 11-9-23 DR#74260 LIPA A
2SETS 3-25-23 JO#23079 ROSE</t>
        </r>
      </text>
    </comment>
    <comment ref="G1910" authorId="0" shapeId="0" xr:uid="{B6E53398-52EC-894D-9316-D1D6EBA3BF37}">
      <text>
        <r>
          <rPr>
            <sz val="10"/>
            <rFont val="SimSun"/>
            <charset val="134"/>
          </rPr>
          <t>4SETS 10-21-22 STF#7134 SPC</t>
        </r>
      </text>
    </comment>
    <comment ref="H1910" authorId="0" shapeId="0" xr:uid="{F58D2948-DB91-EF4B-9083-FE1B48EDA8FB}">
      <text>
        <r>
          <rPr>
            <sz val="10"/>
            <rFont val="SimSun"/>
            <charset val="134"/>
          </rPr>
          <t>OUT 2PCS 06/06/24 DR#75100 SPC KUYA HACKET
1pc 1-14-24 DR#73384 LIPA A
1SET 3-16-23 STF#2344 STC</t>
        </r>
      </text>
    </comment>
    <comment ref="G1919" authorId="0" shapeId="0" xr:uid="{E1CD9EC7-4A43-6140-9EBE-0D8A3A908309}">
      <text>
        <r>
          <rPr>
            <sz val="10"/>
            <rFont val="SimSun"/>
            <charset val="134"/>
          </rPr>
          <t>4SETS 9-28-22 STF#7009 SPC</t>
        </r>
      </text>
    </comment>
    <comment ref="G1920" authorId="0" shapeId="0" xr:uid="{CC058A5F-E742-BB4D-88CB-3360337FD487}">
      <text>
        <r>
          <rPr>
            <sz val="10"/>
            <rFont val="SimSun"/>
            <charset val="134"/>
          </rPr>
          <t>6PCS 9-20-22 STF#6958 SPC</t>
        </r>
      </text>
    </comment>
    <comment ref="H1920" authorId="0" shapeId="0" xr:uid="{C132BD4D-6558-4448-82EB-777C3836A7D9}">
      <text>
        <r>
          <rPr>
            <sz val="10"/>
            <rFont val="SimSun"/>
            <charset val="134"/>
          </rPr>
          <t>2PCS 12-29-22 JO#20541 JARVIS
4PCS 11-8-22 STF#2061 SPC</t>
        </r>
      </text>
    </comment>
    <comment ref="G1921" authorId="0" shapeId="0" xr:uid="{6D3C4F49-1D34-ED48-A234-3DD889E13268}">
      <text>
        <r>
          <rPr>
            <sz val="10"/>
            <rFont val="SimSun"/>
            <charset val="134"/>
          </rPr>
          <t>4PCS 10-26-22 STF#7159 SPC
2pcs 10-21-22 STF#7136 SPC</t>
        </r>
      </text>
    </comment>
    <comment ref="H1921" authorId="0" shapeId="0" xr:uid="{D25C31D2-9183-5E41-A4F6-C43C86F8CFA9}">
      <text>
        <r>
          <rPr>
            <sz val="10"/>
            <rFont val="SimSun"/>
            <charset val="134"/>
          </rPr>
          <t>2PCS 4-25-23 JO#24838 JARVIS
2[PCS 3-10-23 JO#22285 JARVIS
2PC 10-22-22 JO18961 JARVIS</t>
        </r>
      </text>
    </comment>
    <comment ref="G1922" authorId="0" shapeId="0" xr:uid="{6261C922-93D4-3143-8189-6AF9BADB84BB}">
      <text>
        <r>
          <rPr>
            <sz val="10"/>
            <rFont val="SimSun"/>
            <charset val="134"/>
          </rPr>
          <t>IN 2PCS 8.19.25 DR#79035 SPC BRY
IN 2PCS 1-22-25 DR#76899 SPC KUYA EMMAN
----------------------------------------------
2PCS 12-17-24 DR76150 LIPA A
IN 2PCS DR#76146 12-11-24 LIPA A
IN 4PCS 09/19/24 DR#76534 SPC KUYA HACKET
IN 2PCS 05/09/24 DR#32061 SVB
5PCS 12-18-23 DR#74534 SPC
1SET 3-9-23 JO#22244 BEL</t>
        </r>
      </text>
    </comment>
    <comment ref="H1922" authorId="0" shapeId="0" xr:uid="{C8878029-2C12-9B44-83C5-FA7DE8F1E35D}">
      <text>
        <r>
          <rPr>
            <sz val="10"/>
            <rFont val="SimSun"/>
            <charset val="134"/>
          </rPr>
          <t>8-20-25
4 SET 49812 ALY
5-26-25
2 PCS 46855 MARIBEL
2PCS 12/11/24 JO39944 HANNA
OUT 4PCS SALES 11/11/2024
JO39556 DALIA
OUT 05/09/24 34153 2PC SALES ROSE
2PCS 1-24-24 DR#73397 SPC
2PCS 12-21-23 JO#30426 ROSE</t>
        </r>
      </text>
    </comment>
    <comment ref="G1923" authorId="0" shapeId="0" xr:uid="{5E042E7D-1FB2-0D43-A508-F805ECEF4481}">
      <text>
        <r>
          <rPr>
            <sz val="10"/>
            <rFont val="SimSun"/>
            <charset val="134"/>
          </rPr>
          <t>IN 1PCS 01.30.26 DR81176/SI83137 CT GLOBAL (7,850)
4PCS 11-21-23 dr# SPC
2PCS 11-11-23 DR# SPC
2PCS 01-27-23 DR 450411184 GOODYEAR PHILS</t>
        </r>
      </text>
    </comment>
    <comment ref="H1923" authorId="0" shapeId="0" xr:uid="{90FA1228-1188-864D-AA86-E23BA8B8BA46}">
      <text>
        <r>
          <rPr>
            <sz val="10"/>
            <rFont val="SimSun"/>
            <charset val="134"/>
          </rPr>
          <t>02.02.26
54778 1PC JARVIS
4SETS 11-26-23 JO#29721 JARVIS
2SETS 11-12-23 29369 ROSE
2PCS 1-27-23 JO#21265 ALY</t>
        </r>
      </text>
    </comment>
    <comment ref="G1924" authorId="0" shapeId="0" xr:uid="{02B51073-B3AC-594B-97D8-EA21F2382D0F}">
      <text>
        <r>
          <rPr>
            <sz val="10"/>
            <rFont val="SimSun"/>
            <charset val="134"/>
          </rPr>
          <t>IN 2SETS 10.24.25 SO#150268348
IN 3SETS 6.24.25 DR#76317 CT GLOBAL (8,100)
IN 2PCS 5.16.25 DR#75395 CT GLOBAL (8,100)
1-27-30 1PC DR#76184 LIPA A
-----------------------------------------------
3PCS 11-23-24 DR#76126 LIPA B 
IN 4PCS 09/19/24 DR#76534 SPC KUYA HACKET
IN 1SET 07/01/24 DR#32591 SVB</t>
        </r>
      </text>
    </comment>
    <comment ref="H1924" authorId="0" shapeId="0" xr:uid="{B7A2AD73-F087-704A-B091-5242D10DDC6B}">
      <text>
        <r>
          <rPr>
            <sz val="10"/>
            <rFont val="SimSun"/>
            <charset val="134"/>
          </rPr>
          <t>10-25-25
2 SETS 51699 ALY
6-26-25
3 PCS OUT 47586 HANNA
5-16-25
2 PCS 46388 ALY
4.30.25
45823 2PCS OFFICE
2pc out 12/30/24 jo41188 jarvis
OUT 2PCS 10/12/24 DR#75440 SPC 
10/13/24
38445 2PCS SALES ROSE
OUT 07/04/24 35681 1PC SALES  ROSE</t>
        </r>
      </text>
    </comment>
    <comment ref="G1925" authorId="0" shapeId="0" xr:uid="{8AFCC7E6-FD16-054C-9CA3-117FB6094FF8}">
      <text>
        <r>
          <rPr>
            <sz val="10"/>
            <rFont val="SimSun"/>
            <charset val="134"/>
          </rPr>
          <t>2SETS 8-17-23 SVB</t>
        </r>
      </text>
    </comment>
    <comment ref="H1925" authorId="0" shapeId="0" xr:uid="{39761740-7A21-8B4F-B1EA-E9089E1271D9}">
      <text>
        <r>
          <rPr>
            <sz val="10"/>
            <rFont val="SimSun"/>
            <charset val="134"/>
          </rPr>
          <t xml:space="preserve">
2SETS 8-17-23 JO#27565 ROSE</t>
        </r>
      </text>
    </comment>
    <comment ref="G1926" authorId="0" shapeId="0" xr:uid="{E0B2D47D-5BBD-C04F-8BD9-1FC49F24FAC9}">
      <text>
        <r>
          <rPr>
            <sz val="10"/>
            <rFont val="SimSun"/>
            <charset val="134"/>
          </rPr>
          <t>IN 4PCS 09/19/24 DR#76534 SPC KUYA HACKET</t>
        </r>
      </text>
    </comment>
    <comment ref="H1926" authorId="0" shapeId="0" xr:uid="{1394ABE3-C07A-DF42-9FCD-895F928788B8}">
      <text>
        <r>
          <rPr>
            <sz val="10"/>
            <rFont val="SimSun"/>
            <charset val="134"/>
          </rPr>
          <t>OUT 4PCS 1-10-25 DR#76902 SPC KUYA MIKE</t>
        </r>
      </text>
    </comment>
    <comment ref="G1929" authorId="0" shapeId="0" xr:uid="{FC874F87-D01E-0A48-AE60-E423DB9521E0}">
      <text>
        <r>
          <rPr>
            <sz val="10"/>
            <rFont val="SimSun"/>
            <charset val="134"/>
          </rPr>
          <t>IN 6PCS 3.15.25 DR#77419 SPC
IN 4PCS 09/19/24 DR#76534 SPC KUYA HACKET</t>
        </r>
      </text>
    </comment>
    <comment ref="H1929" authorId="0" shapeId="0" xr:uid="{103D93D2-3488-D944-B5C4-2BB378AD24AD}">
      <text>
        <r>
          <rPr>
            <sz val="10"/>
            <rFont val="SimSun"/>
            <charset val="134"/>
          </rPr>
          <t>3.22.25
44336 6PCS JARVIS
OUT 4PCS 1-24-25 DR#76939 SPC KUYA BOYONG</t>
        </r>
      </text>
    </comment>
    <comment ref="G1932" authorId="0" shapeId="0" xr:uid="{429DA47C-CDA2-3B4E-8431-78D2903319E9}">
      <text>
        <r>
          <rPr>
            <sz val="10"/>
            <rFont val="SimSun"/>
            <charset val="134"/>
          </rPr>
          <t>1PC 12-14-2021 ST005654 SPC</t>
        </r>
      </text>
    </comment>
    <comment ref="H1932" authorId="0" shapeId="0" xr:uid="{14973A13-5669-A741-9F04-290FD01ED3A4}">
      <text>
        <r>
          <rPr>
            <sz val="10"/>
            <rFont val="SimSun"/>
            <charset val="134"/>
          </rPr>
          <t>1PC 03-18-2022 ST001683 SPC</t>
        </r>
      </text>
    </comment>
    <comment ref="G1934" authorId="0" shapeId="0" xr:uid="{A2EDE120-6906-3346-A7E5-3800C7B34233}">
      <text>
        <r>
          <rPr>
            <sz val="10"/>
            <rFont val="SimSun"/>
            <charset val="134"/>
          </rPr>
          <t xml:space="preserve">4SETS 2-16-23 STF7686 SPC </t>
        </r>
      </text>
    </comment>
    <comment ref="H1934" authorId="0" shapeId="0" xr:uid="{F74BDABF-3986-E54A-9D14-641CE43BD952}">
      <text>
        <r>
          <rPr>
            <sz val="10"/>
            <rFont val="SimSun"/>
            <charset val="134"/>
          </rPr>
          <t>4SETS 2-14-23 BATELEC</t>
        </r>
      </text>
    </comment>
    <comment ref="G1942" authorId="0" shapeId="0" xr:uid="{7D1432C6-F75E-8146-85C5-8FCD898F0866}">
      <text>
        <r>
          <rPr>
            <sz val="10"/>
            <rFont val="SimSun"/>
            <charset val="134"/>
          </rPr>
          <t>IN 2PCS 9.18.25 DR#78650 LIPA A
IN 4SETS 6.21.25 DR#0046829 SOUTHWAY
IN 1PC 1-22-25 DR#76899 SPC KUYA EMMAN
---------------------------------------------
4PCS 12-17-24 SI#64996 SOUTHWAY
IN 3PCS 11/30/24 DR#75731 SPC KUYA HACKET
IN 1PCS 09/26/24 DR#76609 SPC KUYA MIKE
IN 1PCS 09/21/24 REF#75709 STC
IN 3PCS 09/21/24 DR#76370 SPC KUYA HACKET
IN 2SETS 09/07/24 SI#64525 SOUTHWAY
IN 4PCS 09/06/24 DR#76083 LIPA A
IN 4PCS 07-25-24 DR#75248 SPC
IN 4PCS 05/25/24 SI#64003 SOUTHWAY
IN 4SETS 03/15/24 SI#63605 SOUTHWAY
8SETS 12-5-23 SI#62803 SOUTHWAY</t>
        </r>
      </text>
    </comment>
    <comment ref="H1942" authorId="0" shapeId="0" xr:uid="{8F7A546A-3ACB-DB4F-B112-F0B5CF415D7F}">
      <text>
        <r>
          <rPr>
            <sz val="10"/>
            <rFont val="SimSun"/>
            <charset val="134"/>
          </rPr>
          <t>9.18.25
50656 2PCS ALY
OUT 5PCS 4.22.25 DR#77608 SPC NHEL
1-17-25
41848 4PCS SALES ROSE
1pc 12/30/24 jo41158 rose
10/05/24
37349 12PCS SALES MAM JEN
09/11/24
37519 1set sales jarvis
4SETS 7-30-24 JO#36376 MARLO
OUT 05/08/24 34107 3SET SALES ROSE
OUT 2SETS 04/29/24 DR#75051 SPC KUYA EMMAN
OUT 4SET 04/22/24 DR#74785 SPC SIR ADWIN
1set 2-7-24 31731 ROSE
2SETS 12-18-23 JO#30343 JARVIS</t>
        </r>
      </text>
    </comment>
    <comment ref="G1943" authorId="0" shapeId="0" xr:uid="{62C8C640-EEDC-5D41-86BE-85288C211F97}">
      <text>
        <r>
          <rPr>
            <sz val="10"/>
            <rFont val="SimSun"/>
            <charset val="134"/>
          </rPr>
          <t>IN 2PCS 8.8.25 DR#78846 SPC EMMAN
IN 2PCS 8.5.25 DR#78835 SPC HACKET
IN 2SETS 6.21.25 DR#0046829 SOUTHWAY
IN 1PCS 1-22-25 DR#76899 SPC KUYA EMMAN
----------------------------------------------
2PCS 12-17-24 SI#64996 SOUTHWAY
IN 12PCS 09/28/24 SI#64680 SOUTHWAY
IN 4PCS 09/26/24 DR#76609 SPC KUYA MIKE
IN 4PCS 09/08/24 DR#76528 SPC SERVICE
IN 4PCS 09/06/24 DR#76083 LIPA A
IN 4PCS 08/15/24 SI#64417 SOUTHWAY
IN 4PCS 07/18/24 DR# SPC KUYA HACKET
IN 4PCS 07/17/24 DR#75248 SPC KUYA HACKET
IN 4PCS 07/17/24 REF#75655 STC
IN 4PCS 07/17/24 DR#76060 LIPA A
8SETS   12-5-23 SI#62803 SOUTHWAY</t>
        </r>
      </text>
    </comment>
    <comment ref="H1943" authorId="0" shapeId="0" xr:uid="{F16FF9DC-2F1B-9D49-8A50-AC229297D06C}">
      <text>
        <r>
          <rPr>
            <sz val="10"/>
            <rFont val="SimSun"/>
            <charset val="134"/>
          </rPr>
          <t>11-4-25
1 PC 51980 MARLO
8-5-25
2 SETS 49389 JARVIS 
7-18-25
2 SETS OUT48822 OFFICE
OUT 2PCS 6.9.25 DR#77918 SPC
1-17-25
41826 1PC SALES JARVIS
4PC OUT1/13/25 JO41662 DALIA
10/20/2024	38660 4SETS SALESD
10/16/24
38524 2PCS SALES JARVIS
OUT 4PCS 10/05/24 DR#75434 SPC KUYA HACKET
09/27/24
37918 12PCS SALES MADAM JEN
07/24/24
36207 12PCS SALES MAM JEN
OUT 4PCS 07/18/24 DR#75149 SPC KUYA HACKET
OUT 4PCS 07/16/24 DR#75147 SPC KUYA HACKET
OUT 07/10/24 35855 2PCS SALES JARVIS
2PCS 2-14-24 31849 SALES</t>
        </r>
      </text>
    </comment>
    <comment ref="G1945" authorId="0" shapeId="0" xr:uid="{5825E725-8BFF-1045-8D73-3AC1D9A648DD}">
      <text>
        <r>
          <rPr>
            <sz val="10"/>
            <rFont val="SimSun"/>
            <charset val="134"/>
          </rPr>
          <t>IN 4SETS 03/15/24 SI#63605 SOUTHWAY
4SETS  1-17-24 SI#63043 SOUTHWAY</t>
        </r>
      </text>
    </comment>
    <comment ref="H1945" authorId="0" shapeId="0" xr:uid="{131316A8-8BAC-8E4A-8DA7-86D84E23F041}">
      <text>
        <r>
          <rPr>
            <sz val="10"/>
            <rFont val="SimSun"/>
            <charset val="134"/>
          </rPr>
          <t>OUT 2PCS 6.12.25 DR#77921 SPC
OUT 06/07/24 34943 4SET SALES  BEL
4SETS 2-12-24 31840 SALES</t>
        </r>
      </text>
    </comment>
    <comment ref="G1946" authorId="0" shapeId="0" xr:uid="{3FF58018-7439-1A4C-B160-CA29AB115215}">
      <text>
        <r>
          <rPr>
            <sz val="10"/>
            <rFont val="SimSun"/>
            <charset val="134"/>
          </rPr>
          <t>IN 12PCS 11.15.25 SI#0049047 SOUTHWAY</t>
        </r>
      </text>
    </comment>
    <comment ref="H1946" authorId="0" shapeId="0" xr:uid="{403D5008-D9CD-ED44-8538-F098FA88E774}">
      <text>
        <r>
          <rPr>
            <sz val="10"/>
            <rFont val="SimSun"/>
            <charset val="134"/>
          </rPr>
          <t>OUT 8PCS 11.18.25 DR#80021 SPC HACKET</t>
        </r>
      </text>
    </comment>
    <comment ref="G1947" authorId="0" shapeId="0" xr:uid="{1F1F224D-D3C4-0845-BF3F-89C70E726F96}">
      <text>
        <r>
          <rPr>
            <sz val="10"/>
            <rFont val="SimSun"/>
            <charset val="134"/>
          </rPr>
          <t xml:space="preserve">IN 4PCS 5.16.25 SI#65821 SOUTHWAY
</t>
        </r>
      </text>
    </comment>
    <comment ref="H1947" authorId="0" shapeId="0" xr:uid="{D7569C3D-F8AC-ED44-9248-1D17DCD4EF9D}">
      <text>
        <r>
          <rPr>
            <sz val="10"/>
            <rFont val="SimSun"/>
            <charset val="134"/>
          </rPr>
          <t>OUT 5.16.25 4PCS DR#77959 SPC ROI</t>
        </r>
      </text>
    </comment>
    <comment ref="G1948" authorId="0" shapeId="0" xr:uid="{067E6D13-0568-EC47-B38B-E31E3C97DC1B}">
      <text>
        <r>
          <rPr>
            <sz val="10"/>
            <rFont val="SimSun"/>
            <charset val="134"/>
          </rPr>
          <t>2pcs 10-12-23  southway</t>
        </r>
      </text>
    </comment>
    <comment ref="H1948" authorId="0" shapeId="0" xr:uid="{28931D4A-2C55-B042-A28E-1AC4E30CF5D7}">
      <text>
        <r>
          <rPr>
            <sz val="10"/>
            <rFont val="SimSun"/>
            <charset val="134"/>
          </rPr>
          <t>2PCS 10-12-23 STA CRUZ</t>
        </r>
      </text>
    </comment>
    <comment ref="G1950" authorId="0" shapeId="0" xr:uid="{1ECDEE31-6849-4645-B87F-2967519DCDAF}">
      <text>
        <r>
          <rPr>
            <sz val="10"/>
            <rFont val="SimSun"/>
            <charset val="134"/>
          </rPr>
          <t>IN 10SETS 7.19.25 DR#0047233 SOUTHWAY</t>
        </r>
      </text>
    </comment>
    <comment ref="H1950" authorId="0" shapeId="0" xr:uid="{55198F49-3BD7-D646-A966-E13E709FCD29}">
      <text>
        <r>
          <rPr>
            <sz val="10"/>
            <rFont val="SimSun"/>
            <charset val="134"/>
          </rPr>
          <t>OUT 10SETS 7.19.25 DR#78369 SPC HACKET</t>
        </r>
      </text>
    </comment>
    <comment ref="G1951" authorId="0" shapeId="0" xr:uid="{9627DBEF-A651-9446-B534-D85A64066605}">
      <text>
        <r>
          <rPr>
            <sz val="10"/>
            <rFont val="SimSun"/>
            <charset val="134"/>
          </rPr>
          <t>IN 2PCS 11.15.25 SI#0049047 SOUTHWAY</t>
        </r>
      </text>
    </comment>
    <comment ref="H1951" authorId="0" shapeId="0" xr:uid="{AD01B03B-AA1F-7247-81FD-CAC48A3E5554}">
      <text>
        <r>
          <rPr>
            <sz val="10"/>
            <rFont val="SimSun"/>
            <charset val="134"/>
          </rPr>
          <t>11.16.25
52091 2PCS ALY</t>
        </r>
      </text>
    </comment>
    <comment ref="G1953" authorId="0" shapeId="0" xr:uid="{083512D3-27A8-6943-8B9F-40E4C56CAD08}">
      <text>
        <r>
          <rPr>
            <sz val="10"/>
            <rFont val="SimSun"/>
            <charset val="134"/>
          </rPr>
          <t>IN 2SETS 8.16.25 DR#79024 SPC</t>
        </r>
      </text>
    </comment>
    <comment ref="H1953" authorId="0" shapeId="0" xr:uid="{AC995934-FCB4-054B-AF62-B9D6B8F168B4}">
      <text>
        <r>
          <rPr>
            <sz val="10"/>
            <rFont val="SimSun"/>
            <charset val="134"/>
          </rPr>
          <t>8-18-25
2 PCS 49801 MARLO</t>
        </r>
      </text>
    </comment>
    <comment ref="G1960" authorId="0" shapeId="0" xr:uid="{D0C50FE9-DF09-2C4E-AAE7-70F2B038DE1F}">
      <text>
        <r>
          <rPr>
            <sz val="10"/>
            <rFont val="SimSun"/>
            <charset val="134"/>
          </rPr>
          <t>IN 2PCS 02.11.26 DR80739-40 SPC HACKKET
IN 2PCS 01.12.26 DR79962 SPC HACKET
IN 4PCS 1-22-25 DR#76899 SPC KUYA EMMAN
IN 2PCS 11/22/24 DR#75718 SPC</t>
        </r>
      </text>
    </comment>
    <comment ref="H1960" authorId="0" shapeId="0" xr:uid="{A7A7784B-6973-004F-816F-0FD1877D1CCA}">
      <text>
        <r>
          <rPr>
            <sz val="10"/>
            <rFont val="SimSun"/>
            <charset val="134"/>
          </rPr>
          <t>02.06.26
54951 2PCS JARVIS
OUT 2PCS 6.21.25 DR#78331 SPC HACKET
OUT 2PCS 4.22.25 DR#77608 SPC NHEL
2PCS 11/22/24 JO39935 DALIA</t>
        </r>
      </text>
    </comment>
    <comment ref="G1961" authorId="0" shapeId="0" xr:uid="{F5D0B63B-EC1B-624A-9C29-3AF9F1672B5A}">
      <text>
        <r>
          <rPr>
            <sz val="10"/>
            <rFont val="SimSun"/>
            <charset val="134"/>
          </rPr>
          <t>IN 2PCS 01.12.26 DR79962 SPC HACKET
IN 4PCS 08/22/24 DR#76553 SPC KUYA EMMAN</t>
        </r>
      </text>
    </comment>
    <comment ref="H1961" authorId="0" shapeId="0" xr:uid="{8331EB75-A25B-C642-8F5B-39F552A0D168}">
      <text>
        <r>
          <rPr>
            <sz val="10"/>
            <rFont val="SimSun"/>
            <charset val="134"/>
          </rPr>
          <t>OUT 2PCS 9.3.25 DR#78446 STC SERVICE
12-28-2024 SALES
41157 2PCS ROSE</t>
        </r>
      </text>
    </comment>
    <comment ref="G1962" authorId="0" shapeId="0" xr:uid="{5E0A33F5-70E9-984F-B036-30F81D62CFA3}">
      <text>
        <r>
          <rPr>
            <sz val="10"/>
            <rFont val="SimSun"/>
            <charset val="134"/>
          </rPr>
          <t>IN 4PCS 10.8.25 DR#78720 LIPA A
IN 2PCS 8.11.25 DR#79006-07 SPC EMMAN
IN 4PCS 9.7.25 DR#78855 SPC BRY
4SETS 5.19.25 DR#77739 SPC 
4SET 12-14-22 ST007382 SPC</t>
        </r>
      </text>
    </comment>
    <comment ref="H1962" authorId="0" shapeId="0" xr:uid="{8566B212-48A0-8442-995B-4A591B8E6CCB}">
      <text>
        <r>
          <rPr>
            <sz val="10"/>
            <rFont val="SimSun"/>
            <charset val="134"/>
          </rPr>
          <t>OUT 1PC 11.18.25 DR#80020 BIÑAN
OUT 4PCS 10.14.25 DR#79757 SPC RONNIE
8.11.25
49557 2PCS JARVIS
OUT 4PCS 6.21.25 DR#78332 SPC
2SETS 4-29-23 STF#2435 SPC
2SETS 2-7-23 JO21250 ALY</t>
        </r>
      </text>
    </comment>
    <comment ref="G1963" authorId="0" shapeId="0" xr:uid="{4BF8ADC8-9F17-9744-97BC-B98002D5849B}">
      <text>
        <r>
          <rPr>
            <sz val="10"/>
            <rFont val="SimSun"/>
            <charset val="134"/>
          </rPr>
          <t>IN 4PCS 9.7.25 DR#78855 SPC BRY
IN 4PCS 5.23.25 DR#77749 SPC HACKET</t>
        </r>
      </text>
    </comment>
    <comment ref="H1963" authorId="0" shapeId="0" xr:uid="{8004A210-B1C2-1046-9524-977F9048099A}">
      <text>
        <r>
          <rPr>
            <sz val="10"/>
            <rFont val="SimSun"/>
            <charset val="134"/>
          </rPr>
          <t xml:space="preserve">OUT 4PCS 6.21.25 DR#78332 SPC
</t>
        </r>
      </text>
    </comment>
    <comment ref="G1964" authorId="0" shapeId="0" xr:uid="{9E8BD1A3-164B-C644-8299-50071F6505AC}">
      <text>
        <r>
          <rPr>
            <sz val="10"/>
            <rFont val="SimSun"/>
            <charset val="134"/>
          </rPr>
          <t>IN 2PCS 01.12.26 DR79962 SPC HACKET
IN 4PCS 11/23/24 DR#75723 SPC
2PCS 9-26-22 STF#6990 SPC</t>
        </r>
      </text>
    </comment>
    <comment ref="H1964" authorId="0" shapeId="0" xr:uid="{5586F319-7E5E-7044-882D-ACFAC0A712BC}">
      <text>
        <r>
          <rPr>
            <sz val="10"/>
            <rFont val="SimSun"/>
            <charset val="134"/>
          </rPr>
          <t>OUT 4PCS 2.18.25 DR#77107 SPC KUYA MIKE
2SETS 9-26-22 JO#18323 JOJO</t>
        </r>
      </text>
    </comment>
    <comment ref="G1965" authorId="0" shapeId="0" xr:uid="{2A41BA10-7F78-E446-8E09-7FD7CEBB8343}">
      <text>
        <r>
          <rPr>
            <sz val="10"/>
            <rFont val="SimSun"/>
            <charset val="134"/>
          </rPr>
          <t>4SET 12-14-22 ST007382 SPC</t>
        </r>
      </text>
    </comment>
    <comment ref="H1965" authorId="0" shapeId="0" xr:uid="{2FB4637A-5CA8-DE49-BEAB-31C8E6C71387}">
      <text>
        <r>
          <rPr>
            <sz val="10"/>
            <rFont val="SimSun"/>
            <charset val="134"/>
          </rPr>
          <t>2SETS 7-10-23 STF#2549 LIPA A
2SETS 5-15-23 JO#25313 MARLO</t>
        </r>
      </text>
    </comment>
    <comment ref="G1966" authorId="0" shapeId="0" xr:uid="{ECE434F5-36FE-0543-80A2-74433B27342B}">
      <text>
        <r>
          <rPr>
            <sz val="10"/>
            <rFont val="SimSun"/>
            <charset val="134"/>
          </rPr>
          <t>6PCS 12-16-22 ST007406 SPC</t>
        </r>
      </text>
    </comment>
    <comment ref="H1966" authorId="0" shapeId="0" xr:uid="{B1A6E89D-D3C6-EF49-85A5-3C5CB422284A}">
      <text>
        <r>
          <rPr>
            <sz val="10"/>
            <rFont val="SimSun"/>
            <charset val="134"/>
          </rPr>
          <t>6SETS  12-17-22 JO#200587 JOJO</t>
        </r>
      </text>
    </comment>
    <comment ref="G1971" authorId="0" shapeId="0" xr:uid="{03930737-E22A-B643-8BF1-A77DAB5ADC9A}">
      <text>
        <r>
          <rPr>
            <sz val="10"/>
            <rFont val="SimSun"/>
            <charset val="134"/>
          </rPr>
          <t>6PCS 11-13-23 DR#39993 SOUTHWAY</t>
        </r>
      </text>
    </comment>
    <comment ref="G1972" authorId="0" shapeId="0" xr:uid="{5B1FFDAA-1D1B-EF45-A32C-EA2E75E61E22}">
      <text>
        <r>
          <rPr>
            <sz val="10"/>
            <rFont val="SimSun"/>
            <charset val="134"/>
          </rPr>
          <t>4PCS 1-27-24 SI#63099 SOUTHWAY</t>
        </r>
      </text>
    </comment>
    <comment ref="G1973" authorId="0" shapeId="0" xr:uid="{D85B7FF4-DFB0-574C-93DE-5E78C37F6344}">
      <text>
        <r>
          <rPr>
            <sz val="10"/>
            <rFont val="SimSun"/>
            <charset val="134"/>
          </rPr>
          <t>IN 8PCS 2/26/24 DR# 74838 SPC</t>
        </r>
      </text>
    </comment>
    <comment ref="H1973" authorId="0" shapeId="0" xr:uid="{A7401377-DD73-3447-8D8A-253E5CECF775}">
      <text>
        <r>
          <rPr>
            <sz val="10"/>
            <rFont val="SimSun"/>
            <charset val="134"/>
          </rPr>
          <t>OUT 4PCS 04/03/24 DR#74753 SPC KUYA EMMAN
OUT 4PCS03/20/19 STC</t>
        </r>
      </text>
    </comment>
    <comment ref="G1979" authorId="0" shapeId="0" xr:uid="{DF3CEED5-199B-594A-8C45-BD7DB6AE168F}">
      <text>
        <r>
          <rPr>
            <sz val="10"/>
            <rFont val="SimSun"/>
            <charset val="134"/>
          </rPr>
          <t>IN 04-11-2022 ST006194 SPC
IN 12-9-21 STF#1651 4SETS A</t>
        </r>
      </text>
    </comment>
    <comment ref="H1979" authorId="0" shapeId="0" xr:uid="{2D1949A0-B58D-284D-A12C-8AF4F95612D3}">
      <text>
        <r>
          <rPr>
            <sz val="10"/>
            <rFont val="SimSun"/>
            <charset val="134"/>
          </rPr>
          <t>2PC 04-22-2022 ST001744 SPC
2PC 01-27-2022 JO13182 JABEZ</t>
        </r>
      </text>
    </comment>
    <comment ref="G1980" authorId="0" shapeId="0" xr:uid="{7CA5A517-0D91-E046-A9AE-E0BFFE623C15}">
      <text>
        <r>
          <rPr>
            <sz val="10"/>
            <rFont val="SimSun"/>
            <charset val="134"/>
          </rPr>
          <t>6pcs 10-8-22 stf#7070 spc</t>
        </r>
      </text>
    </comment>
    <comment ref="H1980" authorId="0" shapeId="0" xr:uid="{4ED03623-D72A-5346-ABCB-8C976564E385}">
      <text>
        <r>
          <rPr>
            <sz val="10"/>
            <rFont val="SimSun"/>
            <charset val="134"/>
          </rPr>
          <t>OUT 10-8-22 JO#18602 1PC SALES</t>
        </r>
      </text>
    </comment>
    <comment ref="G1981" authorId="0" shapeId="0" xr:uid="{E8EF1308-874B-5942-BF38-1AF5C45AB658}">
      <text>
        <r>
          <rPr>
            <sz val="10"/>
            <rFont val="SimSun"/>
            <charset val="134"/>
          </rPr>
          <t xml:space="preserve">
4PCS  9-23-22 STF#6968 SPC
2PCS 9-15-22 STF#6925 SPC</t>
        </r>
      </text>
    </comment>
    <comment ref="H1981" authorId="0" shapeId="0" xr:uid="{F6A84690-3C6A-3746-BC36-F5403120D272}">
      <text>
        <r>
          <rPr>
            <sz val="10"/>
            <rFont val="SimSun"/>
            <charset val="134"/>
          </rPr>
          <t>1PC 10-5-22 JO#18601 JOJO
3pcs 9-23-22 JO#18130 JOJO
2PCS 9-14-22 JO#18121 JOJO</t>
        </r>
      </text>
    </comment>
    <comment ref="G1983" authorId="0" shapeId="0" xr:uid="{D43632E2-109E-0445-AB26-F786BB521E70}">
      <text>
        <r>
          <rPr>
            <sz val="10"/>
            <rFont val="SimSun"/>
            <charset val="134"/>
          </rPr>
          <t>10PCS 8-19-23 SPC</t>
        </r>
      </text>
    </comment>
    <comment ref="H1983" authorId="0" shapeId="0" xr:uid="{44E8DFAC-6B8F-A941-978B-E211256EE31C}">
      <text>
        <r>
          <rPr>
            <sz val="10"/>
            <rFont val="SimSun"/>
            <charset val="134"/>
          </rPr>
          <t>10PCS 8-19-23 JO#27569 OFFICE</t>
        </r>
      </text>
    </comment>
    <comment ref="G1986" authorId="0" shapeId="0" xr:uid="{0C2C3967-864E-CF47-B4E8-E0D565BB9D67}">
      <text>
        <r>
          <rPr>
            <sz val="10"/>
            <rFont val="SimSun"/>
            <charset val="134"/>
          </rPr>
          <t>2PCS 10-17-22 STF#7111 SPC
4PCS 2-22-22 STF#5954 SPC</t>
        </r>
      </text>
    </comment>
    <comment ref="H1986" authorId="0" shapeId="0" xr:uid="{AB419973-267A-9040-BCE2-AFC9A46E8576}">
      <text>
        <r>
          <rPr>
            <sz val="10"/>
            <rFont val="SimSun"/>
            <charset val="134"/>
          </rPr>
          <t>2PCS 10-15-22 JO# JOJO
4PC 04-22-2022 ST001744 SPC</t>
        </r>
      </text>
    </comment>
    <comment ref="G1987" authorId="0" shapeId="0" xr:uid="{26D9F4F4-8707-3B44-A78F-23675AE5FA4E}">
      <text>
        <r>
          <rPr>
            <sz val="10"/>
            <rFont val="SimSun"/>
            <charset val="134"/>
          </rPr>
          <t>2SET 12-14-22 ST007382 SPC
2SETS 12-8-22 STF#7354 SPC</t>
        </r>
      </text>
    </comment>
    <comment ref="H1987" authorId="0" shapeId="0" xr:uid="{8CE675CB-4A4D-D24E-9484-3EC81A90DA6C}">
      <text>
        <r>
          <rPr>
            <sz val="10"/>
            <rFont val="SimSun"/>
            <charset val="134"/>
          </rPr>
          <t>2PCS 2-17-23 STF#2291 SPC
2SET 12-9-22 JO20009 MARIBEL</t>
        </r>
      </text>
    </comment>
    <comment ref="G1988" authorId="0" shapeId="0" xr:uid="{681A95E4-B1A3-1E41-8D08-0627628AB6B0}">
      <text>
        <r>
          <rPr>
            <sz val="10"/>
            <rFont val="SimSun"/>
            <charset val="134"/>
          </rPr>
          <t>2PC 12-14-22 ST007382 SPC</t>
        </r>
      </text>
    </comment>
    <comment ref="H1988" authorId="0" shapeId="0" xr:uid="{93A0B1A5-D5A3-854E-80FC-A2483173D0F0}">
      <text>
        <r>
          <rPr>
            <sz val="10"/>
            <rFont val="SimSun"/>
            <charset val="134"/>
          </rPr>
          <t>2PCS 1-27-23 stf#2246 SPC</t>
        </r>
      </text>
    </comment>
    <comment ref="G1990" authorId="0" shapeId="0" xr:uid="{2B232E69-B521-264D-AE65-02DC1F77C179}">
      <text>
        <r>
          <rPr>
            <sz val="10"/>
            <rFont val="SimSun"/>
            <charset val="134"/>
          </rPr>
          <t>2SETS 1-8-22 STF#5750 SPC</t>
        </r>
      </text>
    </comment>
    <comment ref="G1992" authorId="0" shapeId="0" xr:uid="{0B43131C-F11C-C444-97DB-F9F4845D882A}">
      <text>
        <r>
          <rPr>
            <sz val="10"/>
            <rFont val="SimSun"/>
            <charset val="134"/>
          </rPr>
          <t>4SET 12-14-22 ST007382 SPC</t>
        </r>
      </text>
    </comment>
    <comment ref="H1992" authorId="0" shapeId="0" xr:uid="{3FBBC4D1-5361-0F4E-91E8-A3E7D797CFB9}">
      <text>
        <r>
          <rPr>
            <sz val="10"/>
            <rFont val="SimSun"/>
            <charset val="134"/>
          </rPr>
          <t>4SETS 6-26-23 STF#251 SPC</t>
        </r>
      </text>
    </comment>
    <comment ref="G1998" authorId="0" shapeId="0" xr:uid="{C7AF65BE-20F1-6A4E-84F7-F01358028C6A}">
      <text>
        <r>
          <rPr>
            <sz val="10"/>
            <rFont val="SimSun"/>
            <charset val="134"/>
          </rPr>
          <t>2PCS 7-31-23 COMETS</t>
        </r>
      </text>
    </comment>
    <comment ref="H1998" authorId="0" shapeId="0" xr:uid="{6A1BA012-0A5D-EE49-9EF4-69556C838234}">
      <text>
        <r>
          <rPr>
            <sz val="10"/>
            <rFont val="SimSun"/>
            <charset val="134"/>
          </rPr>
          <t>2SETS 7-31-23 JO#27077 MARLO</t>
        </r>
      </text>
    </comment>
    <comment ref="G1999" authorId="0" shapeId="0" xr:uid="{093417A4-34FD-174A-85B7-2A363C6AD048}">
      <text>
        <r>
          <rPr>
            <sz val="10"/>
            <rFont val="SimSun"/>
            <charset val="134"/>
          </rPr>
          <t>IN 2PCS 02.03.26 DR39797 SVB MIKE
IN 2SETS 8.20.25 DR#10241 GUDA
IN 2SETS 8.20.25 DR#37659 SVB
IN 2PCS 6.23.25 DR#37026 SVB MIKE
IN 2PCS 11/06/24 DR#76586 SPC 
2sets 10-17-23 sheehan
4SETS 9-18-23 SHEEHAN
9SETS 8-30-23 DR#29102 SVB
2SETS 8-22-23 DR#74152 S[PC
4SET 7-14-23 DR#27482 SPC
4SETS 6-26-23 SHEEHAN
2SETS 6-26-23 SPC SHEEHAN
8SETS 2-18-23 STF#7705 SPC SHEEHAN
2SETS 1-18-23 STF#7525 SHEEHAN
4SETS 1-9-23 STf#7471 SPC
2SETS 12-16-22 STF#7389 SPC
2sets 9-30-22 stf#7030 spc sheehan
4SETS 9-9-22 STF#6903 SPC
5,468</t>
        </r>
      </text>
    </comment>
    <comment ref="H1999" authorId="0" shapeId="0" xr:uid="{0B5C4ABD-F5ED-5343-AA71-A3BAFE2F083F}">
      <text>
        <r>
          <rPr>
            <sz val="10"/>
            <rFont val="SimSun"/>
            <charset val="134"/>
          </rPr>
          <t>02.03.26
54766 2PCS ALY
8-20-25
4 SETS 49851 JARVIS
6.23.25
2PCS JARVIS
OUT 2PCS 11/6/2024
JO39309-39308 JARVIS SALES
2SETS 10-17-23 JO#28869 ROSE
2SETS 9-25-23 JO#28416 JARVIS
2SETS 9-18-23 JO#28263 ROSE
5SETS 8-30-23 JO#27767 ROSE
4SETS 8-30-23 JO#27768 ROSE
2SETS 8-22-23 JO#27672 ROSE
4SETS 8-14-23 JO#27482 JARVCIS
2SETS 7-14-23 JO#26715 JARVIS
6SETS 6-26-23 JO#26302 OFFICE
8SETS 2-20-23 JO#21637 JOJO
2SETS 1-23-23 JO#21164 JARVIS
4SETS 1-9-23 JO#20600 JOJO
2SETS 12-16-22 JO#200588 JOJO
2sets 9-30-22 JO#18445 JARVIS
2sets 9-10-22 JO#17938 JARVIS
2sets 9-10-22 JO#17939 JARVIS</t>
        </r>
      </text>
    </comment>
    <comment ref="G2000" authorId="0" shapeId="0" xr:uid="{68FE309C-F23C-4B40-811E-E2890247FC77}">
      <text>
        <r>
          <rPr>
            <sz val="10"/>
            <rFont val="SimSun"/>
            <charset val="134"/>
          </rPr>
          <t>4SETS 12-5-23 SEHEEHAN
3SETS 2-24-23 COMETS
2SETS  7-28-22 STF#6699 SPC</t>
        </r>
      </text>
    </comment>
    <comment ref="H2000" authorId="0" shapeId="0" xr:uid="{B87B7998-4854-214D-B626-106C02441102}">
      <text>
        <r>
          <rPr>
            <sz val="10"/>
            <rFont val="SimSun"/>
            <charset val="134"/>
          </rPr>
          <t>4SETS 12-5-23 JO#29870 ROSE
3SETS 2-24-23 JO#21929 BEL
7-28-22 JO16928 2SET JARVIS</t>
        </r>
      </text>
    </comment>
    <comment ref="G2001" authorId="0" shapeId="0" xr:uid="{0B201E36-69E0-7145-8E8B-1E2F43CA27F0}">
      <text>
        <r>
          <rPr>
            <sz val="10"/>
            <rFont val="SimSun"/>
            <charset val="134"/>
          </rPr>
          <t>IN 2SETS 01.10.26 DR#89396 SVB (6,600)
IN 4PCS 12.9.25 DR#38952 SVB (6,600)
IN 3PCS 10.2.25 DR#38127 SVB
IN 1PC 10.2.25 DR#5355 GUDA
IN 2SETS 12-14-24 DR#1802 COMETZ
IN 2PCS 11/19/24 DR#33899 SVB
IN 4SET 09/07/24 DR#33184 SVB
2sets 12-7-23 DR#74516 SPC
4SETS 11-28-23 DR# SPC
2SETS 6-19-23 SPC
4PCS 10-25-22 STF#7155 SPC</t>
        </r>
      </text>
    </comment>
    <comment ref="H2001" authorId="0" shapeId="0" xr:uid="{FBF4F9FD-8432-4442-8CFC-C7F8BF1B42D8}">
      <text>
        <r>
          <rPr>
            <sz val="10"/>
            <rFont val="SimSun"/>
            <charset val="134"/>
          </rPr>
          <t>1-10-26
2 SETS 54052 ALY
12-9-25
4 SETS 53024 ROSE
10-2-25
4 SETS 50858 ROSE
OUT 2PCS 12/14/24 JO40693 ROSE
OUT 2PCS 11/10/24 39562 ROSE
09/07/24
37441 4SET SALES BEL
2SETS 12-11-23 JO#30071 JARVIS
4SETS 11-28-23 JO#29831 JARVIS
1SET 9-7-23 DR#72259 SPC
1SET 9-7-23 STA CRUZ
4SETS 10-27-22 JO#19075 JARVIS</t>
        </r>
      </text>
    </comment>
    <comment ref="G2002" authorId="0" shapeId="0" xr:uid="{836BAF7C-6D3E-5843-8207-1C22AD2ED0F2}">
      <text>
        <r>
          <rPr>
            <sz val="10"/>
            <rFont val="SimSun"/>
            <charset val="134"/>
          </rPr>
          <t>1SET 7-23-22 STF#6677 SPC 5,713
1SET 7-15-22 STF#6643 SPC SHEEHAN</t>
        </r>
      </text>
    </comment>
    <comment ref="H2002" authorId="0" shapeId="0" xr:uid="{201E62DA-2856-4540-AA8B-7B5C71E9C1C7}">
      <text>
        <r>
          <rPr>
            <sz val="10"/>
            <rFont val="SimSun"/>
            <charset val="134"/>
          </rPr>
          <t>1SET  7-23-22 JO#16755 SALES
1set 7-16-22 jo# aly</t>
        </r>
      </text>
    </comment>
    <comment ref="G2003" authorId="0" shapeId="0" xr:uid="{9D7D78E3-57EF-4547-97EC-B31138AE1198}">
      <text>
        <r>
          <rPr>
            <sz val="10"/>
            <rFont val="SimSun"/>
            <charset val="134"/>
          </rPr>
          <t>IN 2SETS 8.13.25 DR#37619 SVB (5,850)
IN 2SETS 06/13/24 DR#32376 SVB
IN 4SETS 06/13/24 DR#32374 SVB
2SETS 2-4-23 STF#7621 SHEEHAN</t>
        </r>
      </text>
    </comment>
    <comment ref="H2003" authorId="0" shapeId="0" xr:uid="{5A9D6B3D-5EF7-FC4C-B547-B7ADAD7D60F4}">
      <text>
        <r>
          <rPr>
            <sz val="10"/>
            <rFont val="SimSun"/>
            <charset val="134"/>
          </rPr>
          <t>8-13-25
2 SETS OUT 49651 JARVIS
OUT 06/13/24 35092 6SETS SALES JARVIS 
2SETS 2-3-23 JO#21247 JOJO</t>
        </r>
      </text>
    </comment>
    <comment ref="G2005" authorId="0" shapeId="0" xr:uid="{20E70ADF-EC86-3242-BE54-67FDB6653066}">
      <text>
        <r>
          <rPr>
            <sz val="10"/>
            <rFont val="SimSun"/>
            <charset val="134"/>
          </rPr>
          <t>IN 3PCS 6.18.25 DR#36955 SVB 6,250
IN 1SET 6.18.25 DR#78800 SPC HACKET
6SETS 7-15-23 SPC SHEEHAN
4SETS 5-5-23 STF#8078 SHEEHAN
2SETS  4-5-23 STF#7966 SHEEHAN
4SETS 2-27-23 COMETS
2SETS 12-20-22 STF#7413 SPC
2SETS 11-15-22 STF#7238 SPC
4SETS 9-14-22 STF#6921 SPC
1SET 7-23-22 STF#6677 SPC 5,713
1SET 7-15-22 STF#6643 SPC SHEEHAN</t>
        </r>
      </text>
    </comment>
    <comment ref="H2005" authorId="0" shapeId="0" xr:uid="{A34E8344-E53E-234C-B4ED-F0F8404CDD1E}">
      <text>
        <r>
          <rPr>
            <sz val="10"/>
            <rFont val="SimSun"/>
            <charset val="134"/>
          </rPr>
          <t>6.19.25
47678 4PCS ROSE
6SETS 7-15-23 JO#26718 JARVIS
4SETS 2-27-23 JO#21990 JARVIS
2sets 12-20-22 JO#200590 JOJO
2SETS 11-15-22 JO#19247 JOJO
4SETS 9-14-22 JO#18080 JARVIS
1SET  7-23-22 JO#16755 SALES
1set 7-16-22 jo# aly</t>
        </r>
      </text>
    </comment>
    <comment ref="G2006" authorId="0" shapeId="0" xr:uid="{CAA8EC2A-84C0-514D-A298-3FC9A43ECE95}">
      <text>
        <r>
          <rPr>
            <sz val="10"/>
            <rFont val="SimSun"/>
            <charset val="134"/>
          </rPr>
          <t>IN 2SETS 7.29.25 DR#37509 SVB (6,800)
4SETS 12-5-23 SHEEHAN</t>
        </r>
      </text>
    </comment>
    <comment ref="H2006" authorId="0" shapeId="0" xr:uid="{ECBF4E8E-E039-C545-9D04-03E0F5AD237F}">
      <text>
        <r>
          <rPr>
            <sz val="10"/>
            <rFont val="SimSun"/>
            <charset val="134"/>
          </rPr>
          <t xml:space="preserve">7.29.25
49124 1PCS ALY
49123 1PC ALY
4SETS 12-5-23 JO#29870 ROSE </t>
        </r>
      </text>
    </comment>
    <comment ref="G2007" authorId="0" shapeId="0" xr:uid="{F1BDC0E1-4233-6945-AF76-720BDEC9CFBD}">
      <text>
        <r>
          <rPr>
            <sz val="10"/>
            <rFont val="SimSun"/>
            <charset val="134"/>
          </rPr>
          <t>IN 1PC 9.12.25 DR#79091 SPC FORM SVB (8,250)
IN 4PCS 6.18.25 DR#36955 SVB 8,000
IN 2PCS 10/21/24 DR#33699S SVB
IN 4PCS 03/14/24 DR# SPC
4PCS SVB 03/12/24
1PC 10-10-22 STF#7080 SPC
1PC 10-7-22 STF#7059 SPC</t>
        </r>
      </text>
    </comment>
    <comment ref="H2007" authorId="0" shapeId="0" xr:uid="{B2C05AD0-967C-1C4B-9019-FC9F9A7E0A56}">
      <text>
        <r>
          <rPr>
            <sz val="10"/>
            <rFont val="SimSun"/>
            <charset val="134"/>
          </rPr>
          <t xml:space="preserve">9-12-25
1 PC 50458 MARLO (SBB)
6.18.25
47664 4PCS JARVIS
10/22/24 37829 2PCS ROSE
OUT 03/14/24 4SETS SALES 32712
OUT 03/12/24 4SETS SALES 32610 LEN
1SET SHEEHAN
10-10-22 JO#18603
1SET </t>
        </r>
      </text>
    </comment>
    <comment ref="G2008" authorId="0" shapeId="0" xr:uid="{AD90353E-A2EF-7443-8B76-9C99473BB426}">
      <text>
        <r>
          <rPr>
            <sz val="10"/>
            <rFont val="SimSun"/>
            <charset val="134"/>
          </rPr>
          <t>IN 4PCS 10/21/24 DR#33699S SVB</t>
        </r>
      </text>
    </comment>
    <comment ref="H2008" authorId="0" shapeId="0" xr:uid="{A771CEA3-E65F-0049-AE5E-FF5BE9117E3E}">
      <text>
        <r>
          <rPr>
            <sz val="10"/>
            <rFont val="SimSun"/>
            <charset val="134"/>
          </rPr>
          <t>10/22/24 37829 2PCS ROSE</t>
        </r>
      </text>
    </comment>
    <comment ref="G2010" authorId="0" shapeId="0" xr:uid="{EDE56D2B-12CB-4B40-80A0-EDBD6E4F5E2F}">
      <text>
        <r>
          <rPr>
            <sz val="10"/>
            <rFont val="SimSun"/>
            <charset val="134"/>
          </rPr>
          <t xml:space="preserve">8SETS 5-6-23 SHEEHAN
6SETS 2-18-23 STF#7705 SPC SHEEHAN
2SETS 2-4-23 STF#7621 SHEEHAN </t>
        </r>
      </text>
    </comment>
    <comment ref="H2010" authorId="0" shapeId="0" xr:uid="{526CCFB1-D65B-954A-9949-DDDF6D97441D}">
      <text>
        <r>
          <rPr>
            <sz val="10"/>
            <rFont val="SimSun"/>
            <charset val="134"/>
          </rPr>
          <t>8SETS 5-6-23 JO#25092 JOJO
6SETS 2-20-23 JO#21637 JOJO
2SETS 2-3-23 JO#21247 JOJO</t>
        </r>
      </text>
    </comment>
    <comment ref="G2013" authorId="0" shapeId="0" xr:uid="{BAAB4866-DDFA-7F49-B0C5-2A02ABB6A734}">
      <text>
        <r>
          <rPr>
            <sz val="10"/>
            <rFont val="SimSun"/>
            <charset val="134"/>
          </rPr>
          <t>IN 1PCS 11/06/24 DR#76586 SPC
6SETS 03/23/24 DR#74625 SPC
6SETS 11-22-23 DR# SPC</t>
        </r>
      </text>
    </comment>
    <comment ref="H2013" authorId="0" shapeId="0" xr:uid="{DC91E9CA-5E34-F543-8DC2-05CF260E0F55}">
      <text>
        <r>
          <rPr>
            <sz val="10"/>
            <rFont val="SimSun"/>
            <charset val="134"/>
          </rPr>
          <t>OUT 1PC 11/6/2024
JO39303 SALES JARVIS
OUT 03/23/24 32942 6SET SALES ROSE
6SETS 11-22-23 JO#29702 ROSE</t>
        </r>
      </text>
    </comment>
    <comment ref="H2016" authorId="0" shapeId="0" xr:uid="{75C84E65-AA12-9D4D-A61F-1F7405F28164}">
      <text>
        <r>
          <rPr>
            <sz val="10"/>
            <rFont val="SimSun"/>
            <charset val="134"/>
          </rPr>
          <t>2PCS 11-25-23 JO#29726 JARVIS</t>
        </r>
      </text>
    </comment>
    <comment ref="G2017" authorId="0" shapeId="0" xr:uid="{59C4B526-F972-D14D-AC65-12ADE715B5C5}">
      <text>
        <r>
          <rPr>
            <sz val="10"/>
            <rFont val="SimSun"/>
            <charset val="134"/>
          </rPr>
          <t>IN 2PCS 09/28/24 DR#76614 SPC</t>
        </r>
      </text>
    </comment>
    <comment ref="H2017" authorId="0" shapeId="0" xr:uid="{840E1F53-CFFE-5040-88DE-CE66831A346D}">
      <text>
        <r>
          <rPr>
            <sz val="10"/>
            <rFont val="SimSun"/>
            <charset val="134"/>
          </rPr>
          <t xml:space="preserve">09/28/24
38031 2PCS SALES ROSE
</t>
        </r>
      </text>
    </comment>
    <comment ref="G2021" authorId="0" shapeId="0" xr:uid="{BEEC816D-A652-6D46-BDDE-F5F6FB42A0EA}">
      <text>
        <r>
          <rPr>
            <sz val="10"/>
            <rFont val="SimSun"/>
            <charset val="134"/>
          </rPr>
          <t>3PCS 11-18-23 DR# SPC/SHEEHAN
6pcs 7-30-23 DR#74047 SPC</t>
        </r>
      </text>
    </comment>
    <comment ref="H2021" authorId="0" shapeId="0" xr:uid="{A1B8EFC4-A490-9F47-A604-432FDEC48EDA}">
      <text>
        <r>
          <rPr>
            <sz val="10"/>
            <rFont val="SimSun"/>
            <charset val="134"/>
          </rPr>
          <t>3PCS 11-18-23 JO#29601 JARVIS
6PCS 7-31-23 JO#27096 ROSE</t>
        </r>
      </text>
    </comment>
    <comment ref="G2022" authorId="0" shapeId="0" xr:uid="{805FFAF4-D56C-A246-A000-3F81A4FD1893}">
      <text>
        <r>
          <rPr>
            <sz val="10"/>
            <rFont val="SimSun"/>
            <charset val="134"/>
          </rPr>
          <t>IN 2PCS 4.25.25 DR#366968 SHEEHAN
IN 2PCS DR#77656 2PCS SPC
IN 2PCS 2.19.25 DR#77027 SPC
IN 2PCS 11/06/24 DR#76586 SPC
IN 2PCS 07/13/24 DR#75235 SPC KUYA HACKET
IN 2PCS 07/03/24 DR#0331087 SHEEHAN
IN 8PCS 05/14/24 DR#324110 SHEEHAN
2PCS  9-15-22 DEVONNE</t>
        </r>
      </text>
    </comment>
    <comment ref="H2022" authorId="0" shapeId="0" xr:uid="{4BC6411B-805E-2B45-92DE-869E64C4297C}">
      <text>
        <r>
          <rPr>
            <sz val="10"/>
            <rFont val="SimSun"/>
            <charset val="134"/>
          </rPr>
          <t>4-10-25
2 PCS OUT JO45191 JARVIS
2 PCS OUT 2-14-25 JO42913 JARVIS
OUT 2PCS 11/6/2024
JO39309-39308 JARVIS SALES
OUT 07/13/24 35954 2PCS SALES JARVIS
OUT 07/03/24 35617 1PCS SALES JARVIS 
OUT 07/03/24 35616 1PCS SALES JARVIS 
OUT 05/14/24 34248 4PCS SALES JARVIS
OUT 05/14/24 34247 4PCS SALES JARVIS
2PC 9-15-22 JO#18105 JARVIS</t>
        </r>
      </text>
    </comment>
    <comment ref="G2023" authorId="0" shapeId="0" xr:uid="{E5688A43-A39B-FF45-8834-38FFA3B5983B}">
      <text>
        <r>
          <rPr>
            <sz val="10"/>
            <rFont val="SimSun"/>
            <charset val="134"/>
          </rPr>
          <t>IN 1PC 12.12.25 DR#0400797 SHEEHAN (11,809)
IN 2PCS 05/14/24 DR#324110 SHEEHAN
1SET  9-9-22 STF#6904 SPC</t>
        </r>
      </text>
    </comment>
    <comment ref="H2023" authorId="0" shapeId="0" xr:uid="{435E2842-9F9B-A440-811E-5C0B8266BCCD}">
      <text>
        <r>
          <rPr>
            <sz val="10"/>
            <rFont val="SimSun"/>
            <charset val="134"/>
          </rPr>
          <t>12-12-25
1 PC 53166 JARVIS
OUT 05/14/24 34248 1PCS SALES JARVIS
OUT 05/14/24 34247 1PCS SALES
1PC 9-15-22 JO#18105 JARVIS</t>
        </r>
      </text>
    </comment>
    <comment ref="G2034" authorId="0" shapeId="0" xr:uid="{1733942C-A64A-6B4B-A522-250939F56ACB}">
      <text>
        <r>
          <rPr>
            <sz val="10"/>
            <rFont val="SimSun"/>
            <charset val="134"/>
          </rPr>
          <t xml:space="preserve">
2SETS 4-22-23 STF#998 STC
2SETS 3-21-23 STF#7876 SPC
2SETS 3-18-23 STF#7863 SPC
2SETS 2-27-23 STF#7754 SPC
2PC 1-5-23 STF#7454 SPC
3SETS 12-5-22 STf#7329 SPC
2PCS 12-2-22 STF#7317 SPC
3PCS  12-2-22 STF#7319 SPC
4SETS 11-4-22 STF#7195 SPC
4SETS 10-10-22 STF#7081 SPC
6SETS 10-10-22 STF#7085 SPC</t>
        </r>
      </text>
    </comment>
    <comment ref="H2034" authorId="0" shapeId="0" xr:uid="{3B9E3762-E542-A841-8A29-9E7A32EA22E5}">
      <text>
        <r>
          <rPr>
            <sz val="10"/>
            <rFont val="SimSun"/>
            <charset val="134"/>
          </rPr>
          <t>2SETS 4-22-23 JO#24784 ROSE
4SETS 3-21-23 JO#22720 ROSE
2SETS 3-17-23 JO#22678 ROSE
2SETS 2-7-23 JO#21250 JOJO
6SETS 12-5-22 JO#19656 JOJO
2SETS 12-2-22 JO#19655 JOJO
7SETS 11-8-22 STF#2060 SPC
4SETS 10-27-22 STF#2034 SPC
2SETS  10-12-22 JO#18605 JOJO</t>
        </r>
      </text>
    </comment>
    <comment ref="G2035" authorId="0" shapeId="0" xr:uid="{F652B9D5-8E8E-8A48-837B-79FB6FA32393}">
      <text>
        <r>
          <rPr>
            <sz val="10"/>
            <rFont val="SimSun"/>
            <charset val="134"/>
          </rPr>
          <t>2SETS 6-15-23 SPC</t>
        </r>
      </text>
    </comment>
    <comment ref="H2035" authorId="0" shapeId="0" xr:uid="{EF1A92D9-0E1A-F24A-986E-A4EBA1F0BD54}">
      <text>
        <r>
          <rPr>
            <sz val="10"/>
            <rFont val="SimSun"/>
            <charset val="134"/>
          </rPr>
          <t xml:space="preserve">2sets 6-15-23  JO#26065 SPC
</t>
        </r>
      </text>
    </comment>
    <comment ref="G2036" authorId="0" shapeId="0" xr:uid="{3200BAC7-959D-E945-93D5-D0BD2F4A4691}">
      <text>
        <r>
          <rPr>
            <sz val="10"/>
            <rFont val="SimSun"/>
            <charset val="134"/>
          </rPr>
          <t>1PC 4-25-23 STF#1001 STC
3PCS 4-25-23 STF#8040 SPC
2PCS 4-19-23 STF#8013 SPC
2PCS 3-16-23 STF#7855 SPC
4PCS  2-27-23 STF#7754 SPC
1pc 2-25-23 stf#7741 spc
4pcs 2-23-23 STF#7723 SPC
3PCS 12-27-22 STF#7429 SPC
3PC 12-14-22 ST007382 SPC
4SETS 12-7-22 STF#7345 SPC
5PCS 12-2-22 STF#7319 SPC
4PCS 10-21-22 STF#7134 SPC
4PCS 10-15-22 STF#7105 SPC</t>
        </r>
      </text>
    </comment>
    <comment ref="H2036" authorId="0" shapeId="0" xr:uid="{DA4B81A2-30A3-E74F-989C-5DAFFB637019}">
      <text>
        <r>
          <rPr>
            <sz val="10"/>
            <rFont val="SimSun"/>
            <charset val="134"/>
          </rPr>
          <t>4PCS 4-26-23 JO#24187 JOJO
2PCS 4-19-23 JO#24185 JOJO
2PCS 3-17-23 JO#22273 JOJO
2PCS 3-1-23 JO#21943 JOJO
2PCS 3-1-23 JO#22083 JARVIS
1PC  2-25-23 JO#21970  BEL
2PCS 2-24-23 JO#21941 JOJO
2PCS 2-23-23 JO#21942 JOJO
2PCS 1-4-23 JO#20593 JOJO
2SETS 12-21-22 JO#20299 JARVIS
2SET 12-16-22 JO20214 JARVIS
3SETS 12-14-22 JO#200582 JOJO
4SETS 12-6-22 STF#7345 JOJO
1PC 11-22-22 JO#19646 OFFICE
2SETS 11-8-22 JO#19243 JOJO
4PCS 11-8-22 STF#2060 SPC
1PC 10-26-22 JO#18955 1SET  JOJO</t>
        </r>
      </text>
    </comment>
    <comment ref="G2037" authorId="0" shapeId="0" xr:uid="{2E38E970-925E-C040-8CFC-FBACE92D3DC8}">
      <text>
        <r>
          <rPr>
            <sz val="10"/>
            <rFont val="SimSun"/>
            <charset val="134"/>
          </rPr>
          <t>4PCS 10-21-22 STF#7134 SPC
4PCS 10-15-22 STF#7105 SPC</t>
        </r>
      </text>
    </comment>
    <comment ref="H2037" authorId="0" shapeId="0" xr:uid="{5C4E8DBD-6A35-FD43-AA31-BCE416079EF2}">
      <text>
        <r>
          <rPr>
            <sz val="10"/>
            <rFont val="SimSun"/>
            <charset val="134"/>
          </rPr>
          <t>2PCS 12-9-23 DR#73962 SPC
2PCS 6-15-23 JO#26065 BEL
OUT 4PCS 4-27-23 STF#2430 SPC
2PCS 1-27-23 stf#2246 SPC
2PCS 11-23-22 JO#19653 JOJO</t>
        </r>
      </text>
    </comment>
    <comment ref="G2038" authorId="0" shapeId="0" xr:uid="{D6957C71-328D-AE43-A236-2CFE7CFDDA45}">
      <text>
        <r>
          <rPr>
            <sz val="10"/>
            <rFont val="SimSun"/>
            <charset val="134"/>
          </rPr>
          <t>4SETS 2-23-23 STF#7723 SPC
2SET 12-14-22 ST007382 SPC
2SETS 12-2-22 STF#7319 SPC</t>
        </r>
      </text>
    </comment>
    <comment ref="H2038" authorId="0" shapeId="0" xr:uid="{69E630C8-24CF-AE45-B23F-B9714B6CF450}">
      <text>
        <r>
          <rPr>
            <sz val="10"/>
            <rFont val="SimSun"/>
            <charset val="134"/>
          </rPr>
          <t>4SETS 4-29-23 STF#2435 SPC
OUT 4PCS 4-27-23 STF#2430 SPC</t>
        </r>
      </text>
    </comment>
    <comment ref="G2040" authorId="0" shapeId="0" xr:uid="{4F6C37C6-3EB5-A743-8626-144FD8936FF7}">
      <text>
        <r>
          <rPr>
            <sz val="10"/>
            <rFont val="SimSun"/>
            <charset val="134"/>
          </rPr>
          <t>2SETS 3-6-23 STF#7795 SPC
4SETS 2-16-23 STF#956 STC
4SETS 2-2-23 STF#7612 SPC
2SETS 1-26-23 STF#7570 SPC
4SET 12-14-22 ST007382 SPC
4PCS 12-2-22 STF#7319 SPC
4SETS 10-10-22 STF#7081 SPC
6SETS 10-10-22 STF#7085 SPC</t>
        </r>
      </text>
    </comment>
    <comment ref="H2040" authorId="0" shapeId="0" xr:uid="{176D8E14-3A1D-4745-8A92-4681DA7D27D7}">
      <text>
        <r>
          <rPr>
            <sz val="10"/>
            <rFont val="SimSun"/>
            <charset val="134"/>
          </rPr>
          <t>2SETS 3-6-23 JO#21945 JOJO
4SETS 2-16-23 JO#21635 JOJO
4SETS 2-2-23 JO#21245 JOJO
2SETS 1-25-23 JO#21241 JOJO
4SETS 1-9-23 JO#20598 JOJO
4SETS 12-7-22 JO#200581 JOJO
2SETS 10-19-22 JO#18609 JOJO
2SETS 10-12-22 JO#2013 SPC
4SETS 10-12-22 JO#18605 JOJO
2SETS 10-11-22 JO#18604 JOJO</t>
        </r>
      </text>
    </comment>
    <comment ref="G2041" authorId="0" shapeId="0" xr:uid="{937075D8-3272-9E4C-B55F-BCB6C1683631}">
      <text>
        <r>
          <rPr>
            <sz val="10"/>
            <rFont val="SimSun"/>
            <charset val="134"/>
          </rPr>
          <t>4PCS 10-10-22 STF#7081 SPC</t>
        </r>
      </text>
    </comment>
    <comment ref="H2041" authorId="0" shapeId="0" xr:uid="{7E858252-304A-DD43-A87F-342FF96CBF69}">
      <text>
        <r>
          <rPr>
            <sz val="10"/>
            <rFont val="SimSun"/>
            <charset val="134"/>
          </rPr>
          <t>2SETS 4-13-23 JO#24183 JOJO
2SETS 10-12-22 JO#2013 SPC
4SET 05-07-2022 ST001772 SPC</t>
        </r>
      </text>
    </comment>
    <comment ref="G2042" authorId="0" shapeId="0" xr:uid="{79230FAA-9C76-8F4F-A920-DD9D9BF01B28}">
      <text>
        <r>
          <rPr>
            <sz val="10"/>
            <rFont val="SimSun"/>
            <charset val="134"/>
          </rPr>
          <t>2SETS 7-10-23 STC
4SETS 10-10-22 STF#7081 SPC</t>
        </r>
      </text>
    </comment>
    <comment ref="H2042" authorId="0" shapeId="0" xr:uid="{7E32C60E-9237-B64D-8102-977A0D961A6D}">
      <text>
        <r>
          <rPr>
            <sz val="10"/>
            <rFont val="SimSun"/>
            <charset val="134"/>
          </rPr>
          <t>2SETS 7-10-23 JO#26661 BEL
2sets 1-8-23 JO#20738 BEL
2SETS 10-12-22 JO#2013 SPC</t>
        </r>
      </text>
    </comment>
    <comment ref="G2043" authorId="0" shapeId="0" xr:uid="{E7ACF36B-042D-DF4C-A2F3-73AA03247FF1}">
      <text>
        <r>
          <rPr>
            <sz val="10"/>
            <rFont val="SimSun"/>
            <charset val="134"/>
          </rPr>
          <t>4SETS 10-10-22 STF#7081 SPC</t>
        </r>
      </text>
    </comment>
    <comment ref="H2043" authorId="0" shapeId="0" xr:uid="{D41BF05A-0F5C-A244-9FBE-C0EB0E399FA1}">
      <text>
        <r>
          <rPr>
            <sz val="10"/>
            <rFont val="SimSun"/>
            <charset val="134"/>
          </rPr>
          <t>2SETS 4-25-23 STF#2423 SPC
2SETS 10-12-22 JO#2013 SPC</t>
        </r>
      </text>
    </comment>
    <comment ref="G2046" authorId="0" shapeId="0" xr:uid="{B361A61A-F6BB-EF45-88A3-FE5A4E9E8C25}">
      <text>
        <r>
          <rPr>
            <sz val="10"/>
            <rFont val="SimSun"/>
            <charset val="134"/>
          </rPr>
          <t>4PCS 12-15-22 STF#7384 SPC
4PCS 10-18-22 STF#7122 SPC</t>
        </r>
      </text>
    </comment>
    <comment ref="H2046" authorId="0" shapeId="0" xr:uid="{FBA1FF6C-2472-9449-80B3-6E5A624B9D2D}">
      <text>
        <r>
          <rPr>
            <sz val="10"/>
            <rFont val="SimSun"/>
            <charset val="134"/>
          </rPr>
          <t>2pcs 12-16-22 stf#2154 stc
6PCS 12-15-22 JO#200583 JOJO</t>
        </r>
      </text>
    </comment>
    <comment ref="G2047" authorId="0" shapeId="0" xr:uid="{29CF51F3-F740-8C47-AB38-7965FECA834B}">
      <text>
        <r>
          <rPr>
            <sz val="10"/>
            <rFont val="SimSun"/>
            <charset val="134"/>
          </rPr>
          <t>8PCS 2-3-23 STF#7621 SPC</t>
        </r>
      </text>
    </comment>
    <comment ref="H2047" authorId="0" shapeId="0" xr:uid="{AAB02309-5FB7-5146-B3AF-2493B51CE614}">
      <text>
        <r>
          <rPr>
            <sz val="10"/>
            <rFont val="SimSun"/>
            <charset val="134"/>
          </rPr>
          <t>OUT 1PC 03/30/24 DR#74745-46 SPC KUYA HACKET 
3SETS 7-1-23 STF#2528 SPC
1SET 5-10-23 STF#2448 SPC
2SETS 4-5-23 STF#2380 SPC
2SETS 2-21-23 JO#21638 JOJO</t>
        </r>
      </text>
    </comment>
    <comment ref="G2049" authorId="0" shapeId="0" xr:uid="{870A0DC0-246C-9348-B9A4-E56BC6C3A013}">
      <text>
        <r>
          <rPr>
            <sz val="10"/>
            <rFont val="SimSun"/>
            <charset val="134"/>
          </rPr>
          <t>4SETS 10-13-22 STF#7096 SPC</t>
        </r>
      </text>
    </comment>
    <comment ref="H2049" authorId="0" shapeId="0" xr:uid="{3CC8952A-03DA-7D49-A67C-8353C459D8C7}">
      <text>
        <r>
          <rPr>
            <sz val="10"/>
            <rFont val="SimSun"/>
            <charset val="134"/>
          </rPr>
          <t>4PC 10-13-22 JO18606 JOJO</t>
        </r>
      </text>
    </comment>
    <comment ref="G2051" authorId="0" shapeId="0" xr:uid="{BD90C586-FB6B-F744-990D-03847E03F8DB}">
      <text>
        <r>
          <rPr>
            <sz val="10"/>
            <rFont val="SimSun"/>
            <charset val="134"/>
          </rPr>
          <t>2SETS 1-18-23 STF#7526 SPC
4PCS 10-21-22 STF#7134 SPC
4PCS  10-18-22 STF#7122 SPC</t>
        </r>
      </text>
    </comment>
    <comment ref="H2051" authorId="0" shapeId="0" xr:uid="{8070AB15-093A-3641-BA5A-4036E3F41B60}">
      <text>
        <r>
          <rPr>
            <sz val="10"/>
            <rFont val="SimSun"/>
            <charset val="134"/>
          </rPr>
          <t>2PCS 2-22-24 32056 ROSE
8PCS 1-3-22 JO#20591 JOJO</t>
        </r>
      </text>
    </comment>
    <comment ref="G2063" authorId="0" shapeId="0" xr:uid="{5565A5F6-BA7F-2C42-A635-4CD1684781ED}">
      <text>
        <r>
          <rPr>
            <sz val="10"/>
            <rFont val="SimSun"/>
            <charset val="134"/>
          </rPr>
          <t>IN 2PCS 2.3.25 DR#1876 COMETZ</t>
        </r>
      </text>
    </comment>
    <comment ref="H2063" authorId="0" shapeId="0" xr:uid="{EA6E8E17-57E4-2640-802C-7DCB23278273}">
      <text>
        <r>
          <rPr>
            <sz val="10"/>
            <rFont val="SimSun"/>
            <charset val="134"/>
          </rPr>
          <t xml:space="preserve">2.3.25
42369 2PCS SALES ROSE
</t>
        </r>
      </text>
    </comment>
    <comment ref="G2065" authorId="0" shapeId="0" xr:uid="{C613439F-72DD-BA41-8571-80AD164DA724}">
      <text>
        <r>
          <rPr>
            <sz val="10"/>
            <rFont val="SimSun"/>
            <charset val="134"/>
          </rPr>
          <t>6PCS 9-23-22 STF#6972 SPC</t>
        </r>
      </text>
    </comment>
    <comment ref="H2065" authorId="0" shapeId="0" xr:uid="{04A36ACE-0E45-DD49-B035-19E2FF5C8932}">
      <text>
        <r>
          <rPr>
            <sz val="10"/>
            <rFont val="SimSun"/>
            <charset val="134"/>
          </rPr>
          <t>6PCS 9-24-22 JO#18321 JOJO</t>
        </r>
      </text>
    </comment>
    <comment ref="G2082" authorId="0" shapeId="0" xr:uid="{7EFE1B47-AFD3-7040-8813-8A6822B9083C}">
      <text>
        <r>
          <rPr>
            <sz val="10"/>
            <rFont val="SimSun"/>
            <charset val="134"/>
          </rPr>
          <t>IN 6-17-22 STF#6503 1SET SPC
IN 12-9-21 STF#1651 4SETS A</t>
        </r>
      </text>
    </comment>
    <comment ref="H2082" authorId="0" shapeId="0" xr:uid="{6E028DBF-FDF9-0B4E-97D5-8D5A158B5C34}">
      <text>
        <r>
          <rPr>
            <sz val="10"/>
            <rFont val="SimSun"/>
            <charset val="134"/>
          </rPr>
          <t xml:space="preserve">4SET 6-20-22 JO16151 SALES
1SET 05-08-2022 JO15281 SALES
</t>
        </r>
      </text>
    </comment>
    <comment ref="G2084" authorId="0" shapeId="0" xr:uid="{0F637B98-E59F-6742-AE37-7EC2C19C10BF}">
      <text>
        <r>
          <rPr>
            <sz val="10"/>
            <rFont val="SimSun"/>
            <charset val="134"/>
          </rPr>
          <t>1SET 9-22-22 STF#6962 SPC
4PC 04-01-2022 ST006144 SPC
IN 12-9-21 STF#1651 4SETS A</t>
        </r>
      </text>
    </comment>
    <comment ref="H2084" authorId="0" shapeId="0" xr:uid="{0F92C48F-A743-2241-B4C8-339DD9A42475}">
      <text>
        <r>
          <rPr>
            <sz val="10"/>
            <rFont val="SimSun"/>
            <charset val="134"/>
          </rPr>
          <t>1SET 9-22-22 JO#18128 SALES
4SETS  6-16-22 STF#1827 SPC
2PCS 2-9-22 STF#1628 SPC
2PCS 01-28-2022 JO13195 BEL</t>
        </r>
      </text>
    </comment>
    <comment ref="G2085" authorId="0" shapeId="0" xr:uid="{D1AA9FEC-65B1-BE40-908C-30F53EE52773}">
      <text>
        <r>
          <rPr>
            <sz val="10"/>
            <rFont val="SimSun"/>
            <charset val="134"/>
          </rPr>
          <t>4SET 12-06-2021 ST005618 SPC</t>
        </r>
      </text>
    </comment>
    <comment ref="H2085" authorId="0" shapeId="0" xr:uid="{0D5BE43E-FDA2-AE4B-BFC6-0943A9256A79}">
      <text>
        <r>
          <rPr>
            <sz val="10"/>
            <rFont val="SimSun"/>
            <charset val="134"/>
          </rPr>
          <t>2SETS 05-17-2022 ST001783 SPC
2PCS 4-4-22 STF#1707 LIPA A</t>
        </r>
      </text>
    </comment>
    <comment ref="G2086" authorId="0" shapeId="0" xr:uid="{8ACD6C4B-8846-CC42-AC6E-EF5E33DF1262}">
      <text>
        <r>
          <rPr>
            <sz val="10"/>
            <rFont val="SimSun"/>
            <charset val="134"/>
          </rPr>
          <t>2SET 4-19-22 STF#1877 LIPA A
2SET 12-06-2021 ST005618 SPC</t>
        </r>
      </text>
    </comment>
    <comment ref="H2086" authorId="0" shapeId="0" xr:uid="{F6FF81DB-08D7-EF41-A724-1FA34B9B3E78}">
      <text>
        <r>
          <rPr>
            <sz val="10"/>
            <rFont val="SimSun"/>
            <charset val="134"/>
          </rPr>
          <t>2PCS 8-26-22 JO#17658 MARIBEL
 2PCS 4-4-22 STF#1707 LIPA A</t>
        </r>
      </text>
    </comment>
    <comment ref="G2089" authorId="0" shapeId="0" xr:uid="{CC47C4BA-3D6A-3A45-B3A3-DCA8383683E0}">
      <text>
        <r>
          <rPr>
            <sz val="10"/>
            <rFont val="SimSun"/>
            <charset val="134"/>
          </rPr>
          <t>IN 2PCS 12.1.25 DR#38841 SVB (5,600)</t>
        </r>
      </text>
    </comment>
    <comment ref="H2089" authorId="0" shapeId="0" xr:uid="{053A15E7-836A-3E4A-8D3E-4D9FFC531086}">
      <text>
        <r>
          <rPr>
            <sz val="10"/>
            <rFont val="SimSun"/>
            <charset val="134"/>
          </rPr>
          <t>12.1.25
52847 2PCS BEL</t>
        </r>
      </text>
    </comment>
    <comment ref="G2090" authorId="0" shapeId="0" xr:uid="{79635344-58BD-FB44-BE7B-E99790B3118B}">
      <text>
        <r>
          <rPr>
            <sz val="10"/>
            <rFont val="SimSun"/>
            <charset val="134"/>
          </rPr>
          <t>IN 6PCS 01.30.26 DR39493 SVB (6,300)</t>
        </r>
      </text>
    </comment>
    <comment ref="H2090" authorId="0" shapeId="0" xr:uid="{E0FEA2E7-320A-274E-B07B-543BD6D534F2}">
      <text>
        <r>
          <rPr>
            <sz val="10"/>
            <rFont val="SimSun"/>
            <charset val="134"/>
          </rPr>
          <t>01.30.26
54681 6PCS ALY</t>
        </r>
      </text>
    </comment>
    <comment ref="G2093" authorId="0" shapeId="0" xr:uid="{A8B82E7C-1D8F-8240-8179-66186557D4F7}">
      <text>
        <r>
          <rPr>
            <sz val="10"/>
            <rFont val="SimSun"/>
            <charset val="134"/>
          </rPr>
          <t>2PCS 2-11-23 ZARAHEMLA</t>
        </r>
      </text>
    </comment>
    <comment ref="H2093" authorId="0" shapeId="0" xr:uid="{FDBDBBBE-BCC5-0F4C-AD2E-929548A5D08C}">
      <text>
        <r>
          <rPr>
            <sz val="10"/>
            <rFont val="SimSun"/>
            <charset val="134"/>
          </rPr>
          <t>2PCS 2-11-23 JO# JABEZ</t>
        </r>
      </text>
    </comment>
    <comment ref="G2095" authorId="0" shapeId="0" xr:uid="{519B74A5-1999-714E-B8DE-EEF2D10AC468}">
      <text>
        <r>
          <rPr>
            <sz val="10"/>
            <rFont val="SimSun"/>
            <charset val="134"/>
          </rPr>
          <t>4PCS 12-2-21 STF#5608 SPC</t>
        </r>
      </text>
    </comment>
    <comment ref="H2095" authorId="0" shapeId="0" xr:uid="{B5EB8B78-D58A-3948-A74E-D2A3F2AA2CA3}">
      <text>
        <r>
          <rPr>
            <sz val="10"/>
            <rFont val="SimSun"/>
            <charset val="134"/>
          </rPr>
          <t>OUT 12-2-21 JO#12055 LIZA</t>
        </r>
      </text>
    </comment>
    <comment ref="G2104" authorId="0" shapeId="0" xr:uid="{D4C4B236-B318-D048-AB51-7DFD19C24A9F}">
      <text>
        <r>
          <rPr>
            <sz val="10"/>
            <rFont val="SimSun"/>
            <charset val="134"/>
          </rPr>
          <t>IN 4PCS 11/23/24 DR#75723 SPC</t>
        </r>
      </text>
    </comment>
    <comment ref="H2104" authorId="0" shapeId="0" xr:uid="{CD7C88A5-34E3-2A4C-BC9A-30D2DE216E94}">
      <text>
        <r>
          <rPr>
            <sz val="10"/>
            <rFont val="SimSun"/>
            <charset val="134"/>
          </rPr>
          <t>4.23.25 4PCS DR#77610 SPC MIKE</t>
        </r>
      </text>
    </comment>
    <comment ref="G2107" authorId="0" shapeId="0" xr:uid="{26CC8275-C01C-2D4B-BFC3-C72A9F9B8EFF}">
      <text>
        <r>
          <rPr>
            <sz val="10"/>
            <rFont val="SimSun"/>
            <charset val="134"/>
          </rPr>
          <t xml:space="preserve">IN 2PCS 01.12.26 DR79962 SPC HACKET
IN 4PCS 8.18.25 DR#79029 SPC EMMAN
</t>
        </r>
      </text>
    </comment>
    <comment ref="H2107" authorId="0" shapeId="0" xr:uid="{95D267CD-FEC3-4E4E-B042-02EE6383E058}">
      <text>
        <r>
          <rPr>
            <sz val="10"/>
            <rFont val="SimSun"/>
            <charset val="134"/>
          </rPr>
          <t>OUT 2PCS 11.13.25 DR#80013 SPC MARK
OUT 2SETS 10.6.25 DR#79293 SPC MIKE</t>
        </r>
      </text>
    </comment>
    <comment ref="G2108" authorId="0" shapeId="0" xr:uid="{B5CA0ED6-4EEF-8C4B-86E6-F035CBA4AF5A}">
      <text>
        <r>
          <rPr>
            <sz val="10"/>
            <rFont val="SimSun"/>
            <charset val="134"/>
          </rPr>
          <t>IN 2PCS 6.7.25 DR#78779 SPC HACKET
IN 4PCS 11/23/24 DR#75723 SPC</t>
        </r>
      </text>
    </comment>
    <comment ref="H2108" authorId="0" shapeId="0" xr:uid="{E3B4E5F6-0476-164D-936B-8D3A0F02C710}">
      <text>
        <r>
          <rPr>
            <sz val="10"/>
            <rFont val="SimSun"/>
            <charset val="134"/>
          </rPr>
          <t>OUT 2PCS 7.26.25 DR#78380 STC RONNIE
05-31-2025
2PCS OUT JO#47024 JARVIS</t>
        </r>
      </text>
    </comment>
    <comment ref="G2109" authorId="0" shapeId="0" xr:uid="{C7CFD820-7F2B-F64C-B4B3-74E25E8908BB}">
      <text>
        <r>
          <rPr>
            <sz val="10"/>
            <rFont val="SimSun"/>
            <charset val="134"/>
          </rPr>
          <t>12PCS 3-6-23 STF# SPC</t>
        </r>
      </text>
    </comment>
    <comment ref="H2109" authorId="0" shapeId="0" xr:uid="{9CDCFFF8-0254-5643-A66C-40021929B8F3}">
      <text>
        <r>
          <rPr>
            <sz val="10"/>
            <rFont val="SimSun"/>
            <charset val="134"/>
          </rPr>
          <t>6PCS 3-6-23 JO#21947 JOJO
6PCS 3-6-23 JO#21946 JOJO</t>
        </r>
      </text>
    </comment>
    <comment ref="G2110" authorId="0" shapeId="0" xr:uid="{D03BA2FB-5845-8545-9B9D-D0A397750C61}">
      <text>
        <r>
          <rPr>
            <sz val="10"/>
            <rFont val="SimSun"/>
            <charset val="134"/>
          </rPr>
          <t>IN 4PCS 8.18.25 DR#79029 SPC EMMAN
IN 4PCS 6.7.25 DR#78779 SPC HACKET
IN 4PCS 11/23/24 DR#75723 SPC</t>
        </r>
      </text>
    </comment>
    <comment ref="H2110" authorId="0" shapeId="0" xr:uid="{9659F450-69BD-974A-BE0E-727C3BCE9E12}">
      <text>
        <r>
          <rPr>
            <sz val="10"/>
            <rFont val="SimSun"/>
            <charset val="134"/>
          </rPr>
          <t>OUT 4PCS 8.11.25 DR#78401 SPC EMMAN
OUT 2PCS 5.13.25 DR#77648 SPC ADWIN
2PC OUT 1/22/25 JO42020 MARIBEL</t>
        </r>
      </text>
    </comment>
    <comment ref="G2112" authorId="0" shapeId="0" xr:uid="{1BAE1F97-50B0-DB4C-A6CE-1A7E31733590}">
      <text>
        <r>
          <rPr>
            <sz val="10"/>
            <rFont val="SimSun"/>
            <charset val="134"/>
          </rPr>
          <t>10PCS 8-19-23 SPC</t>
        </r>
      </text>
    </comment>
    <comment ref="H2112" authorId="0" shapeId="0" xr:uid="{58A74D04-F997-164B-BF09-D21C9B2E64E5}">
      <text>
        <r>
          <rPr>
            <sz val="10"/>
            <rFont val="SimSun"/>
            <charset val="134"/>
          </rPr>
          <t>10PCS 8-19-23 JO#27569 OFFICE</t>
        </r>
      </text>
    </comment>
    <comment ref="G2113" authorId="0" shapeId="0" xr:uid="{ADACEE54-6079-934F-AB8E-026232EF2330}">
      <text>
        <r>
          <rPr>
            <sz val="10"/>
            <rFont val="SimSun"/>
            <charset val="134"/>
          </rPr>
          <t>2PCS 5-15-23 SHEEHAN</t>
        </r>
      </text>
    </comment>
    <comment ref="H2113" authorId="0" shapeId="0" xr:uid="{96530CF8-CDD1-0B49-9E44-832866EA0E3F}">
      <text>
        <r>
          <rPr>
            <sz val="10"/>
            <rFont val="SimSun"/>
            <charset val="134"/>
          </rPr>
          <t>2SETS 5-15-23 JO#25093 JOJO</t>
        </r>
      </text>
    </comment>
    <comment ref="G2119" authorId="0" shapeId="0" xr:uid="{E2C82063-EA6A-6E48-9AB4-B2D85250EDA7}">
      <text>
        <r>
          <rPr>
            <sz val="10"/>
            <rFont val="SimSun"/>
            <charset val="134"/>
          </rPr>
          <t>2PCS 8-16-23 DR#74087 SPC
2PCS 8-10-23 DR#74071 SPC
2PCS 5-31-23 STF#8186 SPC SHEEHAN</t>
        </r>
      </text>
    </comment>
    <comment ref="H2119" authorId="0" shapeId="0" xr:uid="{EE307FDD-C59A-4547-8A3C-9FA852A60B46}">
      <text>
        <r>
          <rPr>
            <sz val="10"/>
            <rFont val="SimSun"/>
            <charset val="134"/>
          </rPr>
          <t>2sets 8-16-23 jo#27563 office
2PCS 8-10-23 JO#27401 ROSE
2PCS 5-31-23 JO#25675 VROSE</t>
        </r>
      </text>
    </comment>
    <comment ref="G2122" authorId="0" shapeId="0" xr:uid="{D6AAAF8E-F824-3D43-A213-CC380D209F66}">
      <text>
        <r>
          <rPr>
            <sz val="10"/>
            <rFont val="SimSun"/>
            <charset val="134"/>
          </rPr>
          <t>20PCS 3-23-23 STF#7892 SPC
4PCS 2-23-23 STF#7723 SPC
20pcs 12-7-22 stf#7345 spc
10PCS 10-31-22 STf#7174 6SPC/4STC
12pcs 10-26-22 stf#7159 SPC
12PCS 10-21-22 STF#7134 SPC
10PCS 10-17-22 STF#7119  SPC</t>
        </r>
      </text>
    </comment>
    <comment ref="H2122" authorId="0" shapeId="0" xr:uid="{CB39C6E5-D95C-1D42-AFAE-DDD6728028C2}">
      <text>
        <r>
          <rPr>
            <sz val="10"/>
            <rFont val="SimSun"/>
            <charset val="134"/>
          </rPr>
          <t>20PCS 3-23-23 JO#22276 JOJO
4pcs 3-22-23 STF#2357 STC
10PCS 12-6-22 JO#19659 JOJO
10PCS 12-6-22 JO#19658 JOJO
12PCS 10-26-22 JO#18956 JOJO
2PC 10-22-22 JO18954 JOJO
10PCS 10-17-22 JO#18608 SALES</t>
        </r>
      </text>
    </comment>
    <comment ref="G2124" authorId="0" shapeId="0" xr:uid="{558B5CE0-5045-0A45-94C9-FF0D24E8166E}">
      <text>
        <r>
          <rPr>
            <sz val="10"/>
            <rFont val="SimSun"/>
            <charset val="134"/>
          </rPr>
          <t>3PCS 1-16-23 STF#7519 SPC
20PCS 1-11-23 STF#7493 SPC
2PCS 1-3-22 STF#7448 SPC
1PC 12-28-22 STF# SPC
14PCS 12-16-22 ST007406 SPC
3PCS 12-15-22 STF#7384 SPC</t>
        </r>
      </text>
    </comment>
    <comment ref="H2124" authorId="0" shapeId="0" xr:uid="{A1E6446E-1EB4-DB49-A6D1-7C26126A3FD9}">
      <text>
        <r>
          <rPr>
            <sz val="10"/>
            <rFont val="SimSun"/>
            <charset val="134"/>
          </rPr>
          <t>8PCS 1-17-23 JO#20777 JOJO
16pcs 1-12-23 JO#20772 JOJO
2PCS 1-3-22 JO#20592 JOJO
2PCS 12-29-22 STF#2181 SPC
1pc 12-20-22 jo#2163 SITE A
10PCS 12-17-22 JO#200586 JOJO
4PCS 12-17-JO#200585 JOJO</t>
        </r>
      </text>
    </comment>
    <comment ref="H2126" authorId="0" shapeId="0" xr:uid="{8C459571-DE26-7C47-AF19-6F3A25FB38E6}">
      <text>
        <r>
          <rPr>
            <sz val="10"/>
            <rFont val="SimSun"/>
            <charset val="134"/>
          </rPr>
          <t>6PCS 1-31-23 JO#21243 JOJO
6PCS 1-31-23 JO#21244 JOJO</t>
        </r>
      </text>
    </comment>
    <comment ref="G2128" authorId="0" shapeId="0" xr:uid="{D28FD66B-4FF1-8742-B2E2-DD003E91266D}">
      <text>
        <r>
          <rPr>
            <sz val="10"/>
            <rFont val="SimSun"/>
            <charset val="134"/>
          </rPr>
          <t>IN 2PCS 07/22/24 DR#75244 SPC KUYA HACKET
IN 5PCS 05/14/24 DR#85009 DYMANS
4PCS 1-24-24 DR#74627 SPC
12PCS 12-27-23 DR#81644 DYMANS</t>
        </r>
      </text>
    </comment>
    <comment ref="H2128" authorId="0" shapeId="0" xr:uid="{D08B303B-987A-044F-8719-496E23514930}">
      <text>
        <r>
          <rPr>
            <sz val="10"/>
            <rFont val="SimSun"/>
            <charset val="134"/>
          </rPr>
          <t>OUT 2PCS 09/12/24 DR#75405 SPC KUYA DANCRIS
OUT 2PCS 08/29/24 DR#75388 SPC KUYA ADWIN
OUT 07/04/24 35673 2PCS SALES  MARLO
OUT 4PCS 06/06/24 DR#75100 SPC KUYA HACKET
OUT 01-24-2024
31310 3PCS SALES JARVIS
OUT 01-11-2024
310002 6PCS SALES MA'AM JEN
4pcs 1-4-24 DR#23351-52 SPC</t>
        </r>
      </text>
    </comment>
    <comment ref="G2129" authorId="0" shapeId="0" xr:uid="{EE08B021-8515-CA45-80ED-76ED5D09847E}">
      <text>
        <r>
          <rPr>
            <sz val="10"/>
            <rFont val="SimSun"/>
            <charset val="134"/>
          </rPr>
          <t>IN 2PC 07/22/24 DR#7542 SPC KUYA BOYONG
IN 2PCS 06/26/24 DR# SPC MASTER
4pcs 1-25-24 DR#74630 SPC
10PCS 12-27-23 DR#79524 DYMANS
20PCS 12-27-23 DR#81644 DYMANS</t>
        </r>
      </text>
    </comment>
    <comment ref="H2129" authorId="0" shapeId="0" xr:uid="{23D0552F-6D88-5C4A-B555-55EF30F21A7A}">
      <text>
        <r>
          <rPr>
            <sz val="10"/>
            <rFont val="SimSun"/>
            <charset val="134"/>
          </rPr>
          <t>OUT 2PCS 2.16.25 DR#77103 SPC
07/30/24
36413 2PCS SALES MARLO
OUT 2PCS 07/03/24 DR#75128 SPC KUYA ADWIN
OUT 4PCS 04/03/24 DR#74753 SPC KUYA EMMAN
OUT 03/14/24 1PCS SALES 32701
4PCS 1-24-24 JO#31366 JARVIS
4PCS 1-22-24 JO#31245 JARVIS
OUT 1-17-24 DR#73389 2PCS SPC
8PCS 1-12-24 DR#73382 SPC
4PCS 1-11-24 DR#73379 SPC
4PCS 1-8-24 DR#73367 SPC
4pcs 1-4-24 DR#23351-52 SPC</t>
        </r>
      </text>
    </comment>
    <comment ref="G2130" authorId="0" shapeId="0" xr:uid="{A2496C5D-39E6-2B49-8DE3-9F8AE0A99AFE}">
      <text>
        <r>
          <rPr>
            <sz val="10"/>
            <rFont val="SimSun"/>
            <charset val="134"/>
          </rPr>
          <t>IN 8PCS 05/14/24 DR#83912 DYMANS
30PCS 12-27-23 DR#81644 DYMANS</t>
        </r>
      </text>
    </comment>
    <comment ref="H2130" authorId="0" shapeId="0" xr:uid="{5B49964B-5AEB-8240-8B0F-F149CDB2A6B3}">
      <text>
        <r>
          <rPr>
            <sz val="10"/>
            <rFont val="SimSun"/>
            <charset val="134"/>
          </rPr>
          <t>OUT 2PCS 05/23/24 DR#75079 SPC SIR NHEL
OUT 4PSC 5-21-24 DR#75073 SPC KUYA ADWIN
OUT 2PCS 05/20/24 DR#75074 SPC KUYA ALDWIN
OUT 1SET 04/29/24 DR#75051 SPC KUYA EMMAN
OUT 04/11/24 4PCS SALES 33406 MARLO 
OUT 1-17-24 DR#73389 2PCS SPC
8PCS 1-12-24 DR#73382 SPC
8PCS 1-8-24 DR#73367 SPC
4pcs 1-4-24 DR#23351-52 SPC</t>
        </r>
      </text>
    </comment>
    <comment ref="G2131" authorId="0" shapeId="0" xr:uid="{A7E458A1-3B53-F34A-BF3B-5DDC6914EB7C}">
      <text>
        <r>
          <rPr>
            <sz val="10"/>
            <rFont val="SimSun"/>
            <charset val="134"/>
          </rPr>
          <t>30PCS 12-27-23 DR#81644 DYMANS</t>
        </r>
      </text>
    </comment>
    <comment ref="H2131" authorId="0" shapeId="0" xr:uid="{C2A55355-34EF-B84E-B23F-AEA907AAAC98}">
      <text>
        <r>
          <rPr>
            <sz val="10"/>
            <rFont val="SimSun"/>
            <charset val="134"/>
          </rPr>
          <t>OUT 2PCS 05/02/24 DR#75054 SPC
OUT 2PCS 04/25/24 DR#74791 SPC MASTER
OUT 2PCS 04/03/24 DR#74753 SPC KUYA EMMAN
8PCS 1-12-24 DR#73382 SPC
4PCS 1-11-24 DR#73379 SPC
4PCS 1-8-24 DR#73368 SPC
OUT 1-5-24 DR#73358 6PCS  SPC</t>
        </r>
      </text>
    </comment>
    <comment ref="G2132" authorId="0" shapeId="0" xr:uid="{AF406E7B-74ED-CF42-BDAA-20E473588B9F}">
      <text>
        <r>
          <rPr>
            <sz val="10"/>
            <rFont val="SimSun"/>
            <charset val="134"/>
          </rPr>
          <t>30PCS 12-27-23 DR#81644 DYMANS</t>
        </r>
      </text>
    </comment>
    <comment ref="H2132" authorId="0" shapeId="0" xr:uid="{3AFFCEF0-E617-734C-BE4A-6DF8BA383F8B}">
      <text>
        <r>
          <rPr>
            <sz val="10"/>
            <rFont val="SimSun"/>
            <charset val="134"/>
          </rPr>
          <t>OUT 3PCS 06/06/24 DR#75100 SPC KUYA HACKET
OUT 1PCS 05/20/24 REF# STC KUYA EMMAN
OUT 4PCS 04/03/24 DR#74753 SPC KUYA EMMAN
OUT 1-17-24 DR#73389 4PCS SPC
OUT 1-16-24 DR#73386 1PC SPC
5PCS 1-12-24 DR#73382 SPC
4PCS 1-11-24 DR#73379 SPC
4PCS 1-8-24 DR#73367 SPC
4pcs 1-4-24 DR#23351-52 SPC</t>
        </r>
      </text>
    </comment>
  </commentList>
</comments>
</file>

<file path=xl/sharedStrings.xml><?xml version="1.0" encoding="utf-8"?>
<sst xmlns="http://schemas.openxmlformats.org/spreadsheetml/2006/main" count="170" uniqueCount="139">
  <si>
    <t xml:space="preserve">                      </t>
  </si>
  <si>
    <t>SIZE</t>
  </si>
  <si>
    <t>SERIES</t>
  </si>
  <si>
    <t>RIM</t>
  </si>
  <si>
    <t>BRAND</t>
  </si>
  <si>
    <t>PATTERN</t>
  </si>
  <si>
    <t>BEG</t>
  </si>
  <si>
    <t>IN</t>
  </si>
  <si>
    <t>OUT</t>
  </si>
  <si>
    <t>TOTAL</t>
  </si>
  <si>
    <t>LATEST PRICE 2021</t>
  </si>
  <si>
    <t>ACCELERA</t>
  </si>
  <si>
    <t xml:space="preserve"> </t>
  </si>
  <si>
    <t>ACHILLES</t>
  </si>
  <si>
    <t>ALLIANCE</t>
  </si>
  <si>
    <t>APOLLO</t>
  </si>
  <si>
    <t>ARIVO</t>
  </si>
  <si>
    <t>ARROYO</t>
  </si>
  <si>
    <t>ATLANDER</t>
  </si>
  <si>
    <t>ATTURO</t>
  </si>
  <si>
    <t>BF GOODRICH</t>
  </si>
  <si>
    <t>BLACK BEAR</t>
  </si>
  <si>
    <t>BRIDGESTONE</t>
  </si>
  <si>
    <t>CEAT</t>
  </si>
  <si>
    <t>COMFORSER</t>
  </si>
  <si>
    <t>COOPER</t>
  </si>
  <si>
    <t>DEESTONE</t>
  </si>
  <si>
    <t>DELIUM/SPECTRA</t>
  </si>
  <si>
    <t>DOUBLE COIN</t>
  </si>
  <si>
    <t>DOUBLE STAR</t>
  </si>
  <si>
    <t>DUNLOP</t>
  </si>
  <si>
    <t>DURATURN</t>
  </si>
  <si>
    <t>FALKEN</t>
  </si>
  <si>
    <t>FEDERAL</t>
  </si>
  <si>
    <t>FIRESTONE</t>
  </si>
  <si>
    <t>FORCEUM</t>
  </si>
  <si>
    <t>GAJAH TUNGGAL</t>
  </si>
  <si>
    <t>GOODRIDE</t>
  </si>
  <si>
    <t xml:space="preserve">                   </t>
  </si>
  <si>
    <t>GOODYEAR</t>
  </si>
  <si>
    <t>GREMAX</t>
  </si>
  <si>
    <t>HEAD WAY</t>
  </si>
  <si>
    <t>HORIZON</t>
  </si>
  <si>
    <t>KINTO</t>
  </si>
  <si>
    <t>LAND SPIDER</t>
  </si>
  <si>
    <t>LAUFENN</t>
  </si>
  <si>
    <t>LEAO</t>
  </si>
  <si>
    <t>LEXANI</t>
  </si>
  <si>
    <t>LING LONG</t>
  </si>
  <si>
    <t>MRF</t>
  </si>
  <si>
    <t>MASTERCRAFT</t>
  </si>
  <si>
    <t>MASSIMO</t>
  </si>
  <si>
    <t>MAXTREK</t>
  </si>
  <si>
    <t>MAXXIS</t>
  </si>
  <si>
    <t>MAZZINI</t>
  </si>
  <si>
    <t>MICHELIN</t>
  </si>
  <si>
    <t>MICKEY THOMPSON</t>
  </si>
  <si>
    <t>MONSTA</t>
  </si>
  <si>
    <t xml:space="preserve">NANKANG </t>
  </si>
  <si>
    <t>NEUTON</t>
  </si>
  <si>
    <t>NEXEN</t>
  </si>
  <si>
    <t>NITTO</t>
  </si>
  <si>
    <t>OTANI</t>
  </si>
  <si>
    <t>PATRIOT</t>
  </si>
  <si>
    <t xml:space="preserve">  </t>
  </si>
  <si>
    <t>PETLAS</t>
  </si>
  <si>
    <t>PIRELLI</t>
  </si>
  <si>
    <t>PRESA</t>
  </si>
  <si>
    <t>RADAR</t>
  </si>
  <si>
    <t>RAIDEN</t>
  </si>
  <si>
    <t>ROADCLAW</t>
  </si>
  <si>
    <t>ROADCRUZA</t>
  </si>
  <si>
    <t>ROADSTONE</t>
  </si>
  <si>
    <t>SAFERICH</t>
  </si>
  <si>
    <t>SAFIRO</t>
  </si>
  <si>
    <t>SAILUN</t>
  </si>
  <si>
    <t>SKYFIRE</t>
  </si>
  <si>
    <t>SPORTRAC</t>
  </si>
  <si>
    <t>SUNNY</t>
  </si>
  <si>
    <t>TIREBOT</t>
  </si>
  <si>
    <t>THUNDERER</t>
  </si>
  <si>
    <t>TRIANGLE</t>
  </si>
  <si>
    <t>TOYO</t>
  </si>
  <si>
    <t>TRAZANO</t>
  </si>
  <si>
    <t>VEE RUBBER</t>
  </si>
  <si>
    <t>VENOM POWER</t>
  </si>
  <si>
    <t>WANLI</t>
  </si>
  <si>
    <t>WESTLAKE</t>
  </si>
  <si>
    <t>WINRUN</t>
  </si>
  <si>
    <t>YOKOHAMA</t>
  </si>
  <si>
    <t>ULRA FORCE</t>
  </si>
  <si>
    <t>ZELDA</t>
  </si>
  <si>
    <t>ZEXTOUR</t>
  </si>
  <si>
    <t>AEOLUS</t>
  </si>
  <si>
    <t>AVANTRA</t>
  </si>
  <si>
    <t>AVENTUS</t>
  </si>
  <si>
    <t>AULICE</t>
  </si>
  <si>
    <t>ADVANCE</t>
  </si>
  <si>
    <t>AGATE</t>
  </si>
  <si>
    <t>BONTERRA</t>
  </si>
  <si>
    <t>CASUMINA</t>
  </si>
  <si>
    <t>CAMSO</t>
  </si>
  <si>
    <t>CENTARA</t>
  </si>
  <si>
    <t>DOUPRO</t>
  </si>
  <si>
    <t>235</t>
  </si>
  <si>
    <t>R17.5</t>
  </si>
  <si>
    <t>18PR Y203 RIB</t>
  </si>
  <si>
    <t>EUROGRIP</t>
  </si>
  <si>
    <t>`</t>
  </si>
  <si>
    <t>GT RADIAL</t>
  </si>
  <si>
    <t>GITI</t>
  </si>
  <si>
    <t>GALAXY</t>
  </si>
  <si>
    <t>GOODTYRE</t>
  </si>
  <si>
    <t>GREFORCE</t>
  </si>
  <si>
    <t>GREENTOUR</t>
  </si>
  <si>
    <t>KELCEA</t>
  </si>
  <si>
    <t>HAWKWAY</t>
  </si>
  <si>
    <t>HUT</t>
  </si>
  <si>
    <t>INDEL</t>
  </si>
  <si>
    <t>JOYROAD</t>
  </si>
  <si>
    <t>LONG POWER</t>
  </si>
  <si>
    <t>MATRIX</t>
  </si>
  <si>
    <t>MEGA</t>
  </si>
  <si>
    <t>MRL</t>
  </si>
  <si>
    <t>ORNET</t>
  </si>
  <si>
    <t>ROADWING</t>
  </si>
  <si>
    <t>ROMAX</t>
  </si>
  <si>
    <t>SANLI</t>
  </si>
  <si>
    <t>SOLIDEAL</t>
  </si>
  <si>
    <t>STUD</t>
  </si>
  <si>
    <t>THREE A</t>
  </si>
  <si>
    <t>TIRON</t>
  </si>
  <si>
    <t>UNITED</t>
  </si>
  <si>
    <t>VEERUBBER</t>
  </si>
  <si>
    <t>VIKRANT</t>
  </si>
  <si>
    <t>WOSEN</t>
  </si>
  <si>
    <t>TOTAL QUANTITY</t>
  </si>
  <si>
    <t>GRAND TOTAL</t>
  </si>
  <si>
    <t>DISCREPANCY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</si>
</sst>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4" x14ac:knownFonts="1">
    <font>
      <sz val="12"/>
      <color theme="1"/>
      <name val="Calibri"/>
      <family val="2"/>
      <scheme val="minor"/>
    </font>
    <font>
      <b/>
      <i/>
      <sz val="12"/>
      <color theme="1"/>
      <name val="Arial"/>
      <family val="2"/>
    </font>
    <font>
      <sz val="10"/>
      <name val="Calibri"/>
      <family val="2"/>
      <scheme val="minor"/>
    </font>
    <font>
      <sz val="10"/>
      <color theme="1"/>
      <name val="Arial"/>
      <family val="2"/>
    </font>
    <font>
      <sz val="10"/>
      <color rgb="FFFF0000"/>
      <name val="Arial"/>
      <family val="2"/>
    </font>
    <font>
      <sz val="10"/>
      <color theme="1"/>
      <name val="Merriweather"/>
      <charset val="134"/>
    </font>
    <font>
      <b/>
      <i/>
      <sz val="14"/>
      <color theme="1"/>
      <name val="Arial"/>
      <family val="2"/>
    </font>
    <font>
      <b/>
      <sz val="14"/>
      <color theme="1"/>
      <name val="Arial"/>
      <family val="2"/>
    </font>
    <font>
      <sz val="14"/>
      <color theme="0"/>
      <name val="Merriweather"/>
      <charset val="134"/>
    </font>
    <font>
      <sz val="14"/>
      <color theme="1"/>
      <name val="Merriweather"/>
      <charset val="134"/>
    </font>
    <font>
      <b/>
      <sz val="12"/>
      <color theme="1"/>
      <name val="Arial"/>
      <family val="2"/>
    </font>
    <font>
      <b/>
      <i/>
      <sz val="12"/>
      <color rgb="FF1F3864"/>
      <name val="Arial"/>
      <family val="2"/>
    </font>
    <font>
      <b/>
      <i/>
      <sz val="12"/>
      <color rgb="FFFF0000"/>
      <name val="Arial"/>
      <family val="2"/>
    </font>
    <font>
      <sz val="10"/>
      <color rgb="FFFF0000"/>
      <name val="Merriweather"/>
      <charset val="134"/>
    </font>
    <font>
      <sz val="12"/>
      <color theme="1"/>
      <name val="Merriweather"/>
      <charset val="134"/>
    </font>
    <font>
      <b/>
      <i/>
      <sz val="11"/>
      <color theme="1"/>
      <name val="Arial"/>
      <family val="2"/>
    </font>
    <font>
      <b/>
      <i/>
      <sz val="10"/>
      <color theme="1"/>
      <name val="Arial"/>
      <family val="2"/>
    </font>
    <font>
      <b/>
      <sz val="13"/>
      <color rgb="FF0000FF"/>
      <name val="Calibri"/>
      <family val="2"/>
      <scheme val="minor"/>
    </font>
    <font>
      <b/>
      <i/>
      <sz val="12"/>
      <color rgb="FF000000"/>
      <name val="Arial"/>
      <family val="2"/>
    </font>
    <font>
      <b/>
      <i/>
      <sz val="10"/>
      <color theme="1"/>
      <name val="Calibri"/>
      <family val="2"/>
      <scheme val="minor"/>
    </font>
    <font>
      <sz val="10"/>
      <color theme="1"/>
      <name val="Calibri"/>
      <family val="2"/>
      <scheme val="minor"/>
    </font>
    <font>
      <u/>
      <sz val="12"/>
      <color rgb="FFFF0000"/>
      <name val="Merriweather"/>
      <charset val="134"/>
    </font>
    <font>
      <sz val="10"/>
      <name val="SimSun"/>
      <charset val="134"/>
    </font>
    <font>
      <sz val="10"/>
      <color rgb="FF000000"/>
      <name val="SimSun"/>
      <charset val="134"/>
    </font>
  </fonts>
  <fills count="15">
    <fill>
      <patternFill patternType="none"/>
    </fill>
    <fill>
      <patternFill patternType="gray125"/>
    </fill>
    <fill>
      <patternFill patternType="solid">
        <fgColor theme="0"/>
        <bgColor theme="0"/>
      </patternFill>
    </fill>
    <fill>
      <patternFill patternType="solid">
        <fgColor rgb="FFA8D08D"/>
        <bgColor rgb="FFA8D08D"/>
      </patternFill>
    </fill>
    <fill>
      <patternFill patternType="solid">
        <fgColor rgb="FFFFFFFF"/>
        <bgColor rgb="FFFFFFFF"/>
      </patternFill>
    </fill>
    <fill>
      <patternFill patternType="solid">
        <fgColor rgb="FFC9DAF8"/>
        <bgColor rgb="FFC9DAF8"/>
      </patternFill>
    </fill>
    <fill>
      <patternFill patternType="solid">
        <fgColor rgb="FFFFF2CC"/>
        <bgColor rgb="FFFFF2CC"/>
      </patternFill>
    </fill>
    <fill>
      <patternFill patternType="solid">
        <fgColor rgb="FFA4C2F4"/>
        <bgColor rgb="FFA4C2F4"/>
      </patternFill>
    </fill>
    <fill>
      <patternFill patternType="solid">
        <fgColor rgb="FFFFFF00"/>
        <bgColor rgb="FFFFFF00"/>
      </patternFill>
    </fill>
    <fill>
      <patternFill patternType="solid">
        <fgColor rgb="FFD9D2E9"/>
        <bgColor rgb="FFD9D2E9"/>
      </patternFill>
    </fill>
    <fill>
      <patternFill patternType="solid">
        <fgColor rgb="FF6FA8DC"/>
        <bgColor rgb="FF6FA8DC"/>
      </patternFill>
    </fill>
    <fill>
      <patternFill patternType="solid">
        <fgColor rgb="FF70AD47"/>
        <bgColor rgb="FF70AD47"/>
      </patternFill>
    </fill>
    <fill>
      <patternFill patternType="solid">
        <fgColor rgb="FF6AA84F"/>
        <bgColor rgb="FF6AA84F"/>
      </patternFill>
    </fill>
    <fill>
      <patternFill patternType="solid">
        <fgColor rgb="FFB4A7D6"/>
        <bgColor rgb="FFB4A7D6"/>
      </patternFill>
    </fill>
    <fill>
      <patternFill patternType="solid">
        <fgColor rgb="FFF1C232"/>
        <bgColor rgb="FFF1C232"/>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1">
    <xf numFmtId="0" fontId="0" fillId="0" borderId="0" xfId="0"/>
    <xf numFmtId="0" fontId="1" fillId="0" borderId="1" xfId="0" applyFont="1" applyBorder="1" applyAlignment="1">
      <alignment horizontal="center" vertical="center"/>
    </xf>
    <xf numFmtId="0" fontId="2" fillId="0" borderId="2" xfId="0" applyFont="1" applyBorder="1"/>
    <xf numFmtId="0" fontId="2" fillId="0" borderId="3" xfId="0" applyFont="1" applyBorder="1"/>
    <xf numFmtId="49" fontId="1" fillId="0" borderId="4" xfId="0" applyNumberFormat="1" applyFont="1" applyBorder="1" applyAlignment="1">
      <alignment horizontal="center" vertical="center" wrapText="1"/>
    </xf>
    <xf numFmtId="49" fontId="3" fillId="2" borderId="4" xfId="0" applyNumberFormat="1" applyFont="1" applyFill="1" applyBorder="1" applyAlignment="1">
      <alignment horizontal="center" vertical="center" wrapText="1"/>
    </xf>
    <xf numFmtId="43" fontId="3" fillId="0" borderId="4" xfId="0" applyNumberFormat="1" applyFont="1" applyBorder="1"/>
    <xf numFmtId="4" fontId="4" fillId="0" borderId="4" xfId="0" applyNumberFormat="1" applyFont="1" applyBorder="1" applyAlignment="1">
      <alignment horizontal="center" vertical="center" wrapText="1"/>
    </xf>
    <xf numFmtId="0" fontId="5" fillId="0" borderId="0" xfId="0" applyFont="1"/>
    <xf numFmtId="0" fontId="5" fillId="0" borderId="0" xfId="0" applyFont="1" applyAlignment="1">
      <alignment horizontal="center"/>
    </xf>
    <xf numFmtId="0" fontId="6" fillId="3" borderId="4" xfId="0" applyFont="1" applyFill="1" applyBorder="1" applyAlignment="1">
      <alignment horizontal="center" vertical="center"/>
    </xf>
    <xf numFmtId="0" fontId="6" fillId="3" borderId="4" xfId="0" applyFont="1" applyFill="1" applyBorder="1" applyAlignment="1">
      <alignment horizontal="center" vertical="center" wrapText="1"/>
    </xf>
    <xf numFmtId="0" fontId="7" fillId="3" borderId="4" xfId="0" applyFont="1" applyFill="1" applyBorder="1" applyAlignment="1">
      <alignment horizontal="center" vertical="center" wrapText="1"/>
    </xf>
    <xf numFmtId="43" fontId="7" fillId="3" borderId="4" xfId="0" applyNumberFormat="1" applyFont="1" applyFill="1" applyBorder="1" applyAlignment="1">
      <alignment horizontal="center" vertical="center" wrapText="1"/>
    </xf>
    <xf numFmtId="4" fontId="7" fillId="3" borderId="4" xfId="0" applyNumberFormat="1" applyFont="1" applyFill="1" applyBorder="1" applyAlignment="1">
      <alignment horizontal="center" vertical="center" wrapText="1"/>
    </xf>
    <xf numFmtId="0" fontId="8" fillId="2" borderId="0" xfId="0" applyFont="1" applyFill="1" applyAlignment="1">
      <alignment horizontal="center" vertical="center"/>
    </xf>
    <xf numFmtId="0" fontId="9" fillId="0" borderId="0" xfId="0" applyFont="1"/>
    <xf numFmtId="49" fontId="1" fillId="4" borderId="4" xfId="0" applyNumberFormat="1" applyFont="1" applyFill="1" applyBorder="1" applyAlignment="1">
      <alignment horizontal="center" vertical="center"/>
    </xf>
    <xf numFmtId="0" fontId="1" fillId="0" borderId="4" xfId="0" applyFont="1" applyBorder="1" applyAlignment="1">
      <alignment horizontal="center" vertical="center"/>
    </xf>
    <xf numFmtId="0" fontId="10" fillId="0" borderId="4" xfId="0" applyFont="1" applyBorder="1" applyAlignment="1">
      <alignment horizontal="left" vertical="center"/>
    </xf>
    <xf numFmtId="0" fontId="1" fillId="0" borderId="4" xfId="0" applyFont="1" applyBorder="1" applyAlignment="1">
      <alignment horizontal="center" vertical="center" wrapText="1"/>
    </xf>
    <xf numFmtId="0" fontId="1" fillId="2" borderId="4" xfId="0" applyFont="1" applyFill="1" applyBorder="1" applyAlignment="1">
      <alignment horizontal="center" vertical="center" wrapText="1"/>
    </xf>
    <xf numFmtId="43" fontId="11" fillId="4" borderId="4" xfId="0" applyNumberFormat="1" applyFont="1" applyFill="1" applyBorder="1" applyAlignment="1">
      <alignment horizontal="center"/>
    </xf>
    <xf numFmtId="4" fontId="12" fillId="0" borderId="4" xfId="0" applyNumberFormat="1" applyFont="1" applyBorder="1" applyAlignment="1">
      <alignment horizontal="center" vertical="center" wrapText="1"/>
    </xf>
    <xf numFmtId="0" fontId="1" fillId="5" borderId="4" xfId="0" applyFont="1" applyFill="1" applyBorder="1" applyAlignment="1">
      <alignment horizontal="center" vertical="center" wrapText="1"/>
    </xf>
    <xf numFmtId="49" fontId="1" fillId="4" borderId="4" xfId="0" applyNumberFormat="1" applyFont="1" applyFill="1" applyBorder="1" applyAlignment="1">
      <alignment horizontal="left" vertical="center"/>
    </xf>
    <xf numFmtId="0" fontId="13" fillId="0" borderId="0" xfId="0" applyFont="1"/>
    <xf numFmtId="49" fontId="1" fillId="4" borderId="4" xfId="0" quotePrefix="1" applyNumberFormat="1" applyFont="1" applyFill="1" applyBorder="1" applyAlignment="1">
      <alignment horizontal="center" vertical="center"/>
    </xf>
    <xf numFmtId="4" fontId="14" fillId="6" borderId="0" xfId="0" applyNumberFormat="1" applyFont="1" applyFill="1" applyAlignment="1">
      <alignment horizontal="center"/>
    </xf>
    <xf numFmtId="0" fontId="14" fillId="6" borderId="0" xfId="0" applyFont="1" applyFill="1" applyAlignment="1">
      <alignment horizontal="center"/>
    </xf>
    <xf numFmtId="0" fontId="1" fillId="4" borderId="4" xfId="0" applyFont="1" applyFill="1" applyBorder="1" applyAlignment="1">
      <alignment horizontal="center" vertical="center" wrapText="1"/>
    </xf>
    <xf numFmtId="0" fontId="1" fillId="7" borderId="4" xfId="0" applyFont="1" applyFill="1" applyBorder="1" applyAlignment="1">
      <alignment horizontal="center" vertical="center" wrapText="1"/>
    </xf>
    <xf numFmtId="4" fontId="14" fillId="4" borderId="0" xfId="0" applyNumberFormat="1" applyFont="1" applyFill="1"/>
    <xf numFmtId="0" fontId="14" fillId="4" borderId="0" xfId="0" applyFont="1" applyFill="1"/>
    <xf numFmtId="4" fontId="14" fillId="4" borderId="0" xfId="0" applyNumberFormat="1" applyFont="1" applyFill="1" applyAlignment="1">
      <alignment horizontal="center"/>
    </xf>
    <xf numFmtId="0" fontId="14" fillId="4" borderId="0" xfId="0" applyFont="1" applyFill="1" applyAlignment="1">
      <alignment horizontal="center"/>
    </xf>
    <xf numFmtId="0" fontId="1" fillId="8" borderId="4" xfId="0" applyFont="1" applyFill="1" applyBorder="1" applyAlignment="1">
      <alignment horizontal="center" vertical="center" wrapText="1"/>
    </xf>
    <xf numFmtId="49" fontId="15" fillId="2" borderId="4" xfId="0" applyNumberFormat="1" applyFont="1" applyFill="1" applyBorder="1" applyAlignment="1">
      <alignment horizontal="left" vertical="center"/>
    </xf>
    <xf numFmtId="49" fontId="16" fillId="2" borderId="4" xfId="0" applyNumberFormat="1" applyFont="1" applyFill="1" applyBorder="1" applyAlignment="1">
      <alignment horizontal="left" vertical="center"/>
    </xf>
    <xf numFmtId="49" fontId="1" fillId="2" borderId="4" xfId="0" applyNumberFormat="1" applyFont="1" applyFill="1" applyBorder="1" applyAlignment="1">
      <alignment horizontal="left" vertical="center"/>
    </xf>
    <xf numFmtId="0" fontId="10" fillId="0" borderId="4" xfId="0" applyFont="1" applyBorder="1" applyAlignment="1">
      <alignment horizontal="center" vertical="center" wrapText="1"/>
    </xf>
    <xf numFmtId="49" fontId="16" fillId="4" borderId="4" xfId="0" applyNumberFormat="1" applyFont="1" applyFill="1" applyBorder="1" applyAlignment="1">
      <alignment horizontal="left" vertical="center"/>
    </xf>
    <xf numFmtId="0" fontId="17" fillId="4" borderId="0" xfId="0" applyFont="1" applyFill="1" applyAlignment="1">
      <alignment horizontal="center"/>
    </xf>
    <xf numFmtId="0" fontId="1" fillId="9" borderId="4" xfId="0" applyFont="1" applyFill="1" applyBorder="1" applyAlignment="1">
      <alignment horizontal="center" vertical="center" wrapText="1"/>
    </xf>
    <xf numFmtId="0" fontId="18" fillId="10" borderId="4" xfId="0" applyFont="1" applyFill="1" applyBorder="1" applyAlignment="1">
      <alignment horizontal="center" vertical="center" wrapText="1"/>
    </xf>
    <xf numFmtId="0" fontId="1" fillId="10" borderId="4" xfId="0" applyFont="1" applyFill="1" applyBorder="1" applyAlignment="1">
      <alignment horizontal="center" vertical="center" wrapText="1"/>
    </xf>
    <xf numFmtId="49" fontId="1" fillId="11" borderId="4" xfId="0" applyNumberFormat="1" applyFont="1" applyFill="1" applyBorder="1" applyAlignment="1">
      <alignment horizontal="center" vertical="center"/>
    </xf>
    <xf numFmtId="49" fontId="1" fillId="11" borderId="4" xfId="0" applyNumberFormat="1" applyFont="1" applyFill="1" applyBorder="1" applyAlignment="1">
      <alignment horizontal="left" vertical="center"/>
    </xf>
    <xf numFmtId="0" fontId="1" fillId="11" borderId="4" xfId="0" applyFont="1" applyFill="1" applyBorder="1" applyAlignment="1">
      <alignment horizontal="center" vertical="center" wrapText="1"/>
    </xf>
    <xf numFmtId="0" fontId="1" fillId="12" borderId="4" xfId="0" applyFont="1" applyFill="1" applyBorder="1" applyAlignment="1">
      <alignment horizontal="center" vertical="center" wrapText="1"/>
    </xf>
    <xf numFmtId="4" fontId="12" fillId="11" borderId="4" xfId="0" applyNumberFormat="1" applyFont="1" applyFill="1" applyBorder="1" applyAlignment="1">
      <alignment horizontal="center" vertical="center" wrapText="1"/>
    </xf>
    <xf numFmtId="49" fontId="1" fillId="2" borderId="4" xfId="0" quotePrefix="1" applyNumberFormat="1" applyFont="1" applyFill="1" applyBorder="1" applyAlignment="1">
      <alignment horizontal="center" vertical="center"/>
    </xf>
    <xf numFmtId="49" fontId="1" fillId="2" borderId="4" xfId="0" applyNumberFormat="1" applyFont="1" applyFill="1" applyBorder="1" applyAlignment="1">
      <alignment horizontal="center" vertical="center"/>
    </xf>
    <xf numFmtId="43" fontId="11" fillId="2" borderId="4" xfId="0" applyNumberFormat="1" applyFont="1" applyFill="1" applyBorder="1" applyAlignment="1">
      <alignment horizontal="center"/>
    </xf>
    <xf numFmtId="4" fontId="12" fillId="2" borderId="4" xfId="0" applyNumberFormat="1" applyFont="1" applyFill="1" applyBorder="1" applyAlignment="1">
      <alignment horizontal="center" vertical="center" wrapText="1"/>
    </xf>
    <xf numFmtId="43" fontId="11" fillId="11" borderId="4" xfId="0" applyNumberFormat="1" applyFont="1" applyFill="1" applyBorder="1" applyAlignment="1">
      <alignment horizontal="center"/>
    </xf>
    <xf numFmtId="0" fontId="5" fillId="2" borderId="0" xfId="0" applyFont="1" applyFill="1"/>
    <xf numFmtId="43" fontId="11" fillId="0" borderId="4" xfId="0" applyNumberFormat="1" applyFont="1" applyBorder="1" applyAlignment="1">
      <alignment horizontal="center"/>
    </xf>
    <xf numFmtId="49" fontId="1" fillId="0" borderId="4" xfId="0" applyNumberFormat="1" applyFont="1" applyBorder="1" applyAlignment="1">
      <alignment horizontal="center" vertical="center"/>
    </xf>
    <xf numFmtId="49" fontId="1" fillId="0" borderId="4" xfId="0" applyNumberFormat="1" applyFont="1" applyBorder="1" applyAlignment="1">
      <alignment horizontal="left" vertical="center"/>
    </xf>
    <xf numFmtId="0" fontId="18" fillId="0" borderId="4" xfId="0" applyFont="1" applyBorder="1" applyAlignment="1">
      <alignment horizontal="center"/>
    </xf>
    <xf numFmtId="0" fontId="18" fillId="0" borderId="3" xfId="0" applyFont="1" applyBorder="1" applyAlignment="1">
      <alignment horizontal="center"/>
    </xf>
    <xf numFmtId="0" fontId="1" fillId="13" borderId="4"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4" xfId="0" applyFont="1" applyFill="1" applyBorder="1" applyAlignment="1">
      <alignment horizontal="left" vertical="center"/>
    </xf>
    <xf numFmtId="49" fontId="18" fillId="4" borderId="4" xfId="0" applyNumberFormat="1" applyFont="1" applyFill="1" applyBorder="1" applyAlignment="1">
      <alignment horizontal="center" vertical="center"/>
    </xf>
    <xf numFmtId="49" fontId="18" fillId="4" borderId="4" xfId="0" applyNumberFormat="1" applyFont="1" applyFill="1" applyBorder="1" applyAlignment="1">
      <alignment horizontal="left" vertical="center"/>
    </xf>
    <xf numFmtId="0" fontId="1" fillId="4" borderId="0" xfId="0" applyFont="1" applyFill="1" applyAlignment="1">
      <alignment horizontal="center" wrapText="1"/>
    </xf>
    <xf numFmtId="0" fontId="1" fillId="4" borderId="4" xfId="0" applyFont="1" applyFill="1" applyBorder="1" applyAlignment="1">
      <alignment horizontal="center" wrapText="1"/>
    </xf>
    <xf numFmtId="49" fontId="18" fillId="11" borderId="4" xfId="0" applyNumberFormat="1" applyFont="1" applyFill="1" applyBorder="1" applyAlignment="1">
      <alignment horizontal="center" vertical="center"/>
    </xf>
    <xf numFmtId="49" fontId="18" fillId="11" borderId="4" xfId="0" applyNumberFormat="1" applyFont="1" applyFill="1" applyBorder="1" applyAlignment="1">
      <alignment horizontal="left" vertical="center"/>
    </xf>
    <xf numFmtId="0" fontId="18" fillId="11" borderId="4" xfId="0" applyFont="1" applyFill="1" applyBorder="1" applyAlignment="1">
      <alignment horizontal="center" vertical="center" wrapText="1"/>
    </xf>
    <xf numFmtId="0" fontId="18" fillId="2" borderId="4" xfId="0" applyFont="1" applyFill="1" applyBorder="1" applyAlignment="1">
      <alignment horizontal="center" vertical="center" wrapText="1"/>
    </xf>
    <xf numFmtId="49" fontId="1" fillId="12" borderId="4" xfId="0" applyNumberFormat="1" applyFont="1" applyFill="1" applyBorder="1" applyAlignment="1">
      <alignment horizontal="center" vertical="center"/>
    </xf>
    <xf numFmtId="49" fontId="1" fillId="12" borderId="4" xfId="0" applyNumberFormat="1" applyFont="1" applyFill="1" applyBorder="1" applyAlignment="1">
      <alignment horizontal="left" vertical="center"/>
    </xf>
    <xf numFmtId="4" fontId="12" fillId="12" borderId="4" xfId="0" applyNumberFormat="1" applyFont="1" applyFill="1" applyBorder="1" applyAlignment="1">
      <alignment horizontal="center" vertical="center" wrapText="1"/>
    </xf>
    <xf numFmtId="49" fontId="1" fillId="14" borderId="4" xfId="0" applyNumberFormat="1" applyFont="1" applyFill="1" applyBorder="1" applyAlignment="1">
      <alignment horizontal="center" vertical="center"/>
    </xf>
    <xf numFmtId="49" fontId="1" fillId="14" borderId="4" xfId="0" applyNumberFormat="1" applyFont="1" applyFill="1" applyBorder="1" applyAlignment="1">
      <alignment horizontal="left" vertical="center"/>
    </xf>
    <xf numFmtId="0" fontId="1" fillId="14" borderId="4" xfId="0" applyFont="1" applyFill="1" applyBorder="1" applyAlignment="1">
      <alignment horizontal="center" vertical="center" wrapText="1"/>
    </xf>
    <xf numFmtId="43" fontId="11" fillId="14" borderId="4" xfId="0" applyNumberFormat="1" applyFont="1" applyFill="1" applyBorder="1" applyAlignment="1">
      <alignment horizontal="center"/>
    </xf>
    <xf numFmtId="4" fontId="12" fillId="14" borderId="4" xfId="0" applyNumberFormat="1" applyFont="1" applyFill="1" applyBorder="1" applyAlignment="1">
      <alignment horizontal="center" vertical="center" wrapText="1"/>
    </xf>
    <xf numFmtId="0" fontId="14" fillId="2" borderId="0" xfId="0" applyFont="1" applyFill="1" applyAlignment="1">
      <alignment horizontal="center"/>
    </xf>
    <xf numFmtId="0" fontId="5" fillId="4" borderId="0" xfId="0" applyFont="1" applyFill="1"/>
    <xf numFmtId="4" fontId="12" fillId="4" borderId="4" xfId="0" applyNumberFormat="1" applyFont="1" applyFill="1" applyBorder="1" applyAlignment="1">
      <alignment horizontal="center" vertical="center" wrapText="1"/>
    </xf>
    <xf numFmtId="0" fontId="14" fillId="2" borderId="0" xfId="0" applyFont="1" applyFill="1"/>
    <xf numFmtId="0" fontId="1" fillId="0" borderId="3" xfId="0" applyFont="1" applyBorder="1" applyAlignment="1">
      <alignment horizontal="center" vertical="center" wrapText="1"/>
    </xf>
    <xf numFmtId="0" fontId="3" fillId="0" borderId="3" xfId="0" applyFont="1" applyBorder="1"/>
    <xf numFmtId="0" fontId="10" fillId="0" borderId="3" xfId="0" applyFont="1" applyBorder="1" applyAlignment="1">
      <alignment horizontal="center"/>
    </xf>
    <xf numFmtId="0" fontId="1" fillId="4" borderId="4" xfId="0" applyFont="1" applyFill="1" applyBorder="1" applyAlignment="1">
      <alignment horizontal="center" vertical="center"/>
    </xf>
    <xf numFmtId="0" fontId="1" fillId="4" borderId="4" xfId="0" applyFont="1" applyFill="1" applyBorder="1" applyAlignment="1">
      <alignment horizontal="left" vertical="center"/>
    </xf>
    <xf numFmtId="0" fontId="1" fillId="0" borderId="4" xfId="0" applyFont="1" applyBorder="1" applyAlignment="1">
      <alignment horizontal="center" wrapText="1"/>
    </xf>
    <xf numFmtId="0" fontId="14" fillId="0" borderId="0" xfId="0" applyFont="1"/>
    <xf numFmtId="0" fontId="1" fillId="0" borderId="3" xfId="0" applyFont="1" applyBorder="1"/>
    <xf numFmtId="0" fontId="1" fillId="0" borderId="0" xfId="0" applyFont="1" applyAlignment="1">
      <alignment horizontal="center" vertical="center"/>
    </xf>
    <xf numFmtId="0" fontId="1" fillId="0" borderId="0" xfId="0" applyFont="1" applyAlignment="1">
      <alignment horizontal="left" vertical="center"/>
    </xf>
    <xf numFmtId="0" fontId="19" fillId="0" borderId="0" xfId="0" applyFont="1" applyAlignment="1">
      <alignment horizontal="left" vertical="center"/>
    </xf>
    <xf numFmtId="0" fontId="20" fillId="4" borderId="0" xfId="0" applyFont="1" applyFill="1"/>
    <xf numFmtId="49" fontId="1" fillId="0" borderId="0" xfId="0" applyNumberFormat="1" applyFont="1" applyAlignment="1">
      <alignment horizontal="center" vertical="center"/>
    </xf>
    <xf numFmtId="0" fontId="1" fillId="4" borderId="0" xfId="0" applyFont="1" applyFill="1" applyAlignment="1">
      <alignment horizontal="center" vertical="center"/>
    </xf>
    <xf numFmtId="0" fontId="1" fillId="4" borderId="0" xfId="0" applyFont="1" applyFill="1" applyAlignment="1">
      <alignment horizontal="left" vertical="center"/>
    </xf>
    <xf numFmtId="0" fontId="11" fillId="4" borderId="4" xfId="0" applyFont="1" applyFill="1" applyBorder="1" applyAlignment="1">
      <alignment horizontal="left" vertical="center"/>
    </xf>
    <xf numFmtId="3" fontId="11" fillId="4" borderId="4" xfId="0" applyNumberFormat="1" applyFont="1" applyFill="1" applyBorder="1" applyAlignment="1">
      <alignment horizontal="center" vertical="center" wrapText="1"/>
    </xf>
    <xf numFmtId="3" fontId="11" fillId="2" borderId="4" xfId="0" applyNumberFormat="1" applyFont="1" applyFill="1" applyBorder="1" applyAlignment="1">
      <alignment horizontal="center" vertical="center" wrapText="1"/>
    </xf>
    <xf numFmtId="43" fontId="11" fillId="4" borderId="0" xfId="0" applyNumberFormat="1" applyFont="1" applyFill="1" applyAlignment="1">
      <alignment horizontal="center" wrapText="1"/>
    </xf>
    <xf numFmtId="4" fontId="14" fillId="0" borderId="0" xfId="0" applyNumberFormat="1" applyFont="1" applyAlignment="1">
      <alignment vertical="center"/>
    </xf>
    <xf numFmtId="0" fontId="11" fillId="4" borderId="0" xfId="0" applyFont="1" applyFill="1" applyAlignment="1">
      <alignment horizontal="left" vertical="center"/>
    </xf>
    <xf numFmtId="3" fontId="11" fillId="4" borderId="0" xfId="0" applyNumberFormat="1" applyFont="1" applyFill="1" applyAlignment="1">
      <alignment horizontal="center" vertical="center" wrapText="1"/>
    </xf>
    <xf numFmtId="3" fontId="11" fillId="2" borderId="0" xfId="0" applyNumberFormat="1" applyFont="1" applyFill="1" applyAlignment="1">
      <alignment horizontal="center" vertical="center" wrapText="1"/>
    </xf>
    <xf numFmtId="4" fontId="12" fillId="4" borderId="0" xfId="0" applyNumberFormat="1" applyFont="1" applyFill="1" applyAlignment="1">
      <alignment horizontal="center" vertical="center" wrapText="1"/>
    </xf>
    <xf numFmtId="4" fontId="14" fillId="0" borderId="0" xfId="0" applyNumberFormat="1" applyFont="1"/>
    <xf numFmtId="0" fontId="2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MS_TIRE_INVENTORY_ALL%20BRANCHES.xlsx" TargetMode="External"/><Relationship Id="rId2" Type="http://schemas.openxmlformats.org/officeDocument/2006/relationships/externalLinkPath" Target="/Users/dinglasanefren/Downloads/SMS_TIRE_INVENTORY_ALL%20BRANCHES.xlsx" TargetMode="External"/><Relationship Id="rId1" Type="http://schemas.openxmlformats.org/officeDocument/2006/relationships/externalLinkPath" Target="/Users/dinglasanefren/Downloads/SMS_TIRE_INVENTORY_ALL%20BRANCHES.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SPC"/>
      <sheetName val="STC"/>
      <sheetName val="LIPA A"/>
      <sheetName val="LIPA B"/>
      <sheetName val="BIÑAN"/>
      <sheetName val="SAN VICENTE"/>
      <sheetName val="BY RIM PCR"/>
      <sheetName val="BY RIM TBR"/>
      <sheetName val="GRAND  TOTAL REPORT"/>
      <sheetName val="SEPARATE BRAND REPORT"/>
      <sheetName val="300 INCENTIVE"/>
      <sheetName val="OLD_DOT"/>
      <sheetName val="OLD DOT 2025"/>
      <sheetName val="SUMMARY NET COST"/>
      <sheetName val="FOR MAINTAIN"/>
      <sheetName val="PUSHING TIRES"/>
      <sheetName val="YK_GY"/>
      <sheetName val="Sheet21"/>
      <sheetName val="DOT BOSS SAM"/>
    </sheetNames>
    <sheetDataSet>
      <sheetData sheetId="0">
        <row r="4">
          <cell r="A4" t="str">
            <v>165</v>
          </cell>
          <cell r="B4">
            <v>65</v>
          </cell>
          <cell r="C4">
            <v>13</v>
          </cell>
          <cell r="D4" t="str">
            <v>ACCELERA (IDN)</v>
          </cell>
          <cell r="E4" t="str">
            <v>EPSILON</v>
          </cell>
          <cell r="N4">
            <v>1593.75</v>
          </cell>
        </row>
        <row r="5">
          <cell r="A5" t="str">
            <v>165</v>
          </cell>
          <cell r="B5">
            <v>65</v>
          </cell>
          <cell r="C5">
            <v>13</v>
          </cell>
          <cell r="D5" t="str">
            <v>ACCELERA (IDN)</v>
          </cell>
          <cell r="E5" t="str">
            <v>GAMMA</v>
          </cell>
          <cell r="N5">
            <v>1778</v>
          </cell>
        </row>
        <row r="6">
          <cell r="A6" t="str">
            <v>165</v>
          </cell>
          <cell r="B6">
            <v>80</v>
          </cell>
          <cell r="C6">
            <v>13</v>
          </cell>
          <cell r="D6" t="str">
            <v>ACCELERA (IDN)</v>
          </cell>
          <cell r="E6" t="str">
            <v>ECO PLUSH</v>
          </cell>
          <cell r="N6">
            <v>1848</v>
          </cell>
        </row>
        <row r="7">
          <cell r="A7" t="str">
            <v>175</v>
          </cell>
          <cell r="B7">
            <v>60</v>
          </cell>
          <cell r="C7">
            <v>13</v>
          </cell>
          <cell r="D7" t="str">
            <v>ACCELERA (IDN)</v>
          </cell>
          <cell r="E7" t="str">
            <v>GAMMA</v>
          </cell>
          <cell r="N7">
            <v>2136</v>
          </cell>
        </row>
        <row r="8">
          <cell r="A8">
            <v>185</v>
          </cell>
          <cell r="B8">
            <v>60</v>
          </cell>
          <cell r="C8">
            <v>13</v>
          </cell>
          <cell r="D8" t="str">
            <v>ACCELERA (IDN)</v>
          </cell>
          <cell r="E8" t="str">
            <v>ALPHA</v>
          </cell>
          <cell r="N8">
            <v>2180</v>
          </cell>
        </row>
        <row r="9">
          <cell r="A9" t="str">
            <v>175</v>
          </cell>
          <cell r="C9">
            <v>13</v>
          </cell>
          <cell r="D9" t="str">
            <v>ACCELERA (IDN)</v>
          </cell>
          <cell r="E9" t="str">
            <v>ULTRA 5</v>
          </cell>
          <cell r="N9">
            <v>2618</v>
          </cell>
        </row>
        <row r="10">
          <cell r="A10" t="str">
            <v>165</v>
          </cell>
          <cell r="B10">
            <v>60</v>
          </cell>
          <cell r="C10">
            <v>14</v>
          </cell>
          <cell r="D10" t="str">
            <v>ACCELERA (IDN)</v>
          </cell>
          <cell r="E10" t="str">
            <v>ECOPLUSH</v>
          </cell>
          <cell r="N10">
            <v>2114</v>
          </cell>
        </row>
        <row r="11">
          <cell r="A11" t="str">
            <v>165</v>
          </cell>
          <cell r="B11">
            <v>65</v>
          </cell>
          <cell r="C11">
            <v>14</v>
          </cell>
          <cell r="D11" t="str">
            <v>ACCELERA (IDN)</v>
          </cell>
          <cell r="E11" t="str">
            <v>ECOPLUSH</v>
          </cell>
          <cell r="N11">
            <v>2058</v>
          </cell>
        </row>
        <row r="12">
          <cell r="A12" t="str">
            <v>175</v>
          </cell>
          <cell r="B12">
            <v>65</v>
          </cell>
          <cell r="C12">
            <v>14</v>
          </cell>
          <cell r="D12" t="str">
            <v>ACCELERA (IDN)</v>
          </cell>
          <cell r="E12" t="str">
            <v>ECO PLUSH</v>
          </cell>
          <cell r="N12">
            <v>1862</v>
          </cell>
        </row>
        <row r="13">
          <cell r="A13" t="str">
            <v>185</v>
          </cell>
          <cell r="B13">
            <v>65</v>
          </cell>
          <cell r="C13">
            <v>14</v>
          </cell>
          <cell r="D13" t="str">
            <v>ACCELERA (IDN)</v>
          </cell>
          <cell r="E13" t="str">
            <v>ECO PLUSH</v>
          </cell>
          <cell r="N13">
            <v>2121</v>
          </cell>
        </row>
        <row r="14">
          <cell r="A14" t="str">
            <v>175</v>
          </cell>
          <cell r="B14">
            <v>70</v>
          </cell>
          <cell r="C14">
            <v>14</v>
          </cell>
          <cell r="D14" t="str">
            <v>ACCELERA (IDN)</v>
          </cell>
          <cell r="E14" t="str">
            <v>ECO PLUSH</v>
          </cell>
          <cell r="N14">
            <v>2268</v>
          </cell>
        </row>
        <row r="15">
          <cell r="A15" t="str">
            <v>185</v>
          </cell>
          <cell r="B15">
            <v>70</v>
          </cell>
          <cell r="C15">
            <v>14</v>
          </cell>
          <cell r="D15" t="str">
            <v>ACCELERA (IDN)</v>
          </cell>
          <cell r="E15" t="str">
            <v>ECO PLUSH</v>
          </cell>
          <cell r="N15">
            <v>2320</v>
          </cell>
        </row>
        <row r="16">
          <cell r="A16" t="str">
            <v>185</v>
          </cell>
          <cell r="C16" t="str">
            <v>14C</v>
          </cell>
          <cell r="D16" t="str">
            <v>ACCELERA (IDN)</v>
          </cell>
          <cell r="E16" t="str">
            <v>ULTRA 3</v>
          </cell>
          <cell r="N16">
            <v>2646</v>
          </cell>
        </row>
        <row r="17">
          <cell r="A17" t="str">
            <v>195</v>
          </cell>
          <cell r="C17" t="str">
            <v>14C</v>
          </cell>
          <cell r="D17" t="str">
            <v>ACCELERA (IDN)</v>
          </cell>
          <cell r="E17" t="str">
            <v>ULTRA 3</v>
          </cell>
          <cell r="N17">
            <v>2940</v>
          </cell>
        </row>
        <row r="18">
          <cell r="A18" t="str">
            <v>195</v>
          </cell>
          <cell r="C18" t="str">
            <v>14C</v>
          </cell>
          <cell r="D18" t="str">
            <v>ACCELERA (IDN)</v>
          </cell>
          <cell r="E18" t="str">
            <v>ULTRA 3 (WHITE LETTER)</v>
          </cell>
          <cell r="N18">
            <v>3269</v>
          </cell>
        </row>
        <row r="19">
          <cell r="A19" t="str">
            <v>195</v>
          </cell>
          <cell r="B19">
            <v>50</v>
          </cell>
          <cell r="C19">
            <v>15</v>
          </cell>
          <cell r="D19" t="str">
            <v>ACCELERA (IDN)</v>
          </cell>
          <cell r="E19" t="str">
            <v>651 SPORT TW200</v>
          </cell>
          <cell r="N19">
            <v>2660</v>
          </cell>
        </row>
        <row r="20">
          <cell r="A20" t="str">
            <v>195</v>
          </cell>
          <cell r="B20">
            <v>50</v>
          </cell>
          <cell r="C20">
            <v>15</v>
          </cell>
          <cell r="D20" t="str">
            <v>ACCELERA (IDN)</v>
          </cell>
          <cell r="E20" t="str">
            <v>PHI-R</v>
          </cell>
          <cell r="N20">
            <v>2464</v>
          </cell>
        </row>
        <row r="21">
          <cell r="A21" t="str">
            <v>185</v>
          </cell>
          <cell r="B21">
            <v>60</v>
          </cell>
          <cell r="C21">
            <v>15</v>
          </cell>
          <cell r="D21" t="str">
            <v>ACCELERA (IDN)</v>
          </cell>
          <cell r="E21" t="str">
            <v>ECO PLUSH</v>
          </cell>
          <cell r="N21">
            <v>2733.15</v>
          </cell>
        </row>
        <row r="22">
          <cell r="A22" t="str">
            <v>195</v>
          </cell>
          <cell r="B22">
            <v>60</v>
          </cell>
          <cell r="C22">
            <v>15</v>
          </cell>
          <cell r="D22" t="str">
            <v>ACCELERA (IDN)</v>
          </cell>
          <cell r="E22" t="str">
            <v>ECO PLUSH</v>
          </cell>
          <cell r="N22">
            <v>3072.3</v>
          </cell>
        </row>
        <row r="23">
          <cell r="A23" t="str">
            <v>195</v>
          </cell>
          <cell r="B23">
            <v>65</v>
          </cell>
          <cell r="C23">
            <v>15</v>
          </cell>
          <cell r="D23" t="str">
            <v>ACCELERA (IDN)</v>
          </cell>
          <cell r="E23" t="str">
            <v>ECO PLUSH</v>
          </cell>
          <cell r="N23">
            <v>2702</v>
          </cell>
        </row>
        <row r="24">
          <cell r="A24" t="str">
            <v>195</v>
          </cell>
          <cell r="C24" t="str">
            <v>15C</v>
          </cell>
          <cell r="D24" t="str">
            <v>ACCELERA (IDN)</v>
          </cell>
          <cell r="E24" t="str">
            <v>ULTRA 3</v>
          </cell>
          <cell r="N24">
            <v>3479</v>
          </cell>
        </row>
        <row r="25">
          <cell r="A25" t="str">
            <v>175</v>
          </cell>
          <cell r="B25">
            <v>55</v>
          </cell>
          <cell r="C25">
            <v>15</v>
          </cell>
          <cell r="D25" t="str">
            <v>ACCELERA (IDN)</v>
          </cell>
          <cell r="E25" t="str">
            <v>PHI-R</v>
          </cell>
          <cell r="N25">
            <v>2450</v>
          </cell>
        </row>
        <row r="26">
          <cell r="A26" t="str">
            <v>185</v>
          </cell>
          <cell r="B26">
            <v>55</v>
          </cell>
          <cell r="C26">
            <v>15</v>
          </cell>
          <cell r="D26" t="str">
            <v>ACCELERA (IDN)</v>
          </cell>
          <cell r="E26" t="str">
            <v>PHI-R</v>
          </cell>
          <cell r="N26">
            <v>2835</v>
          </cell>
        </row>
        <row r="27">
          <cell r="A27" t="str">
            <v>195</v>
          </cell>
          <cell r="B27">
            <v>55</v>
          </cell>
          <cell r="C27">
            <v>15</v>
          </cell>
          <cell r="D27" t="str">
            <v>ACCELERA (IDN)</v>
          </cell>
          <cell r="E27" t="str">
            <v>PHI-R</v>
          </cell>
          <cell r="N27">
            <v>2534</v>
          </cell>
        </row>
        <row r="28">
          <cell r="A28" t="str">
            <v>195</v>
          </cell>
          <cell r="B28">
            <v>55</v>
          </cell>
          <cell r="C28">
            <v>15</v>
          </cell>
          <cell r="D28" t="str">
            <v>ACCELERA (IDN)</v>
          </cell>
          <cell r="E28" t="str">
            <v>651 SPORT</v>
          </cell>
          <cell r="N28">
            <v>2744</v>
          </cell>
        </row>
        <row r="29">
          <cell r="A29" t="str">
            <v>175</v>
          </cell>
          <cell r="B29">
            <v>65</v>
          </cell>
          <cell r="C29">
            <v>15</v>
          </cell>
          <cell r="D29" t="str">
            <v>ACCELERA (IDN)</v>
          </cell>
          <cell r="E29" t="str">
            <v>ECO PLUSH</v>
          </cell>
          <cell r="N29">
            <v>2415</v>
          </cell>
        </row>
        <row r="30">
          <cell r="A30" t="str">
            <v>185</v>
          </cell>
          <cell r="B30">
            <v>65</v>
          </cell>
          <cell r="C30">
            <v>15</v>
          </cell>
          <cell r="D30" t="str">
            <v>ACCELERA (IDN)</v>
          </cell>
          <cell r="E30" t="str">
            <v>ECO PLUSH</v>
          </cell>
          <cell r="N30">
            <v>2807</v>
          </cell>
        </row>
        <row r="31">
          <cell r="A31" t="str">
            <v>205</v>
          </cell>
          <cell r="B31">
            <v>65</v>
          </cell>
          <cell r="C31">
            <v>15</v>
          </cell>
          <cell r="D31" t="str">
            <v>ACCELERA (IDN)</v>
          </cell>
          <cell r="E31" t="str">
            <v>ECO PLUSH</v>
          </cell>
          <cell r="N31">
            <v>2779</v>
          </cell>
        </row>
        <row r="32">
          <cell r="A32" t="str">
            <v>195</v>
          </cell>
          <cell r="B32">
            <v>70</v>
          </cell>
          <cell r="C32" t="str">
            <v>15C</v>
          </cell>
          <cell r="D32" t="str">
            <v>ACCELERA (IDN)</v>
          </cell>
          <cell r="E32" t="str">
            <v>ULTRA 8pr</v>
          </cell>
          <cell r="N32">
            <v>4046</v>
          </cell>
        </row>
        <row r="33">
          <cell r="A33" t="str">
            <v>205</v>
          </cell>
          <cell r="B33">
            <v>70</v>
          </cell>
          <cell r="C33">
            <v>15</v>
          </cell>
          <cell r="D33" t="str">
            <v>ACCELERA (IDN)</v>
          </cell>
          <cell r="E33" t="str">
            <v>ECO PLUSH</v>
          </cell>
          <cell r="N33">
            <v>3486</v>
          </cell>
        </row>
        <row r="34">
          <cell r="A34" t="str">
            <v>235</v>
          </cell>
          <cell r="B34">
            <v>70</v>
          </cell>
          <cell r="C34">
            <v>15</v>
          </cell>
          <cell r="D34" t="str">
            <v>ACCELERA (IDN)</v>
          </cell>
          <cell r="E34" t="str">
            <v>OMIKRON A/T OWL</v>
          </cell>
          <cell r="N34">
            <v>4760</v>
          </cell>
        </row>
        <row r="35">
          <cell r="A35" t="str">
            <v xml:space="preserve">235 </v>
          </cell>
          <cell r="B35">
            <v>75</v>
          </cell>
          <cell r="C35">
            <v>15</v>
          </cell>
          <cell r="D35" t="str">
            <v>ACCELERA (IDN)</v>
          </cell>
          <cell r="E35" t="str">
            <v>OMICRON A\T OWL</v>
          </cell>
          <cell r="N35">
            <v>4960.8999999999996</v>
          </cell>
        </row>
        <row r="36">
          <cell r="A36">
            <v>30</v>
          </cell>
          <cell r="B36">
            <v>9.5</v>
          </cell>
          <cell r="C36">
            <v>15</v>
          </cell>
          <cell r="D36" t="str">
            <v>ACCELERA (IDN)</v>
          </cell>
          <cell r="E36" t="str">
            <v>LT MT-01</v>
          </cell>
          <cell r="N36">
            <v>6762</v>
          </cell>
        </row>
        <row r="37">
          <cell r="A37">
            <v>31</v>
          </cell>
          <cell r="B37">
            <v>10.5</v>
          </cell>
          <cell r="C37">
            <v>15</v>
          </cell>
          <cell r="D37" t="str">
            <v>ACCELERA (IDN)</v>
          </cell>
          <cell r="E37" t="str">
            <v>6PR LT MT/01</v>
          </cell>
          <cell r="N37">
            <v>6930</v>
          </cell>
        </row>
        <row r="38">
          <cell r="A38">
            <v>31</v>
          </cell>
          <cell r="B38">
            <v>10.5</v>
          </cell>
          <cell r="C38">
            <v>15</v>
          </cell>
          <cell r="D38" t="str">
            <v>ACCELERA (IDN)</v>
          </cell>
          <cell r="E38" t="str">
            <v>LT BADAK X-TREME</v>
          </cell>
          <cell r="N38">
            <v>9135</v>
          </cell>
        </row>
        <row r="39">
          <cell r="A39">
            <v>185</v>
          </cell>
          <cell r="B39">
            <v>50</v>
          </cell>
          <cell r="C39">
            <v>16</v>
          </cell>
          <cell r="D39" t="str">
            <v>ACCELERA (IDN)</v>
          </cell>
          <cell r="E39" t="str">
            <v>PHI R</v>
          </cell>
          <cell r="N39">
            <v>2896</v>
          </cell>
        </row>
        <row r="40">
          <cell r="A40" t="str">
            <v>195</v>
          </cell>
          <cell r="B40">
            <v>50</v>
          </cell>
          <cell r="C40">
            <v>16</v>
          </cell>
          <cell r="D40" t="str">
            <v>ACCELERA (IDN)</v>
          </cell>
          <cell r="E40" t="str">
            <v>651 SPORT TW200</v>
          </cell>
          <cell r="N40">
            <v>3906</v>
          </cell>
        </row>
        <row r="41">
          <cell r="A41" t="str">
            <v>185</v>
          </cell>
          <cell r="B41">
            <v>55</v>
          </cell>
          <cell r="C41">
            <v>16</v>
          </cell>
          <cell r="D41" t="str">
            <v>ACCELERA (IDN)</v>
          </cell>
          <cell r="E41" t="str">
            <v>PHI R</v>
          </cell>
          <cell r="N41">
            <v>2835</v>
          </cell>
        </row>
        <row r="42">
          <cell r="A42" t="str">
            <v>195</v>
          </cell>
          <cell r="B42">
            <v>55</v>
          </cell>
          <cell r="C42">
            <v>16</v>
          </cell>
          <cell r="D42" t="str">
            <v>ACCELERA (IDN)</v>
          </cell>
          <cell r="E42" t="str">
            <v>PHI R</v>
          </cell>
          <cell r="N42">
            <v>3234</v>
          </cell>
        </row>
        <row r="43">
          <cell r="A43" t="str">
            <v>205</v>
          </cell>
          <cell r="B43">
            <v>45</v>
          </cell>
          <cell r="C43">
            <v>16</v>
          </cell>
          <cell r="D43" t="str">
            <v>ACCELERA (IDN)</v>
          </cell>
          <cell r="E43" t="str">
            <v>XL PHI-R</v>
          </cell>
          <cell r="N43">
            <v>3150</v>
          </cell>
        </row>
        <row r="44">
          <cell r="A44" t="str">
            <v>205</v>
          </cell>
          <cell r="B44">
            <v>50</v>
          </cell>
          <cell r="C44">
            <v>16</v>
          </cell>
          <cell r="D44" t="str">
            <v>ACCELERA (IDN)</v>
          </cell>
          <cell r="E44" t="str">
            <v>651 SPORT</v>
          </cell>
          <cell r="N44">
            <v>3990</v>
          </cell>
        </row>
        <row r="45">
          <cell r="A45">
            <v>205</v>
          </cell>
          <cell r="B45">
            <v>55</v>
          </cell>
          <cell r="C45">
            <v>16</v>
          </cell>
          <cell r="D45" t="str">
            <v>ACCELERA (IDN)</v>
          </cell>
          <cell r="E45" t="str">
            <v>PHI</v>
          </cell>
          <cell r="N45">
            <v>2975</v>
          </cell>
        </row>
        <row r="46">
          <cell r="A46" t="str">
            <v>195</v>
          </cell>
          <cell r="B46">
            <v>60</v>
          </cell>
          <cell r="C46">
            <v>16</v>
          </cell>
          <cell r="D46" t="str">
            <v>ACCELERA (IDN)</v>
          </cell>
          <cell r="E46" t="str">
            <v>ECO PLUSH</v>
          </cell>
          <cell r="N46">
            <v>3234</v>
          </cell>
        </row>
        <row r="47">
          <cell r="A47" t="str">
            <v>205</v>
          </cell>
          <cell r="B47">
            <v>60</v>
          </cell>
          <cell r="C47">
            <v>16</v>
          </cell>
          <cell r="D47" t="str">
            <v>ACCELERA (IDN)</v>
          </cell>
          <cell r="E47" t="str">
            <v>ECO PLUSH</v>
          </cell>
          <cell r="N47">
            <v>3381</v>
          </cell>
        </row>
        <row r="48">
          <cell r="A48" t="str">
            <v>205</v>
          </cell>
          <cell r="B48">
            <v>65</v>
          </cell>
          <cell r="C48">
            <v>16</v>
          </cell>
          <cell r="D48" t="str">
            <v>ACCELERA (IDN)</v>
          </cell>
          <cell r="E48" t="str">
            <v>ECO PLUSH</v>
          </cell>
          <cell r="N48">
            <v>3654</v>
          </cell>
        </row>
        <row r="49">
          <cell r="A49" t="str">
            <v>225</v>
          </cell>
          <cell r="B49">
            <v>70</v>
          </cell>
          <cell r="C49">
            <v>16</v>
          </cell>
          <cell r="D49" t="str">
            <v>ACCELERA (IDN)</v>
          </cell>
          <cell r="E49" t="str">
            <v>OMIKRON C/T</v>
          </cell>
          <cell r="N49">
            <v>5852</v>
          </cell>
        </row>
        <row r="50">
          <cell r="A50">
            <v>265</v>
          </cell>
          <cell r="B50">
            <v>70</v>
          </cell>
          <cell r="C50">
            <v>16</v>
          </cell>
          <cell r="D50" t="str">
            <v>ACCELERA (IDN)</v>
          </cell>
          <cell r="E50" t="str">
            <v>IOTA ST68</v>
          </cell>
          <cell r="N50">
            <v>5453</v>
          </cell>
        </row>
        <row r="51">
          <cell r="A51" t="str">
            <v>245</v>
          </cell>
          <cell r="B51">
            <v>75</v>
          </cell>
          <cell r="C51">
            <v>16</v>
          </cell>
          <cell r="D51" t="str">
            <v>ACCELERA (IDN)</v>
          </cell>
          <cell r="E51" t="str">
            <v>OMIKRON AT</v>
          </cell>
          <cell r="N51">
            <v>5876</v>
          </cell>
        </row>
        <row r="52">
          <cell r="A52">
            <v>35</v>
          </cell>
          <cell r="B52">
            <v>10.5</v>
          </cell>
          <cell r="C52">
            <v>16</v>
          </cell>
          <cell r="D52" t="str">
            <v>ACCELERA (IDN)</v>
          </cell>
          <cell r="E52" t="str">
            <v>LT BADAK X-TREME</v>
          </cell>
          <cell r="N52">
            <v>11207</v>
          </cell>
        </row>
        <row r="53">
          <cell r="A53">
            <v>205</v>
          </cell>
          <cell r="B53">
            <v>45</v>
          </cell>
          <cell r="C53">
            <v>17</v>
          </cell>
          <cell r="D53" t="str">
            <v>ACCELERA (IDN)</v>
          </cell>
          <cell r="E53" t="str">
            <v>651 SPORT</v>
          </cell>
          <cell r="N53">
            <v>3437</v>
          </cell>
        </row>
        <row r="54">
          <cell r="A54">
            <v>215</v>
          </cell>
          <cell r="B54">
            <v>45</v>
          </cell>
          <cell r="C54">
            <v>17</v>
          </cell>
          <cell r="D54" t="str">
            <v>ACCELERA (IDN)</v>
          </cell>
          <cell r="E54" t="str">
            <v>651 SPORT TW200</v>
          </cell>
          <cell r="N54">
            <v>3519.25</v>
          </cell>
        </row>
        <row r="55">
          <cell r="A55">
            <v>205</v>
          </cell>
          <cell r="B55">
            <v>50</v>
          </cell>
          <cell r="C55">
            <v>17</v>
          </cell>
          <cell r="D55" t="str">
            <v>ACCELERA (IDN)</v>
          </cell>
          <cell r="E55" t="str">
            <v>PHI</v>
          </cell>
          <cell r="N55">
            <v>3948</v>
          </cell>
        </row>
        <row r="56">
          <cell r="A56">
            <v>205</v>
          </cell>
          <cell r="B56">
            <v>55</v>
          </cell>
          <cell r="C56">
            <v>17</v>
          </cell>
          <cell r="D56" t="str">
            <v>ACCELERA (IDN)</v>
          </cell>
          <cell r="E56" t="str">
            <v>PHI-R</v>
          </cell>
          <cell r="N56">
            <v>3857</v>
          </cell>
        </row>
        <row r="57">
          <cell r="A57">
            <v>225</v>
          </cell>
          <cell r="B57">
            <v>55</v>
          </cell>
          <cell r="C57">
            <v>17</v>
          </cell>
          <cell r="D57" t="str">
            <v>ACCELERA (IDN)</v>
          </cell>
          <cell r="E57" t="str">
            <v>PHI-R</v>
          </cell>
          <cell r="N57">
            <v>4277</v>
          </cell>
        </row>
        <row r="58">
          <cell r="A58">
            <v>35</v>
          </cell>
          <cell r="B58">
            <v>12.5</v>
          </cell>
          <cell r="C58">
            <v>17</v>
          </cell>
          <cell r="D58" t="str">
            <v>ACCELERA (IDN)</v>
          </cell>
          <cell r="E58" t="str">
            <v>M/T01</v>
          </cell>
          <cell r="N58">
            <v>8977.5</v>
          </cell>
        </row>
        <row r="59">
          <cell r="A59" t="str">
            <v>37</v>
          </cell>
          <cell r="B59">
            <v>11.5</v>
          </cell>
          <cell r="C59">
            <v>17</v>
          </cell>
          <cell r="D59" t="str">
            <v>ACCELERA (IDN)</v>
          </cell>
          <cell r="E59" t="str">
            <v>LT BADAK X-TREME</v>
          </cell>
          <cell r="N59">
            <v>12677</v>
          </cell>
        </row>
        <row r="60">
          <cell r="A60" t="str">
            <v>225</v>
          </cell>
          <cell r="B60">
            <v>60</v>
          </cell>
          <cell r="C60">
            <v>17</v>
          </cell>
          <cell r="D60" t="str">
            <v>ACCELERA (IDN)</v>
          </cell>
          <cell r="E60" t="str">
            <v>IOTA ST68</v>
          </cell>
          <cell r="N60">
            <v>5796</v>
          </cell>
        </row>
        <row r="61">
          <cell r="A61" t="str">
            <v>225</v>
          </cell>
          <cell r="B61">
            <v>65</v>
          </cell>
          <cell r="C61">
            <v>17</v>
          </cell>
          <cell r="D61" t="str">
            <v>ACCELERA (IDN)</v>
          </cell>
          <cell r="E61" t="str">
            <v>IOTA 6</v>
          </cell>
          <cell r="N61">
            <v>4931.25</v>
          </cell>
        </row>
        <row r="62">
          <cell r="A62" t="str">
            <v>225</v>
          </cell>
          <cell r="B62">
            <v>65</v>
          </cell>
          <cell r="C62">
            <v>17</v>
          </cell>
          <cell r="D62" t="str">
            <v>ACCELERA (IDN)</v>
          </cell>
          <cell r="E62" t="str">
            <v>OMIKRON C/T</v>
          </cell>
          <cell r="N62">
            <v>6671</v>
          </cell>
        </row>
        <row r="63">
          <cell r="A63" t="str">
            <v>265</v>
          </cell>
          <cell r="B63">
            <v>65</v>
          </cell>
          <cell r="C63">
            <v>17</v>
          </cell>
          <cell r="D63" t="str">
            <v>ACCELERA (IDN)</v>
          </cell>
          <cell r="E63" t="str">
            <v>OMIKRON A/T</v>
          </cell>
          <cell r="N63">
            <v>6730</v>
          </cell>
        </row>
        <row r="64">
          <cell r="A64" t="str">
            <v>265</v>
          </cell>
          <cell r="B64">
            <v>65</v>
          </cell>
          <cell r="C64">
            <v>17</v>
          </cell>
          <cell r="D64" t="str">
            <v>ACCELERA (IDN)</v>
          </cell>
          <cell r="E64" t="str">
            <v>IOTA ST68</v>
          </cell>
          <cell r="N64">
            <v>5820</v>
          </cell>
        </row>
        <row r="65">
          <cell r="A65" t="str">
            <v>265</v>
          </cell>
          <cell r="B65">
            <v>70</v>
          </cell>
          <cell r="C65">
            <v>17</v>
          </cell>
          <cell r="D65" t="str">
            <v>ACCELERA (IDN)</v>
          </cell>
          <cell r="E65" t="str">
            <v>OMIKRON H/T</v>
          </cell>
          <cell r="N65">
            <v>6728</v>
          </cell>
        </row>
        <row r="66">
          <cell r="A66" t="str">
            <v>265</v>
          </cell>
          <cell r="B66">
            <v>70</v>
          </cell>
          <cell r="C66">
            <v>17</v>
          </cell>
          <cell r="D66" t="str">
            <v>ACCELERA (IDN)</v>
          </cell>
          <cell r="E66" t="str">
            <v>OMIKRON A/T</v>
          </cell>
          <cell r="N66">
            <v>7049</v>
          </cell>
        </row>
        <row r="67">
          <cell r="A67">
            <v>285</v>
          </cell>
          <cell r="B67">
            <v>70</v>
          </cell>
          <cell r="C67">
            <v>17</v>
          </cell>
          <cell r="D67" t="str">
            <v>ACCELERA (IDN)</v>
          </cell>
          <cell r="E67" t="str">
            <v>OMIKRON AT (OWL)</v>
          </cell>
          <cell r="N67">
            <v>7723.83</v>
          </cell>
        </row>
        <row r="68">
          <cell r="A68">
            <v>315</v>
          </cell>
          <cell r="B68">
            <v>70</v>
          </cell>
          <cell r="C68">
            <v>17</v>
          </cell>
          <cell r="D68" t="str">
            <v>ACCELERA (IDN)</v>
          </cell>
          <cell r="E68" t="str">
            <v>OMIKRON MT</v>
          </cell>
          <cell r="N68">
            <v>9576</v>
          </cell>
        </row>
        <row r="69">
          <cell r="A69" t="str">
            <v>35</v>
          </cell>
          <cell r="B69">
            <v>12.5</v>
          </cell>
          <cell r="C69">
            <v>18</v>
          </cell>
          <cell r="D69" t="str">
            <v>ACCELERA (IDN)</v>
          </cell>
          <cell r="E69" t="str">
            <v>MT 01</v>
          </cell>
          <cell r="N69">
            <v>8479.25</v>
          </cell>
        </row>
        <row r="70">
          <cell r="A70" t="str">
            <v>235</v>
          </cell>
          <cell r="B70">
            <v>40</v>
          </cell>
          <cell r="C70">
            <v>18</v>
          </cell>
          <cell r="D70" t="str">
            <v>ACCELERA (IDN)</v>
          </cell>
          <cell r="E70" t="str">
            <v>PHI</v>
          </cell>
          <cell r="N70">
            <v>4214</v>
          </cell>
        </row>
        <row r="71">
          <cell r="A71" t="str">
            <v>235</v>
          </cell>
          <cell r="B71">
            <v>50</v>
          </cell>
          <cell r="C71">
            <v>18</v>
          </cell>
          <cell r="D71" t="str">
            <v>ACCELERA (IDN)</v>
          </cell>
          <cell r="E71" t="str">
            <v>PHI-R</v>
          </cell>
          <cell r="N71">
            <v>4179</v>
          </cell>
        </row>
        <row r="72">
          <cell r="A72" t="str">
            <v>235</v>
          </cell>
          <cell r="B72">
            <v>55</v>
          </cell>
          <cell r="C72">
            <v>18</v>
          </cell>
          <cell r="D72" t="str">
            <v>ACCELERA (IDN)</v>
          </cell>
          <cell r="E72" t="str">
            <v>IOTA-ST68</v>
          </cell>
          <cell r="N72">
            <v>5754</v>
          </cell>
        </row>
        <row r="73">
          <cell r="A73" t="str">
            <v>235</v>
          </cell>
          <cell r="B73">
            <v>60</v>
          </cell>
          <cell r="C73">
            <v>18</v>
          </cell>
          <cell r="D73" t="str">
            <v>ACCELERA (IDN)</v>
          </cell>
          <cell r="E73" t="str">
            <v>IOTA-ST68</v>
          </cell>
          <cell r="N73">
            <v>6174</v>
          </cell>
        </row>
        <row r="74">
          <cell r="A74" t="str">
            <v>265</v>
          </cell>
          <cell r="B74">
            <v>60</v>
          </cell>
          <cell r="C74">
            <v>18</v>
          </cell>
          <cell r="D74" t="str">
            <v>ACCELERA (IDN)</v>
          </cell>
          <cell r="E74" t="str">
            <v>IOTA-ST68</v>
          </cell>
          <cell r="N74">
            <v>6986</v>
          </cell>
        </row>
        <row r="75">
          <cell r="A75" t="str">
            <v>265</v>
          </cell>
          <cell r="B75">
            <v>60</v>
          </cell>
          <cell r="C75">
            <v>18</v>
          </cell>
          <cell r="D75" t="str">
            <v>ACCELERA (IDN)</v>
          </cell>
          <cell r="E75" t="str">
            <v>OMIKRON AT</v>
          </cell>
          <cell r="N75">
            <v>7721</v>
          </cell>
        </row>
        <row r="76">
          <cell r="A76" t="str">
            <v>275</v>
          </cell>
          <cell r="B76">
            <v>65</v>
          </cell>
          <cell r="C76">
            <v>18</v>
          </cell>
          <cell r="D76" t="str">
            <v>ACCELERA (IDN)</v>
          </cell>
          <cell r="E76" t="str">
            <v>OMIKRON C/T</v>
          </cell>
          <cell r="N76">
            <v>8379</v>
          </cell>
        </row>
        <row r="77">
          <cell r="A77" t="str">
            <v>235</v>
          </cell>
          <cell r="B77">
            <v>35</v>
          </cell>
          <cell r="C77">
            <v>20</v>
          </cell>
          <cell r="D77" t="str">
            <v>ACCELERA (IDN)</v>
          </cell>
          <cell r="E77" t="str">
            <v>PHI</v>
          </cell>
          <cell r="N77">
            <v>5964</v>
          </cell>
        </row>
        <row r="78">
          <cell r="A78" t="str">
            <v>245</v>
          </cell>
          <cell r="B78">
            <v>35</v>
          </cell>
          <cell r="C78">
            <v>20</v>
          </cell>
          <cell r="D78" t="str">
            <v>ACCELERA (IDN)</v>
          </cell>
          <cell r="E78" t="str">
            <v>PHI-R STA</v>
          </cell>
          <cell r="N78">
            <v>6330</v>
          </cell>
        </row>
        <row r="79">
          <cell r="A79" t="str">
            <v>265</v>
          </cell>
          <cell r="B79">
            <v>50</v>
          </cell>
          <cell r="C79">
            <v>20</v>
          </cell>
          <cell r="D79" t="str">
            <v>ACCELERA (IDN)</v>
          </cell>
          <cell r="E79" t="str">
            <v>OMIKRON AT</v>
          </cell>
          <cell r="N79">
            <v>6650</v>
          </cell>
        </row>
        <row r="80">
          <cell r="A80" t="str">
            <v>265</v>
          </cell>
          <cell r="B80">
            <v>50</v>
          </cell>
          <cell r="C80">
            <v>20</v>
          </cell>
          <cell r="D80" t="str">
            <v>ACCELERA (IDN)</v>
          </cell>
          <cell r="E80" t="str">
            <v>IOTA ST68</v>
          </cell>
          <cell r="N80">
            <v>5750</v>
          </cell>
        </row>
        <row r="81">
          <cell r="A81" t="str">
            <v>275</v>
          </cell>
          <cell r="B81">
            <v>55</v>
          </cell>
          <cell r="C81">
            <v>20</v>
          </cell>
          <cell r="D81" t="str">
            <v>ACCELERA (IDN)</v>
          </cell>
          <cell r="E81" t="str">
            <v>OMIKRON C/T</v>
          </cell>
          <cell r="N81">
            <v>7623</v>
          </cell>
        </row>
        <row r="82">
          <cell r="A82" t="str">
            <v>275</v>
          </cell>
          <cell r="B82">
            <v>55</v>
          </cell>
          <cell r="C82">
            <v>20</v>
          </cell>
          <cell r="D82" t="str">
            <v>ACCELERA (IDN)</v>
          </cell>
          <cell r="E82" t="str">
            <v>IOTA ST68</v>
          </cell>
          <cell r="N82">
            <v>6997.5</v>
          </cell>
        </row>
        <row r="83">
          <cell r="A83" t="str">
            <v>275</v>
          </cell>
          <cell r="B83">
            <v>55</v>
          </cell>
          <cell r="C83">
            <v>20</v>
          </cell>
          <cell r="D83" t="str">
            <v>ACCELERA (IDN)</v>
          </cell>
          <cell r="N83">
            <v>6997.5</v>
          </cell>
        </row>
        <row r="84">
          <cell r="A84">
            <v>33</v>
          </cell>
          <cell r="B84" t="str">
            <v>12.5</v>
          </cell>
          <cell r="D84" t="str">
            <v>ACCELERA (IDN)</v>
          </cell>
          <cell r="E84" t="str">
            <v>MT 01</v>
          </cell>
          <cell r="N84">
            <v>10425</v>
          </cell>
        </row>
        <row r="85">
          <cell r="A85">
            <v>275</v>
          </cell>
          <cell r="B85">
            <v>45</v>
          </cell>
          <cell r="D85" t="str">
            <v>ACCELERA (IDN)</v>
          </cell>
          <cell r="E85" t="str">
            <v>IOTA ST68</v>
          </cell>
          <cell r="N85">
            <v>9401</v>
          </cell>
        </row>
        <row r="86">
          <cell r="A86">
            <v>165</v>
          </cell>
          <cell r="B86">
            <v>80</v>
          </cell>
          <cell r="D86" t="str">
            <v>ACHILLES (IDN)</v>
          </cell>
          <cell r="E86">
            <v>122</v>
          </cell>
          <cell r="N86">
            <v>1610</v>
          </cell>
        </row>
        <row r="87">
          <cell r="A87" t="str">
            <v>175</v>
          </cell>
          <cell r="B87">
            <v>65</v>
          </cell>
          <cell r="C87">
            <v>14</v>
          </cell>
          <cell r="D87" t="str">
            <v>ACHILLES (IDN)</v>
          </cell>
          <cell r="E87">
            <v>122</v>
          </cell>
          <cell r="N87">
            <v>1690</v>
          </cell>
        </row>
        <row r="88">
          <cell r="A88" t="str">
            <v>175</v>
          </cell>
          <cell r="B88">
            <v>70</v>
          </cell>
          <cell r="C88">
            <v>14</v>
          </cell>
          <cell r="D88" t="str">
            <v>ACHILLES (IDN)</v>
          </cell>
          <cell r="E88">
            <v>122</v>
          </cell>
          <cell r="N88">
            <v>1880</v>
          </cell>
        </row>
        <row r="89">
          <cell r="A89" t="str">
            <v>185</v>
          </cell>
          <cell r="B89">
            <v>65</v>
          </cell>
          <cell r="C89">
            <v>14</v>
          </cell>
          <cell r="D89" t="str">
            <v>ACHILLES (IDN)</v>
          </cell>
          <cell r="E89">
            <v>122</v>
          </cell>
          <cell r="N89">
            <v>2030</v>
          </cell>
        </row>
        <row r="90">
          <cell r="A90" t="str">
            <v>185</v>
          </cell>
          <cell r="B90">
            <v>70</v>
          </cell>
          <cell r="C90">
            <v>14</v>
          </cell>
          <cell r="D90" t="str">
            <v>ACHILLES (IDN)</v>
          </cell>
          <cell r="E90">
            <v>122</v>
          </cell>
          <cell r="N90">
            <v>2140</v>
          </cell>
        </row>
        <row r="91">
          <cell r="A91" t="str">
            <v>185</v>
          </cell>
          <cell r="C91" t="str">
            <v>14C</v>
          </cell>
          <cell r="D91" t="str">
            <v>ACHILLES (IDN)</v>
          </cell>
          <cell r="E91" t="str">
            <v>ULTRAVAN</v>
          </cell>
          <cell r="N91">
            <v>2480</v>
          </cell>
        </row>
        <row r="92">
          <cell r="A92" t="str">
            <v>195</v>
          </cell>
          <cell r="C92" t="str">
            <v>14C</v>
          </cell>
          <cell r="D92" t="str">
            <v>ACHILLES (IDN)</v>
          </cell>
          <cell r="E92" t="str">
            <v>ULTRAVAN</v>
          </cell>
          <cell r="N92">
            <v>2850</v>
          </cell>
        </row>
        <row r="93">
          <cell r="A93" t="str">
            <v>27</v>
          </cell>
          <cell r="B93">
            <v>8.5</v>
          </cell>
          <cell r="C93">
            <v>14</v>
          </cell>
          <cell r="D93" t="str">
            <v>ACHILLES (IDN)</v>
          </cell>
          <cell r="E93" t="str">
            <v>DESERT HAWK XMT</v>
          </cell>
          <cell r="N93">
            <v>4130</v>
          </cell>
        </row>
        <row r="94">
          <cell r="A94" t="str">
            <v>195</v>
          </cell>
          <cell r="B94">
            <v>50</v>
          </cell>
          <cell r="C94">
            <v>15</v>
          </cell>
          <cell r="D94" t="str">
            <v>ACHILLES (IDN)</v>
          </cell>
          <cell r="E94" t="str">
            <v>ATR SPORT 2</v>
          </cell>
          <cell r="N94">
            <v>2570</v>
          </cell>
        </row>
        <row r="95">
          <cell r="A95" t="str">
            <v>175</v>
          </cell>
          <cell r="B95">
            <v>55</v>
          </cell>
          <cell r="C95">
            <v>15</v>
          </cell>
          <cell r="D95" t="str">
            <v>ACHILLES (IDN)</v>
          </cell>
          <cell r="E95" t="str">
            <v>ATR-K</v>
          </cell>
          <cell r="N95">
            <v>1940</v>
          </cell>
        </row>
        <row r="96">
          <cell r="A96" t="str">
            <v>195</v>
          </cell>
          <cell r="B96">
            <v>55</v>
          </cell>
          <cell r="C96">
            <v>15</v>
          </cell>
          <cell r="D96" t="str">
            <v>ACHILLES (IDN)</v>
          </cell>
          <cell r="E96" t="str">
            <v>ATR SPORT 2</v>
          </cell>
          <cell r="N96">
            <v>2570</v>
          </cell>
        </row>
        <row r="97">
          <cell r="A97" t="str">
            <v>205</v>
          </cell>
          <cell r="B97">
            <v>60</v>
          </cell>
          <cell r="C97">
            <v>15</v>
          </cell>
          <cell r="D97" t="str">
            <v>ACHILLES (IDN)</v>
          </cell>
          <cell r="E97">
            <v>122</v>
          </cell>
          <cell r="N97">
            <v>2190</v>
          </cell>
        </row>
        <row r="98">
          <cell r="A98" t="str">
            <v>175</v>
          </cell>
          <cell r="B98">
            <v>65</v>
          </cell>
          <cell r="C98">
            <v>15</v>
          </cell>
          <cell r="D98" t="str">
            <v>ACHILLES (IDN)</v>
          </cell>
          <cell r="E98">
            <v>122</v>
          </cell>
          <cell r="N98">
            <v>1960</v>
          </cell>
        </row>
        <row r="99">
          <cell r="A99" t="str">
            <v>185</v>
          </cell>
          <cell r="B99">
            <v>65</v>
          </cell>
          <cell r="C99">
            <v>15</v>
          </cell>
          <cell r="D99" t="str">
            <v>ACHILLES (IDN)</v>
          </cell>
          <cell r="E99">
            <v>122</v>
          </cell>
          <cell r="N99">
            <v>2600</v>
          </cell>
        </row>
        <row r="100">
          <cell r="A100" t="str">
            <v>205</v>
          </cell>
          <cell r="B100">
            <v>65</v>
          </cell>
          <cell r="C100">
            <v>15</v>
          </cell>
          <cell r="D100" t="str">
            <v>ACHILLES (IDN)</v>
          </cell>
          <cell r="E100">
            <v>122</v>
          </cell>
          <cell r="N100">
            <v>2680</v>
          </cell>
        </row>
        <row r="101">
          <cell r="A101" t="str">
            <v>205</v>
          </cell>
          <cell r="B101">
            <v>70</v>
          </cell>
          <cell r="C101" t="str">
            <v>15C</v>
          </cell>
          <cell r="D101" t="str">
            <v>ACHILLES (IDN)</v>
          </cell>
          <cell r="E101" t="str">
            <v>MULTIVAN</v>
          </cell>
          <cell r="N101">
            <v>3290</v>
          </cell>
        </row>
        <row r="102">
          <cell r="A102" t="str">
            <v xml:space="preserve">215 </v>
          </cell>
          <cell r="B102">
            <v>70</v>
          </cell>
          <cell r="C102" t="str">
            <v>15C</v>
          </cell>
          <cell r="D102" t="str">
            <v>ACHILLES (IDN)</v>
          </cell>
          <cell r="E102" t="str">
            <v>MULTIVAN</v>
          </cell>
          <cell r="N102">
            <v>3540</v>
          </cell>
        </row>
        <row r="103">
          <cell r="A103" t="str">
            <v>31</v>
          </cell>
          <cell r="B103" t="str">
            <v>10.5</v>
          </cell>
          <cell r="C103">
            <v>15</v>
          </cell>
          <cell r="D103" t="str">
            <v>ACHILLES (IDN)</v>
          </cell>
          <cell r="E103" t="str">
            <v>DH AT 2</v>
          </cell>
          <cell r="N103">
            <v>5285</v>
          </cell>
        </row>
        <row r="104">
          <cell r="A104" t="str">
            <v>195</v>
          </cell>
          <cell r="C104" t="str">
            <v>15C</v>
          </cell>
          <cell r="D104" t="str">
            <v>ACHILLES (IDN)</v>
          </cell>
          <cell r="E104" t="str">
            <v>8PR LTR-80</v>
          </cell>
        </row>
        <row r="105">
          <cell r="A105" t="str">
            <v>195</v>
          </cell>
          <cell r="C105" t="str">
            <v>15C</v>
          </cell>
          <cell r="D105" t="str">
            <v>ACHILLES (IDN)</v>
          </cell>
          <cell r="E105" t="str">
            <v>ULTRAVAN</v>
          </cell>
          <cell r="N105">
            <v>3130</v>
          </cell>
        </row>
        <row r="106">
          <cell r="A106" t="str">
            <v>185</v>
          </cell>
          <cell r="B106">
            <v>55</v>
          </cell>
          <cell r="C106">
            <v>16</v>
          </cell>
          <cell r="D106" t="str">
            <v>ACHILLES (IDN)</v>
          </cell>
          <cell r="E106">
            <v>2233</v>
          </cell>
          <cell r="N106">
            <v>2370</v>
          </cell>
        </row>
        <row r="107">
          <cell r="A107">
            <v>205</v>
          </cell>
          <cell r="B107">
            <v>45</v>
          </cell>
          <cell r="C107">
            <v>16</v>
          </cell>
          <cell r="D107" t="str">
            <v>ACHILLES (IDN)</v>
          </cell>
          <cell r="E107">
            <v>2233</v>
          </cell>
          <cell r="N107">
            <v>2410</v>
          </cell>
        </row>
        <row r="108">
          <cell r="A108" t="str">
            <v>205</v>
          </cell>
          <cell r="B108">
            <v>45</v>
          </cell>
          <cell r="C108">
            <v>16</v>
          </cell>
          <cell r="D108" t="str">
            <v>ACHILLES (IDN)</v>
          </cell>
          <cell r="E108" t="str">
            <v>ATR SPORT 87V</v>
          </cell>
          <cell r="N108">
            <v>2830</v>
          </cell>
        </row>
        <row r="109">
          <cell r="A109" t="str">
            <v>195</v>
          </cell>
          <cell r="B109">
            <v>55</v>
          </cell>
          <cell r="C109">
            <v>16</v>
          </cell>
          <cell r="D109" t="str">
            <v>ACHILLES (IDN)</v>
          </cell>
          <cell r="E109" t="str">
            <v>ATR SPORT</v>
          </cell>
          <cell r="N109">
            <v>2630</v>
          </cell>
        </row>
        <row r="110">
          <cell r="A110">
            <v>205</v>
          </cell>
          <cell r="B110">
            <v>55</v>
          </cell>
          <cell r="C110">
            <v>16</v>
          </cell>
          <cell r="D110" t="str">
            <v>ACHILLES (IDN)</v>
          </cell>
          <cell r="E110">
            <v>2233</v>
          </cell>
          <cell r="N110">
            <v>2475</v>
          </cell>
        </row>
        <row r="111">
          <cell r="A111">
            <v>205</v>
          </cell>
          <cell r="B111">
            <v>60</v>
          </cell>
          <cell r="C111">
            <v>16</v>
          </cell>
          <cell r="D111" t="str">
            <v>ACHILLES (IDN)</v>
          </cell>
          <cell r="E111">
            <v>122</v>
          </cell>
          <cell r="N111">
            <v>2730</v>
          </cell>
        </row>
        <row r="112">
          <cell r="A112" t="str">
            <v>205</v>
          </cell>
          <cell r="B112">
            <v>65</v>
          </cell>
          <cell r="C112">
            <v>16</v>
          </cell>
          <cell r="D112" t="str">
            <v>ACHILLES (IDN)</v>
          </cell>
          <cell r="E112" t="str">
            <v>ALL SEASONS AC</v>
          </cell>
          <cell r="N112">
            <v>2960</v>
          </cell>
        </row>
        <row r="113">
          <cell r="A113" t="str">
            <v>215</v>
          </cell>
          <cell r="B113">
            <v>70</v>
          </cell>
          <cell r="C113" t="str">
            <v>16C</v>
          </cell>
          <cell r="D113" t="str">
            <v>ACHILLES (IDN)</v>
          </cell>
          <cell r="E113" t="str">
            <v>DESERT HAWK H/T 2 ROWL</v>
          </cell>
          <cell r="N113">
            <v>3860</v>
          </cell>
        </row>
        <row r="114">
          <cell r="A114" t="str">
            <v>225</v>
          </cell>
          <cell r="B114">
            <v>70</v>
          </cell>
          <cell r="C114">
            <v>16</v>
          </cell>
          <cell r="D114" t="str">
            <v>ACHILLES (IDN)</v>
          </cell>
          <cell r="E114" t="str">
            <v>DESERT HAWK H/T 2 ROWL</v>
          </cell>
          <cell r="N114">
            <v>3930</v>
          </cell>
        </row>
        <row r="115">
          <cell r="A115">
            <v>205</v>
          </cell>
          <cell r="B115">
            <v>40</v>
          </cell>
          <cell r="C115">
            <v>17</v>
          </cell>
          <cell r="D115" t="str">
            <v>ACHILLES (IDN)</v>
          </cell>
          <cell r="E115" t="str">
            <v>XL 123S</v>
          </cell>
          <cell r="N115">
            <v>3700</v>
          </cell>
        </row>
        <row r="116">
          <cell r="A116" t="str">
            <v>215</v>
          </cell>
          <cell r="B116">
            <v>55</v>
          </cell>
          <cell r="C116">
            <v>17</v>
          </cell>
          <cell r="D116" t="str">
            <v>ACHILLES (IDN)</v>
          </cell>
          <cell r="E116">
            <v>2233</v>
          </cell>
          <cell r="N116">
            <v>2740.35</v>
          </cell>
        </row>
        <row r="117">
          <cell r="A117" t="str">
            <v>215</v>
          </cell>
          <cell r="B117">
            <v>60</v>
          </cell>
          <cell r="C117">
            <v>17</v>
          </cell>
          <cell r="D117" t="str">
            <v>ACHILLES (IDN)</v>
          </cell>
          <cell r="E117" t="str">
            <v>DESERT HAWK A/T 2</v>
          </cell>
          <cell r="N117">
            <v>4480</v>
          </cell>
        </row>
        <row r="118">
          <cell r="A118" t="str">
            <v>225</v>
          </cell>
          <cell r="B118">
            <v>65</v>
          </cell>
          <cell r="C118">
            <v>17</v>
          </cell>
          <cell r="D118" t="str">
            <v>ACHILLES (IDN)</v>
          </cell>
          <cell r="E118" t="str">
            <v>DESSERT HAWK H/T 2</v>
          </cell>
          <cell r="N118">
            <v>4240</v>
          </cell>
        </row>
        <row r="119">
          <cell r="A119" t="str">
            <v>265</v>
          </cell>
          <cell r="B119">
            <v>65</v>
          </cell>
          <cell r="C119">
            <v>17</v>
          </cell>
          <cell r="D119" t="str">
            <v>ACHILLES (IDN)</v>
          </cell>
          <cell r="E119" t="str">
            <v>HAWK XMT</v>
          </cell>
          <cell r="N119">
            <v>7780</v>
          </cell>
        </row>
        <row r="120">
          <cell r="A120" t="str">
            <v>265</v>
          </cell>
          <cell r="B120">
            <v>65</v>
          </cell>
          <cell r="C120">
            <v>17</v>
          </cell>
          <cell r="D120" t="str">
            <v>ACHILLES (IDN)</v>
          </cell>
          <cell r="E120" t="str">
            <v>DESSERT HAWK H/T 2</v>
          </cell>
          <cell r="N120">
            <v>5070</v>
          </cell>
        </row>
        <row r="121">
          <cell r="A121" t="str">
            <v>265</v>
          </cell>
          <cell r="B121">
            <v>65</v>
          </cell>
          <cell r="C121">
            <v>17</v>
          </cell>
          <cell r="D121" t="str">
            <v>ACHILLES (IDN)</v>
          </cell>
          <cell r="E121" t="str">
            <v>DESSERT HAWK A/T</v>
          </cell>
          <cell r="N121">
            <v>5780</v>
          </cell>
        </row>
        <row r="122">
          <cell r="A122" t="str">
            <v>265</v>
          </cell>
          <cell r="B122">
            <v>70</v>
          </cell>
          <cell r="C122">
            <v>17</v>
          </cell>
          <cell r="D122" t="str">
            <v>ACHILLES (IDN)</v>
          </cell>
          <cell r="E122" t="str">
            <v>DESERT HAWK H/T 2</v>
          </cell>
          <cell r="N122">
            <v>4490</v>
          </cell>
        </row>
        <row r="123">
          <cell r="A123" t="str">
            <v>265</v>
          </cell>
          <cell r="B123">
            <v>70</v>
          </cell>
          <cell r="C123">
            <v>17</v>
          </cell>
          <cell r="D123" t="str">
            <v>ACHILLES (IDN)</v>
          </cell>
          <cell r="E123" t="str">
            <v>DESERT HAWK X-MT</v>
          </cell>
          <cell r="N123">
            <v>7260</v>
          </cell>
        </row>
        <row r="124">
          <cell r="A124" t="str">
            <v>285</v>
          </cell>
          <cell r="B124">
            <v>70</v>
          </cell>
          <cell r="C124">
            <v>17</v>
          </cell>
          <cell r="D124" t="str">
            <v>ACHILLES (IDN)</v>
          </cell>
          <cell r="E124" t="str">
            <v>DESERT HAWK A/T 2</v>
          </cell>
          <cell r="N124">
            <v>6250</v>
          </cell>
        </row>
        <row r="125">
          <cell r="A125" t="str">
            <v>225</v>
          </cell>
          <cell r="B125">
            <v>40</v>
          </cell>
          <cell r="C125">
            <v>18</v>
          </cell>
          <cell r="D125" t="str">
            <v>ACHILLES (IDN)</v>
          </cell>
          <cell r="E125">
            <v>2233</v>
          </cell>
          <cell r="N125">
            <v>3650</v>
          </cell>
        </row>
        <row r="126">
          <cell r="A126" t="str">
            <v>225</v>
          </cell>
          <cell r="B126">
            <v>45</v>
          </cell>
          <cell r="C126">
            <v>18</v>
          </cell>
          <cell r="D126" t="str">
            <v>ACHILLES (IDN)</v>
          </cell>
          <cell r="E126" t="str">
            <v>ATR2</v>
          </cell>
          <cell r="N126">
            <v>3200</v>
          </cell>
        </row>
        <row r="127">
          <cell r="A127" t="str">
            <v>235</v>
          </cell>
          <cell r="B127">
            <v>55</v>
          </cell>
          <cell r="C127">
            <v>18</v>
          </cell>
          <cell r="D127" t="str">
            <v>ACHILLES (IDN)</v>
          </cell>
          <cell r="E127" t="str">
            <v>DESERT HAWK H/T2</v>
          </cell>
          <cell r="N127">
            <v>4130</v>
          </cell>
        </row>
        <row r="128">
          <cell r="A128" t="str">
            <v>265</v>
          </cell>
          <cell r="B128">
            <v>60</v>
          </cell>
          <cell r="C128">
            <v>18</v>
          </cell>
          <cell r="D128" t="str">
            <v>ACHILLES (IDN)</v>
          </cell>
          <cell r="E128" t="str">
            <v>DESERT HAWK XMT</v>
          </cell>
          <cell r="N128">
            <v>7890</v>
          </cell>
        </row>
        <row r="129">
          <cell r="A129" t="str">
            <v>285</v>
          </cell>
          <cell r="B129">
            <v>60</v>
          </cell>
          <cell r="C129">
            <v>18</v>
          </cell>
          <cell r="D129" t="str">
            <v>ACHILLES (IDN)</v>
          </cell>
          <cell r="E129" t="str">
            <v>XMT</v>
          </cell>
          <cell r="N129">
            <v>7460</v>
          </cell>
        </row>
        <row r="130">
          <cell r="A130" t="str">
            <v>33</v>
          </cell>
          <cell r="B130" t="str">
            <v>12.5</v>
          </cell>
          <cell r="C130">
            <v>20</v>
          </cell>
          <cell r="D130" t="str">
            <v>ACHILLES (IDN)</v>
          </cell>
          <cell r="E130" t="str">
            <v>DESERT HAWK XMT</v>
          </cell>
          <cell r="N130">
            <v>10310</v>
          </cell>
        </row>
        <row r="131">
          <cell r="A131" t="str">
            <v>275</v>
          </cell>
          <cell r="B131">
            <v>40</v>
          </cell>
          <cell r="C131">
            <v>20</v>
          </cell>
          <cell r="D131" t="str">
            <v>ACHILLES (IDN)</v>
          </cell>
          <cell r="E131" t="str">
            <v>DESERT HAWK UHP</v>
          </cell>
          <cell r="N131">
            <v>6190</v>
          </cell>
        </row>
        <row r="132">
          <cell r="A132">
            <v>265</v>
          </cell>
          <cell r="B132">
            <v>50</v>
          </cell>
          <cell r="C132">
            <v>20</v>
          </cell>
          <cell r="D132" t="str">
            <v>ACHILLES (IDN)</v>
          </cell>
          <cell r="E132" t="str">
            <v>DEESRT HAWK UHP H/T</v>
          </cell>
          <cell r="N132">
            <v>5310</v>
          </cell>
        </row>
        <row r="133">
          <cell r="A133" t="str">
            <v>265</v>
          </cell>
          <cell r="B133">
            <v>50</v>
          </cell>
          <cell r="C133">
            <v>20</v>
          </cell>
          <cell r="D133" t="str">
            <v>ACHILLES (IDN)</v>
          </cell>
          <cell r="E133" t="str">
            <v>DESSERT HAWK A/T 2</v>
          </cell>
          <cell r="N133">
            <v>5480</v>
          </cell>
        </row>
        <row r="134">
          <cell r="A134" t="str">
            <v>265</v>
          </cell>
          <cell r="B134">
            <v>50</v>
          </cell>
          <cell r="C134">
            <v>20</v>
          </cell>
          <cell r="D134" t="str">
            <v>ACHILLES (IDN)</v>
          </cell>
          <cell r="E134" t="str">
            <v>DESERT HAWK XMT</v>
          </cell>
          <cell r="N134">
            <v>7340</v>
          </cell>
        </row>
        <row r="135">
          <cell r="A135" t="str">
            <v>285</v>
          </cell>
          <cell r="B135">
            <v>50</v>
          </cell>
          <cell r="C135">
            <v>20</v>
          </cell>
          <cell r="D135" t="str">
            <v>ACHILLES (IDN)</v>
          </cell>
          <cell r="E135" t="str">
            <v>DESERT HAWK UHP</v>
          </cell>
          <cell r="N135">
            <v>6310</v>
          </cell>
        </row>
        <row r="136">
          <cell r="A136" t="str">
            <v>275</v>
          </cell>
          <cell r="B136">
            <v>55</v>
          </cell>
          <cell r="C136">
            <v>20</v>
          </cell>
          <cell r="D136" t="str">
            <v>ACHILLES (IDN)</v>
          </cell>
          <cell r="E136" t="str">
            <v>DEESRT HAWK UHP H/T</v>
          </cell>
          <cell r="N136">
            <v>6080</v>
          </cell>
        </row>
        <row r="137">
          <cell r="A137" t="str">
            <v>285</v>
          </cell>
          <cell r="B137">
            <v>35</v>
          </cell>
          <cell r="C137">
            <v>22</v>
          </cell>
          <cell r="D137" t="str">
            <v>ACHILLES (IDN)</v>
          </cell>
          <cell r="E137" t="str">
            <v>DESERT HAWK UHP</v>
          </cell>
          <cell r="N137">
            <v>4972</v>
          </cell>
        </row>
        <row r="138">
          <cell r="A138">
            <v>175</v>
          </cell>
          <cell r="B138">
            <v>65</v>
          </cell>
          <cell r="C138">
            <v>14</v>
          </cell>
          <cell r="D138" t="str">
            <v>ALLIANCE</v>
          </cell>
          <cell r="N138">
            <v>1600</v>
          </cell>
        </row>
        <row r="139">
          <cell r="A139">
            <v>185</v>
          </cell>
          <cell r="B139">
            <v>65</v>
          </cell>
          <cell r="C139">
            <v>14</v>
          </cell>
          <cell r="D139" t="str">
            <v>ALLIANCE</v>
          </cell>
          <cell r="N139">
            <v>1800</v>
          </cell>
        </row>
        <row r="140">
          <cell r="A140">
            <v>175</v>
          </cell>
          <cell r="B140">
            <v>70</v>
          </cell>
          <cell r="C140">
            <v>14</v>
          </cell>
          <cell r="D140" t="str">
            <v>ALLIANCE</v>
          </cell>
          <cell r="N140">
            <v>1900</v>
          </cell>
        </row>
        <row r="141">
          <cell r="A141">
            <v>185</v>
          </cell>
          <cell r="B141">
            <v>60</v>
          </cell>
          <cell r="C141">
            <v>15</v>
          </cell>
          <cell r="D141" t="str">
            <v>ALLIANCE</v>
          </cell>
          <cell r="N141">
            <v>1850</v>
          </cell>
        </row>
        <row r="142">
          <cell r="A142">
            <v>195</v>
          </cell>
          <cell r="B142">
            <v>50</v>
          </cell>
          <cell r="C142">
            <v>15</v>
          </cell>
          <cell r="D142" t="str">
            <v>ALLIANCE (JP)</v>
          </cell>
          <cell r="E142" t="str">
            <v>AL30 (JP)</v>
          </cell>
          <cell r="N142">
            <v>2688</v>
          </cell>
        </row>
        <row r="143">
          <cell r="A143">
            <v>185</v>
          </cell>
          <cell r="B143">
            <v>70</v>
          </cell>
          <cell r="C143">
            <v>13</v>
          </cell>
          <cell r="D143" t="str">
            <v>APOLLO (INDIA)</v>
          </cell>
          <cell r="E143" t="str">
            <v>ALNAC</v>
          </cell>
          <cell r="N143">
            <v>2188.02</v>
          </cell>
        </row>
        <row r="144">
          <cell r="A144">
            <v>185</v>
          </cell>
          <cell r="B144">
            <v>70</v>
          </cell>
          <cell r="C144">
            <v>13</v>
          </cell>
          <cell r="D144" t="str">
            <v>APOLLO (INDIA)</v>
          </cell>
          <cell r="E144" t="str">
            <v>AMAZER XP</v>
          </cell>
          <cell r="N144">
            <v>2141.96</v>
          </cell>
        </row>
        <row r="145">
          <cell r="A145">
            <v>185</v>
          </cell>
          <cell r="C145" t="str">
            <v>14C</v>
          </cell>
          <cell r="D145" t="str">
            <v>APOLLO (INDIA)</v>
          </cell>
          <cell r="E145" t="str">
            <v>ALTRUST GRIP</v>
          </cell>
          <cell r="N145">
            <v>3086.55</v>
          </cell>
        </row>
        <row r="146">
          <cell r="A146">
            <v>175</v>
          </cell>
          <cell r="B146">
            <v>65</v>
          </cell>
          <cell r="C146">
            <v>14</v>
          </cell>
          <cell r="D146" t="str">
            <v>APOLLO (INDIA)</v>
          </cell>
          <cell r="E146" t="str">
            <v>AMAZER 3G</v>
          </cell>
          <cell r="N146">
            <v>2126.29</v>
          </cell>
        </row>
        <row r="147">
          <cell r="A147">
            <v>175</v>
          </cell>
          <cell r="B147">
            <v>65</v>
          </cell>
          <cell r="C147">
            <v>14</v>
          </cell>
          <cell r="D147" t="str">
            <v>APOLLO (INDIA)</v>
          </cell>
          <cell r="E147" t="str">
            <v>AMAZER XP</v>
          </cell>
          <cell r="N147">
            <v>2126.29</v>
          </cell>
        </row>
        <row r="148">
          <cell r="A148">
            <v>185</v>
          </cell>
          <cell r="B148">
            <v>65</v>
          </cell>
          <cell r="C148">
            <v>14</v>
          </cell>
          <cell r="D148" t="str">
            <v>APOLLO (INDIA)</v>
          </cell>
          <cell r="E148" t="str">
            <v>ALNAC 4G</v>
          </cell>
          <cell r="N148">
            <v>2297.7600000000002</v>
          </cell>
        </row>
        <row r="149">
          <cell r="A149">
            <v>175</v>
          </cell>
          <cell r="B149">
            <v>70</v>
          </cell>
          <cell r="C149">
            <v>14</v>
          </cell>
          <cell r="D149" t="str">
            <v>APOLLO (INDIA)</v>
          </cell>
          <cell r="E149" t="str">
            <v>AMAZER 3G</v>
          </cell>
          <cell r="N149">
            <v>2345.77</v>
          </cell>
        </row>
        <row r="150">
          <cell r="A150">
            <v>175</v>
          </cell>
          <cell r="B150">
            <v>70</v>
          </cell>
          <cell r="C150">
            <v>14</v>
          </cell>
          <cell r="D150" t="str">
            <v>APOLLO (INDIA)</v>
          </cell>
          <cell r="E150" t="str">
            <v>AMAZER XP</v>
          </cell>
          <cell r="N150">
            <v>2345.77</v>
          </cell>
        </row>
        <row r="151">
          <cell r="A151">
            <v>185</v>
          </cell>
          <cell r="B151">
            <v>70</v>
          </cell>
          <cell r="C151">
            <v>14</v>
          </cell>
          <cell r="D151" t="str">
            <v>APOLLO (INDIA)</v>
          </cell>
          <cell r="E151" t="str">
            <v>AMAZER 3G</v>
          </cell>
          <cell r="N151">
            <v>2414.37</v>
          </cell>
        </row>
        <row r="152">
          <cell r="A152">
            <v>185</v>
          </cell>
          <cell r="B152">
            <v>70</v>
          </cell>
          <cell r="C152">
            <v>14</v>
          </cell>
          <cell r="D152" t="str">
            <v>APOLLO (INDIA)</v>
          </cell>
          <cell r="E152" t="str">
            <v>AMAZER XP</v>
          </cell>
          <cell r="N152">
            <v>2414.36</v>
          </cell>
        </row>
        <row r="153">
          <cell r="A153">
            <v>195</v>
          </cell>
          <cell r="C153" t="str">
            <v>14C</v>
          </cell>
          <cell r="D153" t="str">
            <v>APOLLO (INDIA)</v>
          </cell>
          <cell r="E153" t="str">
            <v>ALTRUST GRIP</v>
          </cell>
          <cell r="N153">
            <v>3285.46</v>
          </cell>
        </row>
        <row r="154">
          <cell r="A154">
            <v>195</v>
          </cell>
          <cell r="C154" t="str">
            <v>15C</v>
          </cell>
          <cell r="D154" t="str">
            <v>APOLLO (INDIA)</v>
          </cell>
          <cell r="E154" t="str">
            <v>ALTRUST GRIP</v>
          </cell>
          <cell r="N154">
            <v>3484.37</v>
          </cell>
        </row>
        <row r="155">
          <cell r="A155">
            <v>195</v>
          </cell>
          <cell r="B155">
            <v>50</v>
          </cell>
          <cell r="C155">
            <v>15</v>
          </cell>
          <cell r="D155" t="str">
            <v>APOLLO (INDIA)</v>
          </cell>
          <cell r="E155" t="str">
            <v>ALNAC 4G</v>
          </cell>
          <cell r="N155">
            <v>2839.62</v>
          </cell>
        </row>
        <row r="156">
          <cell r="A156">
            <v>185</v>
          </cell>
          <cell r="B156">
            <v>55</v>
          </cell>
          <cell r="C156">
            <v>15</v>
          </cell>
          <cell r="D156" t="str">
            <v>APOLLO (INDIA)</v>
          </cell>
          <cell r="E156" t="str">
            <v>ALNAC 4G</v>
          </cell>
          <cell r="N156">
            <v>2476.0990000000002</v>
          </cell>
        </row>
        <row r="157">
          <cell r="A157">
            <v>185</v>
          </cell>
          <cell r="B157">
            <v>60</v>
          </cell>
          <cell r="C157">
            <v>15</v>
          </cell>
          <cell r="D157" t="str">
            <v>APOLLO (INDIA)</v>
          </cell>
          <cell r="E157" t="str">
            <v>ALNAC 4G</v>
          </cell>
          <cell r="N157">
            <v>2441.8000000000002</v>
          </cell>
        </row>
        <row r="158">
          <cell r="A158">
            <v>195</v>
          </cell>
          <cell r="B158">
            <v>60</v>
          </cell>
          <cell r="C158">
            <v>15</v>
          </cell>
          <cell r="D158" t="str">
            <v>APOLLO (INDIA)</v>
          </cell>
          <cell r="E158" t="str">
            <v>ALNAC 4G</v>
          </cell>
          <cell r="N158">
            <v>3001.63</v>
          </cell>
        </row>
        <row r="159">
          <cell r="A159">
            <v>175</v>
          </cell>
          <cell r="B159">
            <v>65</v>
          </cell>
          <cell r="C159">
            <v>15</v>
          </cell>
          <cell r="D159" t="str">
            <v>APOLLO (INDIA)</v>
          </cell>
          <cell r="E159" t="str">
            <v>ALNAC 4GS</v>
          </cell>
          <cell r="N159">
            <v>2798.47</v>
          </cell>
        </row>
        <row r="160">
          <cell r="A160">
            <v>185</v>
          </cell>
          <cell r="B160">
            <v>65</v>
          </cell>
          <cell r="C160">
            <v>15</v>
          </cell>
          <cell r="D160" t="str">
            <v>APOLLO (INDIA)</v>
          </cell>
          <cell r="E160" t="str">
            <v>ALNAC 4G</v>
          </cell>
          <cell r="N160">
            <v>2668.15</v>
          </cell>
        </row>
        <row r="161">
          <cell r="A161">
            <v>185</v>
          </cell>
          <cell r="B161">
            <v>65</v>
          </cell>
          <cell r="C161">
            <v>15</v>
          </cell>
          <cell r="D161" t="str">
            <v>APOLLO (INDIA)</v>
          </cell>
          <cell r="E161" t="str">
            <v>AMAZER XP</v>
          </cell>
          <cell r="N161">
            <v>2736.38</v>
          </cell>
        </row>
        <row r="162">
          <cell r="A162">
            <v>195</v>
          </cell>
          <cell r="B162">
            <v>55</v>
          </cell>
          <cell r="C162">
            <v>15</v>
          </cell>
          <cell r="D162" t="str">
            <v>APOLLO (INDIA)</v>
          </cell>
          <cell r="E162" t="str">
            <v>ALNAC 4G</v>
          </cell>
          <cell r="N162">
            <v>2620.14</v>
          </cell>
        </row>
        <row r="163">
          <cell r="A163">
            <v>195</v>
          </cell>
          <cell r="B163">
            <v>65</v>
          </cell>
          <cell r="C163">
            <v>15</v>
          </cell>
          <cell r="D163" t="str">
            <v>APOLLO (INDIA)</v>
          </cell>
          <cell r="E163" t="str">
            <v>ALNAC 4G</v>
          </cell>
          <cell r="N163">
            <v>2940.99</v>
          </cell>
        </row>
        <row r="164">
          <cell r="A164">
            <v>205</v>
          </cell>
          <cell r="B164">
            <v>65</v>
          </cell>
          <cell r="C164">
            <v>15</v>
          </cell>
          <cell r="D164" t="str">
            <v>APOLLO (INDIA)</v>
          </cell>
          <cell r="E164" t="str">
            <v>ALNAC 4G</v>
          </cell>
          <cell r="N164">
            <v>3059.11</v>
          </cell>
        </row>
        <row r="165">
          <cell r="A165">
            <v>205</v>
          </cell>
          <cell r="B165">
            <v>70</v>
          </cell>
          <cell r="C165" t="str">
            <v>15C</v>
          </cell>
          <cell r="D165" t="str">
            <v>APOLLO (INDIA)</v>
          </cell>
          <cell r="E165" t="str">
            <v>ALTRUST GRIP</v>
          </cell>
          <cell r="N165">
            <v>3991.94</v>
          </cell>
        </row>
        <row r="166">
          <cell r="A166">
            <v>215</v>
          </cell>
          <cell r="B166">
            <v>70</v>
          </cell>
          <cell r="C166" t="str">
            <v>15C</v>
          </cell>
          <cell r="D166" t="str">
            <v>APOLLO (INDIA)</v>
          </cell>
          <cell r="E166" t="str">
            <v>ALTRUST GRIP</v>
          </cell>
          <cell r="N166">
            <v>4177.13</v>
          </cell>
        </row>
        <row r="167">
          <cell r="A167">
            <v>205</v>
          </cell>
          <cell r="B167">
            <v>45</v>
          </cell>
          <cell r="C167">
            <v>16</v>
          </cell>
          <cell r="D167" t="str">
            <v>APOLLO (INDIA)</v>
          </cell>
          <cell r="E167" t="str">
            <v>ASPIRE 4G+</v>
          </cell>
          <cell r="N167">
            <v>4115.3999999999996</v>
          </cell>
        </row>
        <row r="168">
          <cell r="A168">
            <v>195</v>
          </cell>
          <cell r="B168">
            <v>50</v>
          </cell>
          <cell r="C168">
            <v>16</v>
          </cell>
          <cell r="D168" t="str">
            <v>APOLLO (INDIA)</v>
          </cell>
          <cell r="E168" t="str">
            <v>ALNAC 4G</v>
          </cell>
          <cell r="N168">
            <v>2867.06</v>
          </cell>
        </row>
        <row r="169">
          <cell r="A169">
            <v>185</v>
          </cell>
          <cell r="B169">
            <v>55</v>
          </cell>
          <cell r="C169">
            <v>16</v>
          </cell>
          <cell r="D169" t="str">
            <v>APOLLO (INDIA)</v>
          </cell>
          <cell r="E169" t="str">
            <v>ALNAC 4G</v>
          </cell>
          <cell r="N169">
            <v>2873.92</v>
          </cell>
        </row>
        <row r="170">
          <cell r="A170">
            <v>205</v>
          </cell>
          <cell r="B170">
            <v>55</v>
          </cell>
          <cell r="C170">
            <v>16</v>
          </cell>
          <cell r="D170" t="str">
            <v>APOLLO (INDIA)</v>
          </cell>
          <cell r="E170" t="str">
            <v>ALNAC 4G</v>
          </cell>
          <cell r="N170">
            <v>3237.45</v>
          </cell>
        </row>
        <row r="171">
          <cell r="A171">
            <v>195</v>
          </cell>
          <cell r="B171">
            <v>60</v>
          </cell>
          <cell r="C171">
            <v>16</v>
          </cell>
          <cell r="D171" t="str">
            <v>APOLLO (INDIA)</v>
          </cell>
          <cell r="E171" t="str">
            <v>ALNAC 4G</v>
          </cell>
          <cell r="N171">
            <v>3223.73</v>
          </cell>
        </row>
        <row r="172">
          <cell r="A172">
            <v>205</v>
          </cell>
          <cell r="B172">
            <v>65</v>
          </cell>
          <cell r="C172">
            <v>16</v>
          </cell>
          <cell r="D172" t="str">
            <v>APOLLO (INDIA)</v>
          </cell>
          <cell r="E172" t="str">
            <v>ALNAC 4G</v>
          </cell>
          <cell r="N172">
            <v>3621.55</v>
          </cell>
        </row>
        <row r="173">
          <cell r="A173">
            <v>215</v>
          </cell>
          <cell r="B173">
            <v>65</v>
          </cell>
          <cell r="C173">
            <v>16</v>
          </cell>
          <cell r="D173" t="str">
            <v>APOLLO (INDIA)</v>
          </cell>
          <cell r="E173" t="str">
            <v>APTERRA CROSS</v>
          </cell>
          <cell r="N173">
            <v>4382.8999999999996</v>
          </cell>
        </row>
        <row r="174">
          <cell r="A174">
            <v>235</v>
          </cell>
          <cell r="B174">
            <v>65</v>
          </cell>
          <cell r="C174" t="str">
            <v>R16C</v>
          </cell>
          <cell r="D174" t="str">
            <v>APOLLO (INDIA)</v>
          </cell>
          <cell r="E174" t="str">
            <v>ALTRUST+</v>
          </cell>
          <cell r="N174">
            <v>4842.45</v>
          </cell>
        </row>
        <row r="175">
          <cell r="A175">
            <v>215</v>
          </cell>
          <cell r="B175">
            <v>70</v>
          </cell>
          <cell r="C175" t="str">
            <v>16C</v>
          </cell>
          <cell r="D175" t="str">
            <v>APOLLO (INDIA)</v>
          </cell>
          <cell r="E175" t="str">
            <v>ALTRUST GRIP</v>
          </cell>
          <cell r="N175">
            <v>4410.33</v>
          </cell>
        </row>
        <row r="176">
          <cell r="A176">
            <v>245</v>
          </cell>
          <cell r="B176">
            <v>70</v>
          </cell>
          <cell r="C176">
            <v>16</v>
          </cell>
          <cell r="D176" t="str">
            <v>APOLLO (INDIA)</v>
          </cell>
          <cell r="E176" t="str">
            <v>APTERRA AT2</v>
          </cell>
          <cell r="N176">
            <v>5391.17</v>
          </cell>
        </row>
        <row r="177">
          <cell r="A177">
            <v>205</v>
          </cell>
          <cell r="B177">
            <v>40</v>
          </cell>
          <cell r="C177">
            <v>17</v>
          </cell>
          <cell r="D177" t="str">
            <v>APOLLO (INDIA)</v>
          </cell>
          <cell r="E177" t="str">
            <v>ASPIRE 4G+</v>
          </cell>
          <cell r="N177">
            <v>3827.32</v>
          </cell>
        </row>
        <row r="178">
          <cell r="A178">
            <v>205</v>
          </cell>
          <cell r="B178">
            <v>45</v>
          </cell>
          <cell r="C178">
            <v>17</v>
          </cell>
          <cell r="D178" t="str">
            <v>APOLLO (INDIA)</v>
          </cell>
          <cell r="E178" t="str">
            <v>ASPIRE 4G+</v>
          </cell>
          <cell r="N178">
            <v>3889.05</v>
          </cell>
        </row>
        <row r="179">
          <cell r="A179">
            <v>215</v>
          </cell>
          <cell r="B179">
            <v>45</v>
          </cell>
          <cell r="C179">
            <v>17</v>
          </cell>
          <cell r="D179" t="str">
            <v>APOLLO (INDIA)</v>
          </cell>
          <cell r="E179" t="str">
            <v>ASPIRE 4G+</v>
          </cell>
          <cell r="N179">
            <v>3957.64</v>
          </cell>
        </row>
        <row r="180">
          <cell r="A180">
            <v>225</v>
          </cell>
          <cell r="B180">
            <v>45</v>
          </cell>
          <cell r="C180">
            <v>17</v>
          </cell>
          <cell r="D180" t="str">
            <v>APOLLO (INDIA)</v>
          </cell>
          <cell r="E180" t="str">
            <v>ASPIRE 4G+</v>
          </cell>
          <cell r="N180">
            <v>4033.09</v>
          </cell>
        </row>
        <row r="181">
          <cell r="A181">
            <v>205</v>
          </cell>
          <cell r="B181">
            <v>50</v>
          </cell>
          <cell r="C181">
            <v>17</v>
          </cell>
          <cell r="D181" t="str">
            <v>APOLLO (INDIA)</v>
          </cell>
          <cell r="E181" t="str">
            <v>ALNAC 4G</v>
          </cell>
          <cell r="N181">
            <v>3765.59</v>
          </cell>
        </row>
        <row r="182">
          <cell r="A182">
            <v>215</v>
          </cell>
          <cell r="B182">
            <v>55</v>
          </cell>
          <cell r="C182">
            <v>17</v>
          </cell>
          <cell r="D182" t="str">
            <v>APOLLO (INDIA)</v>
          </cell>
          <cell r="E182" t="str">
            <v>ASPIRE 4G+</v>
          </cell>
          <cell r="N182">
            <v>3834.18</v>
          </cell>
        </row>
        <row r="183">
          <cell r="A183">
            <v>225</v>
          </cell>
          <cell r="B183">
            <v>55</v>
          </cell>
          <cell r="C183">
            <v>17</v>
          </cell>
          <cell r="D183" t="str">
            <v>APOLLO (INDIA)</v>
          </cell>
          <cell r="E183" t="str">
            <v>ASPIRE 4G+</v>
          </cell>
          <cell r="N183">
            <v>4807.6499999999996</v>
          </cell>
        </row>
        <row r="184">
          <cell r="A184">
            <v>225</v>
          </cell>
          <cell r="B184">
            <v>60</v>
          </cell>
          <cell r="C184">
            <v>17</v>
          </cell>
          <cell r="D184" t="str">
            <v>APOLLO (INDIA)</v>
          </cell>
          <cell r="E184" t="str">
            <v>APTERRA HP</v>
          </cell>
          <cell r="N184">
            <v>4959.0600000000004</v>
          </cell>
        </row>
        <row r="185">
          <cell r="A185">
            <v>235</v>
          </cell>
          <cell r="B185">
            <v>60</v>
          </cell>
          <cell r="C185">
            <v>17</v>
          </cell>
          <cell r="D185" t="str">
            <v>APOLLO (INDIA)</v>
          </cell>
          <cell r="E185" t="str">
            <v>APTERRA HT2</v>
          </cell>
          <cell r="N185">
            <v>5190.3900000000003</v>
          </cell>
        </row>
        <row r="186">
          <cell r="A186">
            <v>225</v>
          </cell>
          <cell r="B186">
            <v>65</v>
          </cell>
          <cell r="C186">
            <v>17</v>
          </cell>
          <cell r="D186" t="str">
            <v>APOLLO (INDIA)</v>
          </cell>
          <cell r="E186" t="str">
            <v>APTERRA HT2</v>
          </cell>
          <cell r="N186">
            <v>4979.63</v>
          </cell>
        </row>
        <row r="187">
          <cell r="A187">
            <v>235</v>
          </cell>
          <cell r="B187">
            <v>65</v>
          </cell>
          <cell r="C187">
            <v>17</v>
          </cell>
          <cell r="D187" t="str">
            <v>APOLLO (INDIA)</v>
          </cell>
          <cell r="E187" t="str">
            <v>APTERRA AT2</v>
          </cell>
          <cell r="N187">
            <v>5446.04</v>
          </cell>
        </row>
        <row r="188">
          <cell r="A188">
            <v>265</v>
          </cell>
          <cell r="B188">
            <v>65</v>
          </cell>
          <cell r="C188">
            <v>17</v>
          </cell>
          <cell r="D188" t="str">
            <v>APOLLO (INDIA)</v>
          </cell>
          <cell r="E188" t="str">
            <v>APTERRA AT2</v>
          </cell>
          <cell r="N188">
            <v>5850.73</v>
          </cell>
        </row>
        <row r="189">
          <cell r="A189">
            <v>265</v>
          </cell>
          <cell r="B189">
            <v>65</v>
          </cell>
          <cell r="C189">
            <v>17</v>
          </cell>
          <cell r="D189" t="str">
            <v>APOLLO (INDIA)</v>
          </cell>
          <cell r="E189" t="str">
            <v>APTERRA HT2</v>
          </cell>
          <cell r="N189">
            <v>5672.39</v>
          </cell>
        </row>
        <row r="190">
          <cell r="A190">
            <v>225</v>
          </cell>
          <cell r="B190">
            <v>40</v>
          </cell>
          <cell r="C190">
            <v>18</v>
          </cell>
          <cell r="D190" t="str">
            <v>APOLLO (INDIA)</v>
          </cell>
          <cell r="E190" t="str">
            <v>ASPIRE 4G+</v>
          </cell>
          <cell r="N190">
            <v>4657.26</v>
          </cell>
        </row>
        <row r="191">
          <cell r="A191">
            <v>235</v>
          </cell>
          <cell r="B191">
            <v>40</v>
          </cell>
          <cell r="C191">
            <v>18</v>
          </cell>
          <cell r="D191" t="str">
            <v>APOLLO (INDIA)</v>
          </cell>
          <cell r="E191" t="str">
            <v>ASPIRE 4G+</v>
          </cell>
          <cell r="N191">
            <v>4931.62</v>
          </cell>
        </row>
        <row r="192">
          <cell r="A192">
            <v>225</v>
          </cell>
          <cell r="B192">
            <v>45</v>
          </cell>
          <cell r="C192">
            <v>18</v>
          </cell>
          <cell r="D192" t="str">
            <v>APOLLO (INDIA)</v>
          </cell>
          <cell r="E192" t="str">
            <v>ASPIRE 4G+</v>
          </cell>
          <cell r="N192">
            <v>4815.0200000000004</v>
          </cell>
        </row>
        <row r="193">
          <cell r="A193">
            <v>235</v>
          </cell>
          <cell r="B193">
            <v>50</v>
          </cell>
          <cell r="C193">
            <v>18</v>
          </cell>
          <cell r="D193" t="str">
            <v>APOLLO (INDIA)</v>
          </cell>
          <cell r="E193" t="str">
            <v>ASPIRE 4G+</v>
          </cell>
          <cell r="N193">
            <v>4767.01</v>
          </cell>
        </row>
        <row r="194">
          <cell r="A194">
            <v>215</v>
          </cell>
          <cell r="B194">
            <v>55</v>
          </cell>
          <cell r="C194">
            <v>18</v>
          </cell>
          <cell r="D194" t="str">
            <v>APOLLO (INDIA)</v>
          </cell>
          <cell r="E194" t="str">
            <v>APTERRA CROSS</v>
          </cell>
          <cell r="N194">
            <v>4664.12</v>
          </cell>
        </row>
        <row r="195">
          <cell r="A195">
            <v>225</v>
          </cell>
          <cell r="B195">
            <v>55</v>
          </cell>
          <cell r="C195">
            <v>18</v>
          </cell>
          <cell r="D195" t="str">
            <v>APOLLO (INDIA)</v>
          </cell>
          <cell r="E195" t="str">
            <v>APTERRA HT2</v>
          </cell>
          <cell r="N195">
            <v>5144.25</v>
          </cell>
        </row>
        <row r="196">
          <cell r="A196">
            <v>235</v>
          </cell>
          <cell r="B196">
            <v>55</v>
          </cell>
          <cell r="C196">
            <v>18</v>
          </cell>
          <cell r="D196" t="str">
            <v>APOLLO (INDIA)</v>
          </cell>
          <cell r="E196" t="str">
            <v>ASPIRE 4G+</v>
          </cell>
          <cell r="N196">
            <v>4849.3100000000004</v>
          </cell>
        </row>
        <row r="197">
          <cell r="A197">
            <v>235</v>
          </cell>
          <cell r="B197">
            <v>60</v>
          </cell>
          <cell r="C197">
            <v>18</v>
          </cell>
          <cell r="D197" t="str">
            <v>APOLLO (INDIA)</v>
          </cell>
          <cell r="E197" t="str">
            <v>APTERRA HT2</v>
          </cell>
          <cell r="N197">
            <v>5494.06</v>
          </cell>
        </row>
        <row r="198">
          <cell r="A198">
            <v>235</v>
          </cell>
          <cell r="B198">
            <v>60</v>
          </cell>
          <cell r="C198">
            <v>18</v>
          </cell>
          <cell r="D198" t="str">
            <v>APOLLO (INDIA)</v>
          </cell>
          <cell r="E198" t="str">
            <v>APTERRA HP</v>
          </cell>
          <cell r="N198">
            <v>5329.44</v>
          </cell>
        </row>
        <row r="199">
          <cell r="A199">
            <v>265</v>
          </cell>
          <cell r="B199">
            <v>60</v>
          </cell>
          <cell r="C199">
            <v>18</v>
          </cell>
          <cell r="D199" t="str">
            <v>APOLLO (INDIA)</v>
          </cell>
          <cell r="E199" t="str">
            <v>APTERRA AT2</v>
          </cell>
          <cell r="N199">
            <v>5946.75</v>
          </cell>
        </row>
        <row r="200">
          <cell r="A200">
            <v>265</v>
          </cell>
          <cell r="B200">
            <v>60</v>
          </cell>
          <cell r="C200">
            <v>18</v>
          </cell>
          <cell r="D200" t="str">
            <v>APOLLO (INDIA)</v>
          </cell>
          <cell r="E200" t="str">
            <v>APTERRA HT2</v>
          </cell>
          <cell r="N200">
            <v>5768.42</v>
          </cell>
        </row>
        <row r="201">
          <cell r="A201">
            <v>245</v>
          </cell>
          <cell r="B201">
            <v>40</v>
          </cell>
          <cell r="C201">
            <v>19</v>
          </cell>
          <cell r="D201" t="str">
            <v>APOLLO (INDIA)</v>
          </cell>
          <cell r="E201" t="str">
            <v>ASPIRE 4G+</v>
          </cell>
          <cell r="N201">
            <v>5714.12</v>
          </cell>
        </row>
        <row r="202">
          <cell r="A202">
            <v>235</v>
          </cell>
          <cell r="B202">
            <v>50</v>
          </cell>
          <cell r="C202">
            <v>19</v>
          </cell>
          <cell r="D202" t="str">
            <v>APOLLO (INDIA)</v>
          </cell>
          <cell r="E202" t="str">
            <v>ASPIRE 4G+</v>
          </cell>
          <cell r="N202">
            <v>6681.02</v>
          </cell>
        </row>
        <row r="203">
          <cell r="A203">
            <v>265</v>
          </cell>
          <cell r="B203">
            <v>50</v>
          </cell>
          <cell r="C203">
            <v>20</v>
          </cell>
          <cell r="D203" t="str">
            <v>APOLLO (INDIA)</v>
          </cell>
          <cell r="E203" t="str">
            <v>APTERRA AT2</v>
          </cell>
          <cell r="N203">
            <v>6385.73</v>
          </cell>
        </row>
        <row r="204">
          <cell r="A204">
            <v>265</v>
          </cell>
          <cell r="B204">
            <v>50</v>
          </cell>
          <cell r="C204">
            <v>20</v>
          </cell>
          <cell r="D204" t="str">
            <v>APOLLO (INDIA)</v>
          </cell>
          <cell r="E204" t="str">
            <v>APTERRA HT2</v>
          </cell>
          <cell r="N204">
            <v>6193.68</v>
          </cell>
        </row>
        <row r="205">
          <cell r="A205">
            <v>175</v>
          </cell>
          <cell r="C205">
            <v>13</v>
          </cell>
          <cell r="D205" t="str">
            <v>ARIVO (CH)</v>
          </cell>
          <cell r="E205" t="str">
            <v>ARZ 6</v>
          </cell>
          <cell r="N205">
            <v>2021.6</v>
          </cell>
        </row>
        <row r="206">
          <cell r="A206">
            <v>185</v>
          </cell>
          <cell r="C206" t="str">
            <v>14C</v>
          </cell>
          <cell r="D206" t="str">
            <v>ARIVO (CH)</v>
          </cell>
          <cell r="E206" t="str">
            <v>TRANSITO ARZ 6-C</v>
          </cell>
          <cell r="N206">
            <v>2144.34</v>
          </cell>
        </row>
        <row r="207">
          <cell r="A207">
            <v>195</v>
          </cell>
          <cell r="C207" t="str">
            <v>14C</v>
          </cell>
          <cell r="D207" t="str">
            <v>ARIVO (CH)</v>
          </cell>
          <cell r="E207" t="str">
            <v>TRANSITO ARZ 6-C</v>
          </cell>
          <cell r="N207">
            <v>2483.6799999999998</v>
          </cell>
        </row>
        <row r="208">
          <cell r="A208">
            <v>175</v>
          </cell>
          <cell r="B208">
            <v>65</v>
          </cell>
          <cell r="C208">
            <v>14</v>
          </cell>
          <cell r="D208" t="str">
            <v>ARIVO (CH)</v>
          </cell>
          <cell r="E208" t="str">
            <v>PREMIO ARZ1</v>
          </cell>
          <cell r="N208">
            <v>1508.98</v>
          </cell>
        </row>
        <row r="209">
          <cell r="A209">
            <v>175</v>
          </cell>
          <cell r="B209">
            <v>65</v>
          </cell>
          <cell r="C209">
            <v>14</v>
          </cell>
          <cell r="D209" t="str">
            <v>ARIVO (CH)</v>
          </cell>
          <cell r="E209" t="str">
            <v>PREMIO COMFORT 6</v>
          </cell>
          <cell r="N209">
            <v>1508.98</v>
          </cell>
        </row>
        <row r="210">
          <cell r="A210">
            <v>185</v>
          </cell>
          <cell r="B210">
            <v>65</v>
          </cell>
          <cell r="C210">
            <v>14</v>
          </cell>
          <cell r="D210" t="str">
            <v>ARIVO (CH)</v>
          </cell>
          <cell r="E210" t="str">
            <v>PREMIO ARZ1</v>
          </cell>
          <cell r="N210">
            <v>1595.62</v>
          </cell>
        </row>
        <row r="211">
          <cell r="A211">
            <v>175</v>
          </cell>
          <cell r="B211">
            <v>70</v>
          </cell>
          <cell r="C211">
            <v>14</v>
          </cell>
          <cell r="D211" t="str">
            <v>ARIVO (CH)</v>
          </cell>
          <cell r="E211" t="str">
            <v>PREMIO ARZ1</v>
          </cell>
          <cell r="N211">
            <v>1936</v>
          </cell>
        </row>
        <row r="212">
          <cell r="A212">
            <v>195</v>
          </cell>
          <cell r="C212" t="str">
            <v>15C</v>
          </cell>
          <cell r="D212" t="str">
            <v>ARIVO (CH)</v>
          </cell>
          <cell r="E212" t="str">
            <v>TRANSITO ARZ 6-C</v>
          </cell>
          <cell r="N212">
            <v>2664.18</v>
          </cell>
        </row>
        <row r="213">
          <cell r="A213">
            <v>175</v>
          </cell>
          <cell r="B213">
            <v>50</v>
          </cell>
          <cell r="C213">
            <v>15</v>
          </cell>
          <cell r="D213" t="str">
            <v>ARIVO (CH)</v>
          </cell>
          <cell r="E213" t="str">
            <v>PREMIO ARZ1</v>
          </cell>
          <cell r="N213">
            <v>1682.26</v>
          </cell>
        </row>
        <row r="214">
          <cell r="A214">
            <v>195</v>
          </cell>
          <cell r="B214">
            <v>50</v>
          </cell>
          <cell r="C214">
            <v>15</v>
          </cell>
          <cell r="D214" t="str">
            <v>ARIVO (CH)</v>
          </cell>
          <cell r="E214" t="str">
            <v>PREMIO ARZ1</v>
          </cell>
          <cell r="N214">
            <v>2000</v>
          </cell>
        </row>
        <row r="215">
          <cell r="A215">
            <v>175</v>
          </cell>
          <cell r="B215">
            <v>55</v>
          </cell>
          <cell r="C215">
            <v>15</v>
          </cell>
          <cell r="D215" t="str">
            <v>ARIVO (CH)</v>
          </cell>
          <cell r="E215" t="str">
            <v>PREMIO ARZ1</v>
          </cell>
          <cell r="N215">
            <v>1747.24</v>
          </cell>
        </row>
        <row r="216">
          <cell r="A216">
            <v>185</v>
          </cell>
          <cell r="B216">
            <v>55</v>
          </cell>
          <cell r="C216">
            <v>15</v>
          </cell>
          <cell r="D216" t="str">
            <v>ARIVO (CH)</v>
          </cell>
          <cell r="E216" t="str">
            <v>PREMIO ARZ1</v>
          </cell>
          <cell r="N216">
            <v>1920.52</v>
          </cell>
        </row>
        <row r="217">
          <cell r="A217">
            <v>195</v>
          </cell>
          <cell r="B217">
            <v>55</v>
          </cell>
          <cell r="C217">
            <v>15</v>
          </cell>
          <cell r="D217" t="str">
            <v>ARIVO (CH)</v>
          </cell>
          <cell r="E217" t="str">
            <v>PREMIO ARZ1</v>
          </cell>
          <cell r="N217">
            <v>2050</v>
          </cell>
        </row>
        <row r="218">
          <cell r="A218">
            <v>185</v>
          </cell>
          <cell r="B218">
            <v>60</v>
          </cell>
          <cell r="C218">
            <v>15</v>
          </cell>
          <cell r="D218" t="str">
            <v>ARIVO (CH)</v>
          </cell>
          <cell r="E218" t="str">
            <v>PREMIO ARZ1</v>
          </cell>
          <cell r="N218">
            <v>1913.3</v>
          </cell>
        </row>
        <row r="219">
          <cell r="A219">
            <v>175</v>
          </cell>
          <cell r="B219">
            <v>65</v>
          </cell>
          <cell r="C219">
            <v>15</v>
          </cell>
          <cell r="D219" t="str">
            <v>ARIVO (CH)</v>
          </cell>
          <cell r="E219" t="str">
            <v>PREMIO ARZ1</v>
          </cell>
          <cell r="N219">
            <v>1898.86</v>
          </cell>
        </row>
        <row r="220">
          <cell r="A220">
            <v>185</v>
          </cell>
          <cell r="B220">
            <v>65</v>
          </cell>
          <cell r="C220">
            <v>15</v>
          </cell>
          <cell r="D220" t="str">
            <v>ARIVO (CH)</v>
          </cell>
          <cell r="E220" t="str">
            <v>PREMIO ARZ1</v>
          </cell>
          <cell r="N220">
            <v>2043.26</v>
          </cell>
        </row>
        <row r="221">
          <cell r="A221">
            <v>195</v>
          </cell>
          <cell r="B221">
            <v>65</v>
          </cell>
          <cell r="C221">
            <v>15</v>
          </cell>
          <cell r="D221" t="str">
            <v>ARIVO (CH)</v>
          </cell>
          <cell r="E221" t="str">
            <v>PREMIO ARZ1</v>
          </cell>
          <cell r="N221">
            <v>2050.48</v>
          </cell>
        </row>
        <row r="222">
          <cell r="A222">
            <v>205</v>
          </cell>
          <cell r="B222">
            <v>65</v>
          </cell>
          <cell r="C222">
            <v>15</v>
          </cell>
          <cell r="D222" t="str">
            <v>ARIVO (CH)</v>
          </cell>
          <cell r="E222" t="str">
            <v>PREMIO ARZ1</v>
          </cell>
          <cell r="N222">
            <v>2400</v>
          </cell>
        </row>
        <row r="223">
          <cell r="A223">
            <v>205</v>
          </cell>
          <cell r="B223">
            <v>70</v>
          </cell>
          <cell r="C223">
            <v>15</v>
          </cell>
          <cell r="D223" t="str">
            <v>ARIVO (CH)</v>
          </cell>
          <cell r="E223" t="str">
            <v>PREMIO ARZ1</v>
          </cell>
          <cell r="N223">
            <v>2600</v>
          </cell>
        </row>
        <row r="224">
          <cell r="A224">
            <v>205</v>
          </cell>
          <cell r="B224">
            <v>70</v>
          </cell>
          <cell r="C224" t="str">
            <v>15C</v>
          </cell>
          <cell r="D224" t="str">
            <v>ARIVO (CH)</v>
          </cell>
          <cell r="E224" t="str">
            <v>PREMIO ARZ6</v>
          </cell>
          <cell r="N224">
            <v>2990.88</v>
          </cell>
        </row>
        <row r="225">
          <cell r="A225">
            <v>33</v>
          </cell>
          <cell r="B225">
            <v>12.5</v>
          </cell>
          <cell r="C225">
            <v>15</v>
          </cell>
          <cell r="D225" t="str">
            <v>ARIVO (CH)</v>
          </cell>
          <cell r="E225" t="str">
            <v>ROCK TRAK R/T</v>
          </cell>
          <cell r="N225">
            <v>7689.3</v>
          </cell>
        </row>
        <row r="226">
          <cell r="A226">
            <v>195</v>
          </cell>
          <cell r="B226">
            <v>50</v>
          </cell>
          <cell r="C226">
            <v>16</v>
          </cell>
          <cell r="D226" t="str">
            <v>ARIVO (CH)</v>
          </cell>
          <cell r="E226" t="str">
            <v>ULTRA ARZ4</v>
          </cell>
          <cell r="N226">
            <v>2320</v>
          </cell>
        </row>
        <row r="227">
          <cell r="A227">
            <v>195</v>
          </cell>
          <cell r="B227">
            <v>50</v>
          </cell>
          <cell r="C227">
            <v>16</v>
          </cell>
          <cell r="D227" t="str">
            <v>ARIVO (CH)</v>
          </cell>
          <cell r="E227" t="str">
            <v>ULTRA ARZ5</v>
          </cell>
          <cell r="N227">
            <v>2216.54</v>
          </cell>
        </row>
        <row r="228">
          <cell r="A228">
            <v>205</v>
          </cell>
          <cell r="B228">
            <v>50</v>
          </cell>
          <cell r="C228">
            <v>16</v>
          </cell>
          <cell r="D228" t="str">
            <v>ARIVO (CH)</v>
          </cell>
          <cell r="E228" t="str">
            <v>ULTRA ARZ4</v>
          </cell>
          <cell r="N228">
            <v>2303.1799999999998</v>
          </cell>
        </row>
        <row r="229">
          <cell r="A229">
            <v>205</v>
          </cell>
          <cell r="B229">
            <v>50</v>
          </cell>
          <cell r="C229">
            <v>16</v>
          </cell>
          <cell r="D229" t="str">
            <v>ARIVO (CH)</v>
          </cell>
          <cell r="E229" t="str">
            <v>ULTRA ARZ5</v>
          </cell>
          <cell r="N229">
            <v>2397.04</v>
          </cell>
        </row>
        <row r="230">
          <cell r="A230">
            <v>185</v>
          </cell>
          <cell r="B230">
            <v>55</v>
          </cell>
          <cell r="C230">
            <v>16</v>
          </cell>
          <cell r="D230" t="str">
            <v>ARIVO (CH)</v>
          </cell>
          <cell r="E230" t="str">
            <v>PREMIO ARZ1</v>
          </cell>
          <cell r="N230">
            <v>2384</v>
          </cell>
        </row>
        <row r="231">
          <cell r="A231">
            <v>195</v>
          </cell>
          <cell r="B231">
            <v>45</v>
          </cell>
          <cell r="C231">
            <v>16</v>
          </cell>
          <cell r="D231" t="str">
            <v>ARIVO (CH)</v>
          </cell>
          <cell r="E231" t="str">
            <v>ULTRA ARZ4</v>
          </cell>
          <cell r="N231">
            <v>2151.56</v>
          </cell>
        </row>
        <row r="232">
          <cell r="A232">
            <v>205</v>
          </cell>
          <cell r="B232">
            <v>45</v>
          </cell>
          <cell r="C232">
            <v>16</v>
          </cell>
          <cell r="D232" t="str">
            <v>ARIVO (CH)</v>
          </cell>
          <cell r="E232" t="str">
            <v>ULTRA ARZ4</v>
          </cell>
          <cell r="N232">
            <v>2295.96</v>
          </cell>
        </row>
        <row r="233">
          <cell r="A233">
            <v>205</v>
          </cell>
          <cell r="B233">
            <v>55</v>
          </cell>
          <cell r="C233">
            <v>16</v>
          </cell>
          <cell r="D233" t="str">
            <v>ARIVO (CH)</v>
          </cell>
          <cell r="E233" t="str">
            <v>ULTRA ARZ4</v>
          </cell>
          <cell r="N233">
            <v>2599.1999999999998</v>
          </cell>
        </row>
        <row r="234">
          <cell r="A234">
            <v>215</v>
          </cell>
          <cell r="B234">
            <v>65</v>
          </cell>
          <cell r="C234">
            <v>16</v>
          </cell>
          <cell r="D234" t="str">
            <v>ARIVO (CH)</v>
          </cell>
          <cell r="E234" t="str">
            <v>(PREMIO ARZ1)</v>
          </cell>
          <cell r="N234">
            <v>2801.36</v>
          </cell>
        </row>
        <row r="235">
          <cell r="A235">
            <v>215</v>
          </cell>
          <cell r="B235">
            <v>70</v>
          </cell>
          <cell r="C235">
            <v>16</v>
          </cell>
          <cell r="D235" t="str">
            <v>ARIVO (CH)</v>
          </cell>
          <cell r="E235" t="str">
            <v>TERRANO ARV HT</v>
          </cell>
          <cell r="N235">
            <v>3119.04</v>
          </cell>
        </row>
        <row r="236">
          <cell r="A236">
            <v>265</v>
          </cell>
          <cell r="B236">
            <v>70</v>
          </cell>
          <cell r="C236">
            <v>16</v>
          </cell>
          <cell r="D236" t="str">
            <v>ARIVO (CH)</v>
          </cell>
          <cell r="E236" t="str">
            <v>TERAMAX ARV PRO AT</v>
          </cell>
          <cell r="N236">
            <v>5300</v>
          </cell>
        </row>
        <row r="237">
          <cell r="A237">
            <v>215</v>
          </cell>
          <cell r="B237">
            <v>40</v>
          </cell>
          <cell r="C237">
            <v>17</v>
          </cell>
          <cell r="D237" t="str">
            <v>ARIVO (CH)</v>
          </cell>
          <cell r="E237" t="str">
            <v>ULTRA ARZ5</v>
          </cell>
          <cell r="N237">
            <v>2541.44</v>
          </cell>
        </row>
        <row r="238">
          <cell r="A238">
            <v>205</v>
          </cell>
          <cell r="B238">
            <v>45</v>
          </cell>
          <cell r="C238">
            <v>17</v>
          </cell>
          <cell r="D238" t="str">
            <v>ARIVO (CH)</v>
          </cell>
          <cell r="E238" t="str">
            <v>ULTRA ARZ4</v>
          </cell>
          <cell r="N238">
            <v>2397.04</v>
          </cell>
        </row>
        <row r="239">
          <cell r="A239">
            <v>205</v>
          </cell>
          <cell r="B239">
            <v>45</v>
          </cell>
          <cell r="C239">
            <v>17</v>
          </cell>
          <cell r="D239" t="str">
            <v>ARIVO (CH)</v>
          </cell>
          <cell r="E239" t="str">
            <v>ULTRA ARZ5</v>
          </cell>
          <cell r="N239">
            <v>2397.04</v>
          </cell>
        </row>
        <row r="240">
          <cell r="A240">
            <v>225</v>
          </cell>
          <cell r="B240">
            <v>45</v>
          </cell>
          <cell r="C240">
            <v>17</v>
          </cell>
          <cell r="D240" t="str">
            <v>ARIVO (CH)</v>
          </cell>
          <cell r="E240" t="str">
            <v>ULTRA ARZ4</v>
          </cell>
          <cell r="N240">
            <v>3100</v>
          </cell>
        </row>
        <row r="241">
          <cell r="A241">
            <v>205</v>
          </cell>
          <cell r="B241">
            <v>50</v>
          </cell>
          <cell r="C241">
            <v>17</v>
          </cell>
          <cell r="D241" t="str">
            <v>ARIVO (CH)</v>
          </cell>
          <cell r="E241" t="str">
            <v>ULTRA ARZ4</v>
          </cell>
          <cell r="N241">
            <v>2527</v>
          </cell>
        </row>
        <row r="242">
          <cell r="A242">
            <v>215</v>
          </cell>
          <cell r="B242">
            <v>55</v>
          </cell>
          <cell r="C242">
            <v>17</v>
          </cell>
          <cell r="D242" t="str">
            <v>ARIVO (CH)</v>
          </cell>
          <cell r="E242" t="str">
            <v>PREMIO ARZ1</v>
          </cell>
          <cell r="N242">
            <v>2916.88</v>
          </cell>
        </row>
        <row r="243">
          <cell r="A243">
            <v>215</v>
          </cell>
          <cell r="B243">
            <v>55</v>
          </cell>
          <cell r="C243">
            <v>17</v>
          </cell>
          <cell r="D243" t="str">
            <v>ARIVO (CH)</v>
          </cell>
          <cell r="E243" t="str">
            <v>ULTRA ARZ4</v>
          </cell>
          <cell r="N243">
            <v>2916.88</v>
          </cell>
        </row>
        <row r="244">
          <cell r="A244">
            <v>215</v>
          </cell>
          <cell r="B244">
            <v>55</v>
          </cell>
          <cell r="C244">
            <v>17</v>
          </cell>
          <cell r="D244" t="str">
            <v>ARIVO (CH)</v>
          </cell>
          <cell r="E244" t="str">
            <v>ULTRA ARZ5</v>
          </cell>
          <cell r="N244">
            <v>2916.88</v>
          </cell>
        </row>
        <row r="245">
          <cell r="A245">
            <v>225</v>
          </cell>
          <cell r="B245">
            <v>55</v>
          </cell>
          <cell r="C245">
            <v>17</v>
          </cell>
          <cell r="D245" t="str">
            <v>ARIVO (CH)</v>
          </cell>
          <cell r="E245" t="str">
            <v>PREMIO ARZ5</v>
          </cell>
          <cell r="N245">
            <v>3500</v>
          </cell>
        </row>
        <row r="246">
          <cell r="A246">
            <v>225</v>
          </cell>
          <cell r="B246">
            <v>65</v>
          </cell>
          <cell r="C246">
            <v>17</v>
          </cell>
          <cell r="D246" t="str">
            <v>ARIVO (CH)</v>
          </cell>
          <cell r="E246" t="str">
            <v>PREMIO ARZ1</v>
          </cell>
          <cell r="N246">
            <v>3140.7</v>
          </cell>
        </row>
        <row r="247">
          <cell r="A247">
            <v>265</v>
          </cell>
          <cell r="B247">
            <v>65</v>
          </cell>
          <cell r="C247">
            <v>17</v>
          </cell>
          <cell r="D247" t="str">
            <v>ARIVO (CH)</v>
          </cell>
          <cell r="E247" t="str">
            <v>ROCK TRAK R/T</v>
          </cell>
          <cell r="N247">
            <v>5299.48</v>
          </cell>
        </row>
        <row r="248">
          <cell r="A248">
            <v>285</v>
          </cell>
          <cell r="B248">
            <v>70</v>
          </cell>
          <cell r="C248">
            <v>17</v>
          </cell>
          <cell r="D248" t="str">
            <v>ARIVO (CH)</v>
          </cell>
          <cell r="E248" t="str">
            <v>TERAMAX ARV PRO AT</v>
          </cell>
          <cell r="N248">
            <v>6678.5</v>
          </cell>
        </row>
        <row r="249">
          <cell r="A249">
            <v>285</v>
          </cell>
          <cell r="B249">
            <v>70</v>
          </cell>
          <cell r="C249">
            <v>17</v>
          </cell>
          <cell r="D249" t="str">
            <v>ARIVO (CH)</v>
          </cell>
          <cell r="E249" t="str">
            <v>ROCK TRAK M/T</v>
          </cell>
          <cell r="N249">
            <v>7147.8</v>
          </cell>
        </row>
        <row r="250">
          <cell r="A250">
            <v>225</v>
          </cell>
          <cell r="B250">
            <v>40</v>
          </cell>
          <cell r="C250">
            <v>18</v>
          </cell>
          <cell r="D250" t="str">
            <v>ARIVO (CH)</v>
          </cell>
          <cell r="E250" t="str">
            <v>ULTRA ARZ4</v>
          </cell>
          <cell r="N250">
            <v>2895.22</v>
          </cell>
        </row>
        <row r="251">
          <cell r="A251">
            <v>225</v>
          </cell>
          <cell r="B251">
            <v>45</v>
          </cell>
          <cell r="C251">
            <v>18</v>
          </cell>
          <cell r="D251" t="str">
            <v>ARIVO (CH)</v>
          </cell>
          <cell r="E251" t="str">
            <v>ULTRA ARZ4</v>
          </cell>
          <cell r="N251">
            <v>2851.9</v>
          </cell>
        </row>
        <row r="252">
          <cell r="A252">
            <v>235</v>
          </cell>
          <cell r="B252">
            <v>45</v>
          </cell>
          <cell r="C252">
            <v>18</v>
          </cell>
          <cell r="D252" t="str">
            <v>ARIVO (CH)</v>
          </cell>
          <cell r="E252" t="str">
            <v>ULTRA ARZ4</v>
          </cell>
          <cell r="N252">
            <v>3097.38</v>
          </cell>
        </row>
        <row r="253">
          <cell r="A253">
            <v>235</v>
          </cell>
          <cell r="B253">
            <v>45</v>
          </cell>
          <cell r="C253">
            <v>18</v>
          </cell>
          <cell r="D253" t="str">
            <v>ARIVO (CH)</v>
          </cell>
          <cell r="E253" t="str">
            <v>ULTRA ARZ5</v>
          </cell>
          <cell r="N253">
            <v>3097.38</v>
          </cell>
        </row>
        <row r="254">
          <cell r="A254">
            <v>235</v>
          </cell>
          <cell r="B254">
            <v>50</v>
          </cell>
          <cell r="C254">
            <v>18</v>
          </cell>
          <cell r="D254" t="str">
            <v>ARIVO (CH)</v>
          </cell>
          <cell r="E254" t="str">
            <v>ULTRA ARZ5</v>
          </cell>
          <cell r="N254">
            <v>3321.2</v>
          </cell>
        </row>
        <row r="255">
          <cell r="A255">
            <v>265</v>
          </cell>
          <cell r="B255">
            <v>60</v>
          </cell>
          <cell r="C255">
            <v>18</v>
          </cell>
          <cell r="D255" t="str">
            <v>ARIVO (CH)</v>
          </cell>
          <cell r="E255" t="str">
            <v>TERAMAX ARV PRO A/T</v>
          </cell>
          <cell r="N255">
            <v>4620.8</v>
          </cell>
        </row>
        <row r="256">
          <cell r="A256">
            <v>275</v>
          </cell>
          <cell r="B256">
            <v>65</v>
          </cell>
          <cell r="C256">
            <v>18</v>
          </cell>
          <cell r="D256" t="str">
            <v>ARIVO (CH)</v>
          </cell>
          <cell r="E256" t="str">
            <v>ARV PRO AT</v>
          </cell>
          <cell r="N256">
            <v>5434</v>
          </cell>
        </row>
        <row r="257">
          <cell r="A257">
            <v>235</v>
          </cell>
          <cell r="B257">
            <v>35</v>
          </cell>
          <cell r="C257">
            <v>19</v>
          </cell>
          <cell r="D257" t="str">
            <v>ARIVO (CH)</v>
          </cell>
          <cell r="E257" t="str">
            <v>ULTRA ARZ5</v>
          </cell>
          <cell r="N257">
            <v>3638.88</v>
          </cell>
        </row>
        <row r="258">
          <cell r="A258">
            <v>245</v>
          </cell>
          <cell r="B258">
            <v>35</v>
          </cell>
          <cell r="C258">
            <v>19</v>
          </cell>
          <cell r="D258" t="str">
            <v>ARIVO (CH)</v>
          </cell>
          <cell r="E258" t="str">
            <v>ULTRA ARZ5</v>
          </cell>
          <cell r="N258">
            <v>3638.88</v>
          </cell>
        </row>
        <row r="259">
          <cell r="A259">
            <v>235</v>
          </cell>
          <cell r="B259">
            <v>55</v>
          </cell>
          <cell r="C259">
            <v>19</v>
          </cell>
          <cell r="D259" t="str">
            <v>ARIVO (CH)</v>
          </cell>
          <cell r="E259" t="str">
            <v>ULTRA ARZ4</v>
          </cell>
          <cell r="N259">
            <v>4440.3</v>
          </cell>
        </row>
        <row r="260">
          <cell r="A260">
            <v>245</v>
          </cell>
          <cell r="B260">
            <v>40</v>
          </cell>
          <cell r="C260">
            <v>20</v>
          </cell>
          <cell r="D260" t="str">
            <v>ARIVO (CH)</v>
          </cell>
          <cell r="E260" t="str">
            <v>ULTRA ARZ5</v>
          </cell>
          <cell r="N260">
            <v>3754.4</v>
          </cell>
        </row>
        <row r="261">
          <cell r="A261">
            <v>245</v>
          </cell>
          <cell r="B261">
            <v>45</v>
          </cell>
          <cell r="C261">
            <v>20</v>
          </cell>
          <cell r="D261" t="str">
            <v>ARIVO (CH)</v>
          </cell>
          <cell r="E261" t="str">
            <v>ULTRA ARZ5</v>
          </cell>
          <cell r="N261">
            <v>4160.01</v>
          </cell>
        </row>
        <row r="262">
          <cell r="A262">
            <v>265</v>
          </cell>
          <cell r="B262">
            <v>50</v>
          </cell>
          <cell r="C262">
            <v>20</v>
          </cell>
          <cell r="D262" t="str">
            <v>ARIVO (CH)</v>
          </cell>
          <cell r="E262" t="str">
            <v>ROCK TRAK R/T</v>
          </cell>
          <cell r="N262">
            <v>5566.62</v>
          </cell>
        </row>
        <row r="263">
          <cell r="A263">
            <v>265</v>
          </cell>
          <cell r="B263">
            <v>50</v>
          </cell>
          <cell r="C263">
            <v>20</v>
          </cell>
          <cell r="D263" t="str">
            <v>ARIVO (CH)</v>
          </cell>
          <cell r="E263" t="str">
            <v>TERRAMAX ARV PRO A/T</v>
          </cell>
          <cell r="N263">
            <v>4924.04</v>
          </cell>
        </row>
        <row r="264">
          <cell r="A264">
            <v>275</v>
          </cell>
          <cell r="B264">
            <v>55</v>
          </cell>
          <cell r="C264">
            <v>20</v>
          </cell>
          <cell r="D264" t="str">
            <v>ARIVO (CH)</v>
          </cell>
          <cell r="E264" t="str">
            <v>TERRAMAX ARV PRO A/T</v>
          </cell>
          <cell r="N264">
            <v>5183.96</v>
          </cell>
        </row>
        <row r="265">
          <cell r="A265">
            <v>33</v>
          </cell>
          <cell r="B265">
            <v>12.5</v>
          </cell>
          <cell r="C265">
            <v>20</v>
          </cell>
          <cell r="D265" t="str">
            <v>ARIVO (CH)</v>
          </cell>
          <cell r="E265" t="str">
            <v>ROCK TRAK R/T</v>
          </cell>
          <cell r="N265">
            <v>8122.5</v>
          </cell>
        </row>
        <row r="266">
          <cell r="A266">
            <v>305</v>
          </cell>
          <cell r="B266">
            <v>40</v>
          </cell>
          <cell r="C266">
            <v>22</v>
          </cell>
          <cell r="D266" t="str">
            <v>ARIVO (CH)</v>
          </cell>
          <cell r="E266" t="str">
            <v>ULTRA SPORT ARV7</v>
          </cell>
          <cell r="N266">
            <v>5790.44</v>
          </cell>
        </row>
        <row r="267">
          <cell r="A267">
            <v>285</v>
          </cell>
          <cell r="B267">
            <v>45</v>
          </cell>
          <cell r="C267">
            <v>22</v>
          </cell>
          <cell r="D267" t="str">
            <v>ARIVO (CH)</v>
          </cell>
          <cell r="E267" t="str">
            <v>ULTRA SPORT ARV7</v>
          </cell>
          <cell r="N267">
            <v>6505.22</v>
          </cell>
        </row>
        <row r="268">
          <cell r="A268">
            <v>175</v>
          </cell>
          <cell r="B268">
            <v>65</v>
          </cell>
          <cell r="C268">
            <v>14</v>
          </cell>
          <cell r="D268" t="str">
            <v>ARROYO (TH)</v>
          </cell>
          <cell r="E268" t="str">
            <v>ECO PRO A/S</v>
          </cell>
          <cell r="N268">
            <v>1824</v>
          </cell>
        </row>
        <row r="269">
          <cell r="A269">
            <v>175</v>
          </cell>
          <cell r="B269">
            <v>70</v>
          </cell>
          <cell r="C269">
            <v>14</v>
          </cell>
          <cell r="D269" t="str">
            <v>ARROYO (TH)</v>
          </cell>
          <cell r="E269" t="str">
            <v>ECO PRO A/S</v>
          </cell>
          <cell r="N269">
            <v>1960.8</v>
          </cell>
        </row>
        <row r="270">
          <cell r="A270">
            <v>185</v>
          </cell>
          <cell r="B270">
            <v>55</v>
          </cell>
          <cell r="C270">
            <v>15</v>
          </cell>
          <cell r="D270" t="str">
            <v>ARROYO (TH)</v>
          </cell>
          <cell r="E270" t="str">
            <v>GRAND SPORT A/S</v>
          </cell>
          <cell r="N270">
            <v>2154.6</v>
          </cell>
        </row>
        <row r="271">
          <cell r="A271">
            <v>31</v>
          </cell>
          <cell r="B271">
            <v>10.5</v>
          </cell>
          <cell r="C271">
            <v>15</v>
          </cell>
          <cell r="D271" t="str">
            <v>ARROYO (TH)</v>
          </cell>
          <cell r="E271" t="str">
            <v>TAMAROCK A/T LT</v>
          </cell>
          <cell r="N271">
            <v>5348.5</v>
          </cell>
        </row>
        <row r="272">
          <cell r="A272">
            <v>205</v>
          </cell>
          <cell r="B272">
            <v>55</v>
          </cell>
          <cell r="C272">
            <v>16</v>
          </cell>
          <cell r="D272" t="str">
            <v>ARROYO (TH)</v>
          </cell>
          <cell r="E272" t="str">
            <v>GRAND SPORT A/S</v>
          </cell>
          <cell r="N272">
            <v>2584</v>
          </cell>
        </row>
        <row r="273">
          <cell r="A273">
            <v>265</v>
          </cell>
          <cell r="B273">
            <v>70</v>
          </cell>
          <cell r="C273">
            <v>16</v>
          </cell>
          <cell r="D273" t="str">
            <v>ARROYO (TH)</v>
          </cell>
          <cell r="E273" t="str">
            <v>TAMAROCK A/T</v>
          </cell>
          <cell r="N273">
            <v>5215.5</v>
          </cell>
        </row>
        <row r="274">
          <cell r="A274">
            <v>265</v>
          </cell>
          <cell r="B274">
            <v>65</v>
          </cell>
          <cell r="C274">
            <v>17</v>
          </cell>
          <cell r="D274" t="str">
            <v>ARROYO (TH)</v>
          </cell>
          <cell r="E274" t="str">
            <v>ECO PRO H/T</v>
          </cell>
          <cell r="N274">
            <v>5301</v>
          </cell>
        </row>
        <row r="275">
          <cell r="A275">
            <v>265</v>
          </cell>
          <cell r="B275">
            <v>65</v>
          </cell>
          <cell r="C275">
            <v>17</v>
          </cell>
          <cell r="D275" t="str">
            <v>ARROYO (TH)</v>
          </cell>
          <cell r="E275" t="str">
            <v>TAMAROCK A/T</v>
          </cell>
          <cell r="N275">
            <v>5396</v>
          </cell>
        </row>
        <row r="276">
          <cell r="A276">
            <v>265</v>
          </cell>
          <cell r="B276">
            <v>65</v>
          </cell>
          <cell r="C276">
            <v>17</v>
          </cell>
          <cell r="D276" t="str">
            <v>ARROYO (TH)</v>
          </cell>
          <cell r="E276" t="str">
            <v>TAMAROCK R/T (WHITE LETTER)</v>
          </cell>
          <cell r="N276">
            <v>5795</v>
          </cell>
        </row>
        <row r="277">
          <cell r="A277">
            <v>265</v>
          </cell>
          <cell r="B277">
            <v>70</v>
          </cell>
          <cell r="C277">
            <v>17</v>
          </cell>
          <cell r="D277" t="str">
            <v>ARROYO (TH)</v>
          </cell>
          <cell r="E277" t="str">
            <v>TAMAROCK R/T (WHITE LETTER)</v>
          </cell>
          <cell r="N277">
            <v>7068</v>
          </cell>
        </row>
        <row r="278">
          <cell r="A278">
            <v>265</v>
          </cell>
          <cell r="B278">
            <v>70</v>
          </cell>
          <cell r="C278">
            <v>17</v>
          </cell>
          <cell r="D278" t="str">
            <v>ARROYO (TH)</v>
          </cell>
          <cell r="E278" t="str">
            <v>TAMAROCK A/T</v>
          </cell>
          <cell r="N278">
            <v>5548</v>
          </cell>
        </row>
        <row r="279">
          <cell r="A279">
            <v>285</v>
          </cell>
          <cell r="B279">
            <v>70</v>
          </cell>
          <cell r="C279">
            <v>17</v>
          </cell>
          <cell r="D279" t="str">
            <v>ARROYO (TH)</v>
          </cell>
          <cell r="E279" t="str">
            <v>TAMAROCK R/T (RED LETTER)</v>
          </cell>
          <cell r="N279">
            <v>8208</v>
          </cell>
        </row>
        <row r="280">
          <cell r="A280">
            <v>265</v>
          </cell>
          <cell r="B280">
            <v>60</v>
          </cell>
          <cell r="C280">
            <v>18</v>
          </cell>
          <cell r="D280" t="str">
            <v>ARROYO (TH)</v>
          </cell>
          <cell r="E280" t="str">
            <v>ECO PRO H/T</v>
          </cell>
          <cell r="N280">
            <v>5396</v>
          </cell>
        </row>
        <row r="281">
          <cell r="A281">
            <v>265</v>
          </cell>
          <cell r="B281">
            <v>60</v>
          </cell>
          <cell r="C281">
            <v>18</v>
          </cell>
          <cell r="D281" t="str">
            <v>ARROYO (TH)</v>
          </cell>
          <cell r="E281" t="str">
            <v>TAMAROCK A/T (WHITE LETTER)</v>
          </cell>
          <cell r="N281">
            <v>5443.5</v>
          </cell>
        </row>
        <row r="282">
          <cell r="A282">
            <v>265</v>
          </cell>
          <cell r="B282">
            <v>60</v>
          </cell>
          <cell r="C282">
            <v>18</v>
          </cell>
          <cell r="D282" t="str">
            <v>ARROYO (TH)</v>
          </cell>
          <cell r="E282" t="str">
            <v>TAMAROCK R/T (WHITE LETTER)</v>
          </cell>
          <cell r="N282">
            <v>5795</v>
          </cell>
        </row>
        <row r="283">
          <cell r="A283">
            <v>265</v>
          </cell>
          <cell r="B283">
            <v>65</v>
          </cell>
          <cell r="C283">
            <v>18</v>
          </cell>
          <cell r="D283" t="str">
            <v>ARROYO (TH)</v>
          </cell>
          <cell r="E283" t="str">
            <v>TAMAROCK R/T (WHITE LETTER)</v>
          </cell>
          <cell r="N283">
            <v>6156</v>
          </cell>
        </row>
        <row r="284">
          <cell r="A284">
            <v>265</v>
          </cell>
          <cell r="B284">
            <v>65</v>
          </cell>
          <cell r="C284">
            <v>18</v>
          </cell>
          <cell r="D284" t="str">
            <v>ARROYO (TH)</v>
          </cell>
          <cell r="E284" t="str">
            <v>TAMAROCK A/T</v>
          </cell>
          <cell r="N284">
            <v>5966</v>
          </cell>
        </row>
        <row r="285">
          <cell r="A285">
            <v>275</v>
          </cell>
          <cell r="B285">
            <v>65</v>
          </cell>
          <cell r="C285">
            <v>18</v>
          </cell>
          <cell r="D285" t="str">
            <v>ARROYO (TH)</v>
          </cell>
          <cell r="E285" t="str">
            <v>TAMAROCK A/T</v>
          </cell>
          <cell r="N285">
            <v>6137</v>
          </cell>
        </row>
        <row r="286">
          <cell r="A286">
            <v>285</v>
          </cell>
          <cell r="B286">
            <v>65</v>
          </cell>
          <cell r="C286">
            <v>18</v>
          </cell>
          <cell r="D286" t="str">
            <v>ARROYO (TH)</v>
          </cell>
          <cell r="E286" t="str">
            <v>TAMAROCK R/T (WHITE LETTER)</v>
          </cell>
          <cell r="N286">
            <v>8844.5</v>
          </cell>
        </row>
        <row r="287">
          <cell r="A287">
            <v>265</v>
          </cell>
          <cell r="B287">
            <v>50</v>
          </cell>
          <cell r="C287">
            <v>20</v>
          </cell>
          <cell r="D287" t="str">
            <v>ARROYO (TH)</v>
          </cell>
          <cell r="E287" t="str">
            <v>TAMAROCK A/T (WHITE LETTER)</v>
          </cell>
          <cell r="N287">
            <v>6317.5</v>
          </cell>
        </row>
        <row r="288">
          <cell r="A288">
            <v>265</v>
          </cell>
          <cell r="B288">
            <v>50</v>
          </cell>
          <cell r="C288">
            <v>20</v>
          </cell>
          <cell r="D288" t="str">
            <v>ARROYO (TH)</v>
          </cell>
          <cell r="E288" t="str">
            <v>TAMAROCK R/T (WHITE LETTER)</v>
          </cell>
          <cell r="N288">
            <v>6574</v>
          </cell>
        </row>
        <row r="289">
          <cell r="A289">
            <v>275</v>
          </cell>
          <cell r="B289">
            <v>55</v>
          </cell>
          <cell r="C289">
            <v>20</v>
          </cell>
          <cell r="D289" t="str">
            <v>ARROYO (TH)</v>
          </cell>
          <cell r="E289" t="str">
            <v>TAMAROCK R/T</v>
          </cell>
          <cell r="N289">
            <v>6716.5</v>
          </cell>
        </row>
        <row r="290">
          <cell r="A290">
            <v>285</v>
          </cell>
          <cell r="B290">
            <v>55</v>
          </cell>
          <cell r="C290">
            <v>20</v>
          </cell>
          <cell r="D290" t="str">
            <v>ARROYO (TH)</v>
          </cell>
          <cell r="E290" t="str">
            <v>TAMAROCK R/T (WHITE LETTER)</v>
          </cell>
          <cell r="N290">
            <v>9956</v>
          </cell>
        </row>
        <row r="291">
          <cell r="A291">
            <v>175</v>
          </cell>
          <cell r="B291">
            <v>65</v>
          </cell>
          <cell r="C291">
            <v>14</v>
          </cell>
          <cell r="D291" t="str">
            <v>ATLANDER</v>
          </cell>
          <cell r="E291" t="str">
            <v>XSPORT-76</v>
          </cell>
          <cell r="N291">
            <v>1988.8</v>
          </cell>
        </row>
        <row r="292">
          <cell r="A292">
            <v>185</v>
          </cell>
          <cell r="C292" t="str">
            <v>14C</v>
          </cell>
          <cell r="D292" t="str">
            <v>ATLANDER</v>
          </cell>
          <cell r="E292" t="str">
            <v>VANPLUS C18</v>
          </cell>
          <cell r="N292">
            <v>2705.6</v>
          </cell>
        </row>
        <row r="293">
          <cell r="A293">
            <v>185</v>
          </cell>
          <cell r="B293">
            <v>55</v>
          </cell>
          <cell r="C293">
            <v>15</v>
          </cell>
          <cell r="D293" t="str">
            <v>ATLANDER</v>
          </cell>
          <cell r="E293" t="str">
            <v>AX77</v>
          </cell>
          <cell r="N293">
            <v>2249.6</v>
          </cell>
        </row>
        <row r="294">
          <cell r="A294">
            <v>185</v>
          </cell>
          <cell r="B294">
            <v>60</v>
          </cell>
          <cell r="C294">
            <v>15</v>
          </cell>
          <cell r="D294" t="str">
            <v>ATLANDER</v>
          </cell>
          <cell r="E294" t="str">
            <v>AX77</v>
          </cell>
          <cell r="N294">
            <v>2173.6</v>
          </cell>
        </row>
        <row r="295">
          <cell r="A295">
            <v>185</v>
          </cell>
          <cell r="B295">
            <v>65</v>
          </cell>
          <cell r="C295">
            <v>15</v>
          </cell>
          <cell r="D295" t="str">
            <v>ATLANDER</v>
          </cell>
          <cell r="E295" t="str">
            <v>XSPORT-76</v>
          </cell>
          <cell r="N295">
            <v>2333.1999999999998</v>
          </cell>
        </row>
        <row r="296">
          <cell r="A296">
            <v>195</v>
          </cell>
          <cell r="C296" t="str">
            <v>15C</v>
          </cell>
          <cell r="D296" t="str">
            <v>ATLANDER</v>
          </cell>
          <cell r="E296" t="str">
            <v>VANPLUS C18</v>
          </cell>
          <cell r="N296">
            <v>3184.4</v>
          </cell>
        </row>
        <row r="297">
          <cell r="A297">
            <v>195</v>
          </cell>
          <cell r="B297">
            <v>55</v>
          </cell>
          <cell r="C297">
            <v>15</v>
          </cell>
          <cell r="D297" t="str">
            <v>ATLANDER</v>
          </cell>
          <cell r="E297" t="str">
            <v>AX77</v>
          </cell>
          <cell r="N297">
            <v>2348.4</v>
          </cell>
        </row>
        <row r="298">
          <cell r="A298">
            <v>205</v>
          </cell>
          <cell r="B298">
            <v>50</v>
          </cell>
          <cell r="C298">
            <v>16</v>
          </cell>
          <cell r="D298" t="str">
            <v>ATLANDER</v>
          </cell>
          <cell r="E298" t="str">
            <v>XSPORT-86</v>
          </cell>
          <cell r="N298">
            <v>2834.8</v>
          </cell>
        </row>
        <row r="299">
          <cell r="A299">
            <v>195</v>
          </cell>
          <cell r="B299">
            <v>55</v>
          </cell>
          <cell r="C299">
            <v>16</v>
          </cell>
          <cell r="D299" t="str">
            <v>ATLANDER</v>
          </cell>
          <cell r="E299" t="str">
            <v>XSPORT-86</v>
          </cell>
          <cell r="N299">
            <v>2690.4</v>
          </cell>
        </row>
        <row r="300">
          <cell r="A300">
            <v>205</v>
          </cell>
          <cell r="B300">
            <v>55</v>
          </cell>
          <cell r="C300">
            <v>16</v>
          </cell>
          <cell r="D300" t="str">
            <v>ATLANDER</v>
          </cell>
          <cell r="E300" t="str">
            <v>XSPORT-86</v>
          </cell>
          <cell r="N300">
            <v>2834.8</v>
          </cell>
        </row>
        <row r="301">
          <cell r="A301">
            <v>205</v>
          </cell>
          <cell r="B301">
            <v>60</v>
          </cell>
          <cell r="C301">
            <v>16</v>
          </cell>
          <cell r="D301" t="str">
            <v>ATLANDER</v>
          </cell>
          <cell r="E301" t="str">
            <v>XSPORT-86</v>
          </cell>
          <cell r="N301">
            <v>2910.8</v>
          </cell>
        </row>
        <row r="302">
          <cell r="A302">
            <v>205</v>
          </cell>
          <cell r="B302">
            <v>65</v>
          </cell>
          <cell r="C302">
            <v>16</v>
          </cell>
          <cell r="D302" t="str">
            <v>ATLANDER</v>
          </cell>
          <cell r="E302" t="str">
            <v>XSPORT-86</v>
          </cell>
          <cell r="N302">
            <v>2956.4</v>
          </cell>
        </row>
        <row r="303">
          <cell r="A303">
            <v>215</v>
          </cell>
          <cell r="B303">
            <v>65</v>
          </cell>
          <cell r="C303">
            <v>16</v>
          </cell>
          <cell r="D303" t="str">
            <v>ATLANDER</v>
          </cell>
          <cell r="E303" t="str">
            <v>ROVERSTAR HT</v>
          </cell>
          <cell r="N303">
            <v>3564.4</v>
          </cell>
        </row>
        <row r="304">
          <cell r="A304">
            <v>245</v>
          </cell>
          <cell r="B304">
            <v>70</v>
          </cell>
          <cell r="C304">
            <v>16</v>
          </cell>
          <cell r="D304" t="str">
            <v>ATLANDER</v>
          </cell>
          <cell r="E304" t="str">
            <v>ROVERCLAW AT</v>
          </cell>
          <cell r="N304">
            <v>4837.3999999999996</v>
          </cell>
        </row>
        <row r="305">
          <cell r="A305">
            <v>285</v>
          </cell>
          <cell r="B305">
            <v>75</v>
          </cell>
          <cell r="C305">
            <v>16</v>
          </cell>
          <cell r="D305" t="str">
            <v>ATLANDER</v>
          </cell>
          <cell r="E305" t="str">
            <v>ROVERCLAW AT</v>
          </cell>
          <cell r="N305">
            <v>6500</v>
          </cell>
        </row>
        <row r="306">
          <cell r="A306">
            <v>205</v>
          </cell>
          <cell r="B306">
            <v>45</v>
          </cell>
          <cell r="C306">
            <v>17</v>
          </cell>
          <cell r="D306" t="str">
            <v>ATLANDER</v>
          </cell>
          <cell r="E306" t="str">
            <v>XSPORT-86</v>
          </cell>
          <cell r="N306">
            <v>2635.3</v>
          </cell>
        </row>
        <row r="307">
          <cell r="A307">
            <v>205</v>
          </cell>
          <cell r="B307">
            <v>50</v>
          </cell>
          <cell r="C307">
            <v>17</v>
          </cell>
          <cell r="D307" t="str">
            <v>ATLANDER</v>
          </cell>
          <cell r="E307" t="str">
            <v>XSPORT-86</v>
          </cell>
          <cell r="N307">
            <v>3032.4</v>
          </cell>
        </row>
        <row r="308">
          <cell r="A308">
            <v>215</v>
          </cell>
          <cell r="B308">
            <v>55</v>
          </cell>
          <cell r="C308">
            <v>17</v>
          </cell>
          <cell r="D308" t="str">
            <v>ATLANDER</v>
          </cell>
          <cell r="E308" t="str">
            <v>XSPORT-86</v>
          </cell>
          <cell r="N308">
            <v>3511.2</v>
          </cell>
        </row>
        <row r="309">
          <cell r="A309">
            <v>215</v>
          </cell>
          <cell r="B309">
            <v>60</v>
          </cell>
          <cell r="C309">
            <v>17</v>
          </cell>
          <cell r="D309" t="str">
            <v>ATLANDER</v>
          </cell>
          <cell r="E309" t="str">
            <v>ROVERSTAR HT</v>
          </cell>
          <cell r="N309">
            <v>3270.66</v>
          </cell>
        </row>
        <row r="310">
          <cell r="A310">
            <v>33</v>
          </cell>
          <cell r="B310">
            <v>12.5</v>
          </cell>
          <cell r="C310">
            <v>17</v>
          </cell>
          <cell r="D310" t="str">
            <v>ATLANDER</v>
          </cell>
          <cell r="E310" t="str">
            <v>ROVERCLAW RT</v>
          </cell>
          <cell r="N310">
            <v>8021.42</v>
          </cell>
        </row>
        <row r="311">
          <cell r="A311">
            <v>235</v>
          </cell>
          <cell r="B311">
            <v>50</v>
          </cell>
          <cell r="C311">
            <v>18</v>
          </cell>
          <cell r="D311" t="str">
            <v>ATLANDER</v>
          </cell>
          <cell r="E311" t="str">
            <v>XSPORT-86</v>
          </cell>
          <cell r="N311">
            <v>3898.8</v>
          </cell>
        </row>
        <row r="312">
          <cell r="A312">
            <v>245</v>
          </cell>
          <cell r="B312">
            <v>40</v>
          </cell>
          <cell r="C312">
            <v>20</v>
          </cell>
          <cell r="D312" t="str">
            <v>ATLANDER</v>
          </cell>
          <cell r="E312" t="str">
            <v>XSPORT-86</v>
          </cell>
          <cell r="N312">
            <v>4620.8</v>
          </cell>
        </row>
        <row r="313">
          <cell r="A313">
            <v>305</v>
          </cell>
          <cell r="B313">
            <v>45</v>
          </cell>
          <cell r="C313">
            <v>22</v>
          </cell>
          <cell r="D313" t="str">
            <v>ATLANDER</v>
          </cell>
          <cell r="E313" t="str">
            <v>AX99</v>
          </cell>
          <cell r="N313">
            <v>7584.8</v>
          </cell>
        </row>
        <row r="314">
          <cell r="A314">
            <v>265</v>
          </cell>
          <cell r="B314">
            <v>60</v>
          </cell>
          <cell r="C314">
            <v>18</v>
          </cell>
          <cell r="D314" t="str">
            <v>ATTURO (THAI)</v>
          </cell>
          <cell r="E314" t="str">
            <v>TRAILBLADE (A/T)</v>
          </cell>
          <cell r="N314">
            <v>5625</v>
          </cell>
        </row>
        <row r="315">
          <cell r="A315">
            <v>265</v>
          </cell>
          <cell r="B315">
            <v>50</v>
          </cell>
          <cell r="C315">
            <v>20</v>
          </cell>
          <cell r="D315" t="str">
            <v>ATTURO (TAIWAN)</v>
          </cell>
          <cell r="E315" t="str">
            <v>ATW AZ800 (H/T)</v>
          </cell>
          <cell r="N315">
            <v>5000</v>
          </cell>
        </row>
        <row r="316">
          <cell r="A316">
            <v>265</v>
          </cell>
          <cell r="B316">
            <v>50</v>
          </cell>
          <cell r="C316">
            <v>20</v>
          </cell>
          <cell r="D316" t="str">
            <v>ATTURO (TAIWAN)</v>
          </cell>
          <cell r="E316" t="str">
            <v>TRAILBLADE XT</v>
          </cell>
          <cell r="N316">
            <v>6300</v>
          </cell>
        </row>
        <row r="317">
          <cell r="A317">
            <v>175</v>
          </cell>
          <cell r="B317">
            <v>65</v>
          </cell>
          <cell r="C317">
            <v>14</v>
          </cell>
          <cell r="D317" t="str">
            <v>BF GOODRICH</v>
          </cell>
          <cell r="E317" t="str">
            <v>ADVANTAGE TOURING</v>
          </cell>
          <cell r="N317">
            <v>3240.88</v>
          </cell>
        </row>
        <row r="318">
          <cell r="A318">
            <v>175</v>
          </cell>
          <cell r="B318">
            <v>70</v>
          </cell>
          <cell r="C318">
            <v>14</v>
          </cell>
          <cell r="D318" t="str">
            <v>BF GOODRICH</v>
          </cell>
          <cell r="E318" t="str">
            <v>ADVANTAGE TOURING</v>
          </cell>
          <cell r="N318">
            <v>3679.86</v>
          </cell>
        </row>
        <row r="319">
          <cell r="A319">
            <v>185</v>
          </cell>
          <cell r="B319">
            <v>65</v>
          </cell>
          <cell r="C319">
            <v>14</v>
          </cell>
          <cell r="D319" t="str">
            <v>BF GOODRICH</v>
          </cell>
          <cell r="E319" t="str">
            <v>ADV T/A</v>
          </cell>
          <cell r="N319">
            <v>3180.87</v>
          </cell>
        </row>
        <row r="320">
          <cell r="A320">
            <v>185</v>
          </cell>
          <cell r="B320">
            <v>65</v>
          </cell>
          <cell r="C320">
            <v>14</v>
          </cell>
          <cell r="D320" t="str">
            <v>BF GOODRICH</v>
          </cell>
          <cell r="E320" t="str">
            <v>ADVANTAGE TOURING</v>
          </cell>
          <cell r="N320">
            <v>3566.68</v>
          </cell>
        </row>
        <row r="321">
          <cell r="A321">
            <v>185</v>
          </cell>
          <cell r="B321">
            <v>70</v>
          </cell>
          <cell r="C321">
            <v>14</v>
          </cell>
          <cell r="D321" t="str">
            <v>BF GOODRICH</v>
          </cell>
          <cell r="E321" t="str">
            <v>ADVANTAGE TOURING</v>
          </cell>
          <cell r="N321">
            <v>3652.42</v>
          </cell>
        </row>
        <row r="322">
          <cell r="A322">
            <v>175</v>
          </cell>
          <cell r="B322">
            <v>50</v>
          </cell>
          <cell r="C322">
            <v>15</v>
          </cell>
          <cell r="D322" t="str">
            <v>BF GOODRICH</v>
          </cell>
          <cell r="E322" t="str">
            <v>ADVANTAGE TOURING</v>
          </cell>
          <cell r="N322">
            <v>3815.32</v>
          </cell>
        </row>
        <row r="323">
          <cell r="A323">
            <v>195</v>
          </cell>
          <cell r="B323">
            <v>50</v>
          </cell>
          <cell r="C323">
            <v>15</v>
          </cell>
          <cell r="D323" t="str">
            <v>BF GOODRICH</v>
          </cell>
          <cell r="E323" t="str">
            <v>ADVANTAGE TOURING</v>
          </cell>
          <cell r="N323">
            <v>4029.66</v>
          </cell>
        </row>
        <row r="324">
          <cell r="A324">
            <v>185</v>
          </cell>
          <cell r="B324">
            <v>55</v>
          </cell>
          <cell r="C324">
            <v>15</v>
          </cell>
          <cell r="D324" t="str">
            <v>BF GOODRICH</v>
          </cell>
          <cell r="E324" t="str">
            <v>ADVANTAGE TOURING</v>
          </cell>
          <cell r="N324">
            <v>3755.3</v>
          </cell>
        </row>
        <row r="325">
          <cell r="A325">
            <v>195</v>
          </cell>
          <cell r="B325">
            <v>55</v>
          </cell>
          <cell r="C325">
            <v>15</v>
          </cell>
          <cell r="D325" t="str">
            <v>BF GOODRICH</v>
          </cell>
          <cell r="E325" t="str">
            <v>ADVANTAGE TOURING</v>
          </cell>
          <cell r="N325">
            <v>3909.63</v>
          </cell>
        </row>
        <row r="326">
          <cell r="A326">
            <v>185</v>
          </cell>
          <cell r="B326">
            <v>60</v>
          </cell>
          <cell r="C326">
            <v>15</v>
          </cell>
          <cell r="D326" t="str">
            <v>BF GOODRICH</v>
          </cell>
          <cell r="E326" t="str">
            <v>ADVANTAGE TOURING</v>
          </cell>
          <cell r="N326">
            <v>3729.58</v>
          </cell>
        </row>
        <row r="327">
          <cell r="A327">
            <v>195</v>
          </cell>
          <cell r="B327">
            <v>60</v>
          </cell>
          <cell r="C327">
            <v>15</v>
          </cell>
          <cell r="D327" t="str">
            <v>BF GOODRICH</v>
          </cell>
          <cell r="E327" t="str">
            <v>ADVANTAGE TOURING</v>
          </cell>
          <cell r="N327">
            <v>4012.51</v>
          </cell>
        </row>
        <row r="328">
          <cell r="A328">
            <v>175</v>
          </cell>
          <cell r="B328">
            <v>65</v>
          </cell>
          <cell r="C328">
            <v>15</v>
          </cell>
          <cell r="D328" t="str">
            <v>BF GOODRICH</v>
          </cell>
          <cell r="E328" t="str">
            <v>ADVANTAGE TOURING</v>
          </cell>
          <cell r="N328">
            <v>3326.61</v>
          </cell>
        </row>
        <row r="329">
          <cell r="A329">
            <v>185</v>
          </cell>
          <cell r="B329">
            <v>65</v>
          </cell>
          <cell r="C329">
            <v>15</v>
          </cell>
          <cell r="D329" t="str">
            <v>BF GOODRICH</v>
          </cell>
          <cell r="E329" t="str">
            <v>ADVANTAGE TOURING</v>
          </cell>
          <cell r="N329">
            <v>3918.2</v>
          </cell>
        </row>
        <row r="330">
          <cell r="A330">
            <v>195</v>
          </cell>
          <cell r="B330">
            <v>65</v>
          </cell>
          <cell r="C330">
            <v>15</v>
          </cell>
          <cell r="D330" t="str">
            <v>BF GOODRICH</v>
          </cell>
          <cell r="E330" t="str">
            <v>ADVANTAGE TOURING</v>
          </cell>
          <cell r="N330">
            <v>3961.07</v>
          </cell>
        </row>
        <row r="331">
          <cell r="A331">
            <v>205</v>
          </cell>
          <cell r="B331">
            <v>65</v>
          </cell>
          <cell r="C331">
            <v>15</v>
          </cell>
          <cell r="D331" t="str">
            <v>BF GOODRICH</v>
          </cell>
          <cell r="E331" t="str">
            <v>ADVANTAGE TOURING</v>
          </cell>
          <cell r="N331">
            <v>4149.6899999999996</v>
          </cell>
        </row>
        <row r="332">
          <cell r="A332">
            <v>205</v>
          </cell>
          <cell r="B332">
            <v>70</v>
          </cell>
          <cell r="C332">
            <v>15</v>
          </cell>
          <cell r="D332" t="str">
            <v>BF GOODRICH</v>
          </cell>
          <cell r="E332" t="str">
            <v>ADVANTAGE TOURING</v>
          </cell>
          <cell r="N332">
            <v>4621.25</v>
          </cell>
        </row>
        <row r="333">
          <cell r="A333">
            <v>205</v>
          </cell>
          <cell r="B333">
            <v>70</v>
          </cell>
          <cell r="C333">
            <v>15</v>
          </cell>
          <cell r="D333" t="str">
            <v>BF GOODRICH</v>
          </cell>
          <cell r="E333" t="str">
            <v>ADV T/A</v>
          </cell>
          <cell r="N333">
            <v>3826</v>
          </cell>
        </row>
        <row r="334">
          <cell r="A334">
            <v>215</v>
          </cell>
          <cell r="B334">
            <v>70</v>
          </cell>
          <cell r="C334">
            <v>15</v>
          </cell>
          <cell r="D334" t="str">
            <v>BF GOODRICH</v>
          </cell>
          <cell r="E334" t="str">
            <v>ADVANTAGE TOURING</v>
          </cell>
          <cell r="N334">
            <v>5152.82</v>
          </cell>
        </row>
        <row r="335">
          <cell r="A335">
            <v>235</v>
          </cell>
          <cell r="B335">
            <v>70</v>
          </cell>
          <cell r="C335">
            <v>15</v>
          </cell>
          <cell r="D335" t="str">
            <v>BF GOODRICH</v>
          </cell>
          <cell r="E335" t="str">
            <v>ADVANTAGE TOURING</v>
          </cell>
          <cell r="N335">
            <v>5838.72</v>
          </cell>
        </row>
        <row r="336">
          <cell r="A336">
            <v>215</v>
          </cell>
          <cell r="B336">
            <v>75</v>
          </cell>
          <cell r="C336">
            <v>15</v>
          </cell>
          <cell r="D336" t="str">
            <v>BF GOODRICH</v>
          </cell>
          <cell r="E336" t="str">
            <v>KO2</v>
          </cell>
          <cell r="N336">
            <v>11344.42</v>
          </cell>
        </row>
        <row r="337">
          <cell r="A337">
            <v>235</v>
          </cell>
          <cell r="B337">
            <v>75</v>
          </cell>
          <cell r="C337">
            <v>15</v>
          </cell>
          <cell r="D337" t="str">
            <v>BF GOODRICH</v>
          </cell>
          <cell r="E337" t="str">
            <v>KO2</v>
          </cell>
          <cell r="N337">
            <v>12102.52</v>
          </cell>
        </row>
        <row r="338">
          <cell r="A338">
            <v>235</v>
          </cell>
          <cell r="B338">
            <v>75</v>
          </cell>
          <cell r="C338">
            <v>15</v>
          </cell>
          <cell r="D338" t="str">
            <v>BF GOODRICH</v>
          </cell>
          <cell r="E338" t="str">
            <v>ADV T/Z</v>
          </cell>
          <cell r="N338">
            <v>5090.1000000000004</v>
          </cell>
        </row>
        <row r="339">
          <cell r="A339">
            <v>235</v>
          </cell>
          <cell r="B339">
            <v>75</v>
          </cell>
          <cell r="C339">
            <v>15</v>
          </cell>
          <cell r="D339" t="str">
            <v>BF GOODRICH</v>
          </cell>
          <cell r="E339" t="str">
            <v>ADVANTAGE TOURING</v>
          </cell>
          <cell r="N339">
            <v>6095.93</v>
          </cell>
        </row>
        <row r="340">
          <cell r="A340">
            <v>195</v>
          </cell>
          <cell r="B340">
            <v>50</v>
          </cell>
          <cell r="C340">
            <v>16</v>
          </cell>
          <cell r="D340" t="str">
            <v>BF GOODRICH</v>
          </cell>
          <cell r="E340" t="str">
            <v>ADVANTAGE TOURING</v>
          </cell>
          <cell r="N340">
            <v>4029.66</v>
          </cell>
        </row>
        <row r="341">
          <cell r="A341">
            <v>185</v>
          </cell>
          <cell r="B341">
            <v>55</v>
          </cell>
          <cell r="C341">
            <v>16</v>
          </cell>
          <cell r="D341" t="str">
            <v>BF GOODRICH</v>
          </cell>
          <cell r="E341" t="str">
            <v>ADVANTAGE TOURING</v>
          </cell>
          <cell r="N341">
            <v>3532.39</v>
          </cell>
        </row>
        <row r="342">
          <cell r="A342">
            <v>195</v>
          </cell>
          <cell r="B342">
            <v>55</v>
          </cell>
          <cell r="C342">
            <v>16</v>
          </cell>
          <cell r="D342" t="str">
            <v>BF GOODRICH</v>
          </cell>
          <cell r="E342" t="str">
            <v>ADVANTAGE TOURING</v>
          </cell>
          <cell r="N342">
            <v>3892.48</v>
          </cell>
        </row>
        <row r="343">
          <cell r="A343">
            <v>205</v>
          </cell>
          <cell r="B343">
            <v>55</v>
          </cell>
          <cell r="C343">
            <v>16</v>
          </cell>
          <cell r="D343" t="str">
            <v>BF GOODRICH</v>
          </cell>
          <cell r="E343" t="str">
            <v>ADVANTAGE TOURING</v>
          </cell>
          <cell r="N343">
            <v>4758.43</v>
          </cell>
        </row>
        <row r="344">
          <cell r="A344">
            <v>215</v>
          </cell>
          <cell r="B344">
            <v>55</v>
          </cell>
          <cell r="C344">
            <v>16</v>
          </cell>
          <cell r="D344" t="str">
            <v>BF GOODRICH</v>
          </cell>
          <cell r="E344" t="str">
            <v>ADVANTAGE TOURING</v>
          </cell>
          <cell r="N344">
            <v>4441.2</v>
          </cell>
        </row>
        <row r="345">
          <cell r="A345">
            <v>195</v>
          </cell>
          <cell r="B345">
            <v>60</v>
          </cell>
          <cell r="C345">
            <v>16</v>
          </cell>
          <cell r="D345" t="str">
            <v>BF GOODRICH</v>
          </cell>
          <cell r="E345" t="str">
            <v>ADVANTAGE TOURING</v>
          </cell>
          <cell r="N345">
            <v>4141.12</v>
          </cell>
        </row>
        <row r="346">
          <cell r="A346">
            <v>205</v>
          </cell>
          <cell r="B346">
            <v>60</v>
          </cell>
          <cell r="C346">
            <v>16</v>
          </cell>
          <cell r="D346" t="str">
            <v>BF GOODRICH</v>
          </cell>
          <cell r="E346" t="str">
            <v>ADVANTAGE TOURING</v>
          </cell>
          <cell r="N346">
            <v>4674.95</v>
          </cell>
        </row>
        <row r="347">
          <cell r="A347">
            <v>215</v>
          </cell>
          <cell r="B347">
            <v>60</v>
          </cell>
          <cell r="C347">
            <v>16</v>
          </cell>
          <cell r="D347" t="str">
            <v>BF GOODRICH</v>
          </cell>
          <cell r="E347" t="str">
            <v>ADVANTAGE TOURING</v>
          </cell>
          <cell r="N347">
            <v>4999.8500000000004</v>
          </cell>
        </row>
        <row r="348">
          <cell r="A348">
            <v>205</v>
          </cell>
          <cell r="B348">
            <v>65</v>
          </cell>
          <cell r="C348">
            <v>16</v>
          </cell>
          <cell r="D348" t="str">
            <v>BF GOODRICH</v>
          </cell>
          <cell r="E348" t="str">
            <v>ADVANTAGE TOURING</v>
          </cell>
          <cell r="N348">
            <v>4278.3</v>
          </cell>
        </row>
        <row r="349">
          <cell r="A349">
            <v>215</v>
          </cell>
          <cell r="B349">
            <v>70</v>
          </cell>
          <cell r="C349">
            <v>16</v>
          </cell>
          <cell r="D349" t="str">
            <v>BF GOODRICH</v>
          </cell>
          <cell r="E349" t="str">
            <v>ADVANTAGE TOURING</v>
          </cell>
          <cell r="N349">
            <v>5470.05</v>
          </cell>
        </row>
        <row r="350">
          <cell r="A350">
            <v>235</v>
          </cell>
          <cell r="B350">
            <v>70</v>
          </cell>
          <cell r="C350">
            <v>16</v>
          </cell>
          <cell r="D350" t="str">
            <v>BF GOODRICH</v>
          </cell>
          <cell r="E350" t="str">
            <v>K03 BLK (TH)</v>
          </cell>
          <cell r="N350">
            <v>14277.55</v>
          </cell>
        </row>
        <row r="351">
          <cell r="A351">
            <v>265</v>
          </cell>
          <cell r="B351">
            <v>70</v>
          </cell>
          <cell r="C351">
            <v>16</v>
          </cell>
          <cell r="D351" t="str">
            <v>BF GOODRICH</v>
          </cell>
          <cell r="E351" t="str">
            <v>ADVANTAGE TOURING</v>
          </cell>
          <cell r="N351">
            <v>6951.11</v>
          </cell>
        </row>
        <row r="352">
          <cell r="A352">
            <v>265</v>
          </cell>
          <cell r="B352">
            <v>70</v>
          </cell>
          <cell r="C352">
            <v>16</v>
          </cell>
          <cell r="D352" t="str">
            <v>BF GOODRICH</v>
          </cell>
          <cell r="E352" t="str">
            <v>ADV T/A SUV GO</v>
          </cell>
          <cell r="N352">
            <v>6660.45</v>
          </cell>
        </row>
        <row r="353">
          <cell r="A353">
            <v>285</v>
          </cell>
          <cell r="B353">
            <v>75</v>
          </cell>
          <cell r="C353">
            <v>16</v>
          </cell>
          <cell r="D353" t="str">
            <v>BF GOODRICH</v>
          </cell>
          <cell r="E353" t="str">
            <v>K03</v>
          </cell>
          <cell r="N353">
            <v>17698.03</v>
          </cell>
        </row>
        <row r="354">
          <cell r="A354">
            <v>205</v>
          </cell>
          <cell r="B354">
            <v>45</v>
          </cell>
          <cell r="C354">
            <v>17</v>
          </cell>
          <cell r="D354" t="str">
            <v>BF GOODRICH</v>
          </cell>
          <cell r="E354" t="str">
            <v>G-FORCE PHENOM</v>
          </cell>
          <cell r="N354">
            <v>6436.67</v>
          </cell>
        </row>
        <row r="355">
          <cell r="A355">
            <v>215</v>
          </cell>
          <cell r="B355">
            <v>45</v>
          </cell>
          <cell r="C355">
            <v>17</v>
          </cell>
          <cell r="D355" t="str">
            <v>BF GOODRICH</v>
          </cell>
          <cell r="E355" t="str">
            <v>ADVANTAGE TOURING</v>
          </cell>
          <cell r="N355">
            <v>4758.43</v>
          </cell>
        </row>
        <row r="356">
          <cell r="A356">
            <v>215</v>
          </cell>
          <cell r="B356">
            <v>50</v>
          </cell>
          <cell r="C356">
            <v>17</v>
          </cell>
          <cell r="D356" t="str">
            <v>BF GOODRICH</v>
          </cell>
          <cell r="E356" t="str">
            <v>ADVANTAGE TOURING</v>
          </cell>
          <cell r="N356">
            <v>4664.3100000000004</v>
          </cell>
        </row>
        <row r="357">
          <cell r="A357">
            <v>215</v>
          </cell>
          <cell r="B357">
            <v>55</v>
          </cell>
          <cell r="C357">
            <v>17</v>
          </cell>
          <cell r="D357" t="str">
            <v>BF GOODRICH</v>
          </cell>
          <cell r="E357" t="str">
            <v>ADVANTAGE TOURING</v>
          </cell>
          <cell r="N357">
            <v>5081.3999999999996</v>
          </cell>
        </row>
        <row r="358">
          <cell r="A358">
            <v>215</v>
          </cell>
          <cell r="B358">
            <v>60</v>
          </cell>
          <cell r="C358">
            <v>17</v>
          </cell>
          <cell r="D358" t="str">
            <v>BF GOODRICH</v>
          </cell>
          <cell r="E358" t="str">
            <v>ADVANTAGE TOURING</v>
          </cell>
          <cell r="N358">
            <v>5075.66</v>
          </cell>
        </row>
        <row r="359">
          <cell r="A359">
            <v>225</v>
          </cell>
          <cell r="B359">
            <v>60</v>
          </cell>
          <cell r="C359">
            <v>17</v>
          </cell>
          <cell r="D359" t="str">
            <v>BF GOODRICH</v>
          </cell>
          <cell r="E359" t="str">
            <v>ADVANTAGE TOURING</v>
          </cell>
          <cell r="N359">
            <v>5615.81</v>
          </cell>
        </row>
        <row r="360">
          <cell r="A360">
            <v>235</v>
          </cell>
          <cell r="B360">
            <v>60</v>
          </cell>
          <cell r="C360">
            <v>17</v>
          </cell>
          <cell r="D360" t="str">
            <v>BF GOODRICH</v>
          </cell>
          <cell r="E360" t="str">
            <v>ADVANTAGE TOURING</v>
          </cell>
          <cell r="N360">
            <v>5596.34</v>
          </cell>
        </row>
        <row r="361">
          <cell r="A361">
            <v>225</v>
          </cell>
          <cell r="B361">
            <v>65</v>
          </cell>
          <cell r="C361">
            <v>17</v>
          </cell>
          <cell r="D361" t="str">
            <v>BF GOODRICH</v>
          </cell>
          <cell r="E361" t="str">
            <v>ADVANTAGE TOURING</v>
          </cell>
          <cell r="N361">
            <v>6378.87</v>
          </cell>
        </row>
        <row r="362">
          <cell r="A362">
            <v>265</v>
          </cell>
          <cell r="B362">
            <v>65</v>
          </cell>
          <cell r="C362">
            <v>17</v>
          </cell>
          <cell r="D362" t="str">
            <v>BF GOODRICH</v>
          </cell>
          <cell r="E362" t="str">
            <v>ADVANTAGE TOURING</v>
          </cell>
          <cell r="N362">
            <v>8402.27</v>
          </cell>
        </row>
        <row r="363">
          <cell r="A363">
            <v>265</v>
          </cell>
          <cell r="B363">
            <v>65</v>
          </cell>
          <cell r="C363">
            <v>17</v>
          </cell>
          <cell r="D363" t="str">
            <v>BF GOODRICH</v>
          </cell>
          <cell r="E363" t="str">
            <v>KO2</v>
          </cell>
          <cell r="N363">
            <v>13636.78</v>
          </cell>
        </row>
        <row r="364">
          <cell r="A364">
            <v>265</v>
          </cell>
          <cell r="B364">
            <v>65</v>
          </cell>
          <cell r="C364">
            <v>17</v>
          </cell>
          <cell r="D364" t="str">
            <v>BF GOODRICH</v>
          </cell>
          <cell r="E364" t="str">
            <v>ADV T/A</v>
          </cell>
          <cell r="N364">
            <v>8062</v>
          </cell>
        </row>
        <row r="365">
          <cell r="A365">
            <v>265</v>
          </cell>
          <cell r="B365">
            <v>65</v>
          </cell>
          <cell r="C365">
            <v>17</v>
          </cell>
          <cell r="D365" t="str">
            <v>BF GOODRICH</v>
          </cell>
          <cell r="E365" t="str">
            <v>K03 WHITE (TH)</v>
          </cell>
          <cell r="N365">
            <v>14015.83</v>
          </cell>
        </row>
        <row r="366">
          <cell r="A366">
            <v>265</v>
          </cell>
          <cell r="B366">
            <v>70</v>
          </cell>
          <cell r="C366">
            <v>17</v>
          </cell>
          <cell r="D366" t="str">
            <v>BF GOODRICH</v>
          </cell>
          <cell r="E366" t="str">
            <v>KO2 10PR WHITE (TH)</v>
          </cell>
          <cell r="N366">
            <v>16685.45</v>
          </cell>
        </row>
        <row r="367">
          <cell r="A367">
            <v>265</v>
          </cell>
          <cell r="B367">
            <v>70</v>
          </cell>
          <cell r="C367">
            <v>17</v>
          </cell>
          <cell r="D367" t="str">
            <v>BF GOODRICH</v>
          </cell>
          <cell r="E367" t="str">
            <v>K03 WHITE (TH)</v>
          </cell>
          <cell r="N367">
            <v>15297.38</v>
          </cell>
        </row>
        <row r="368">
          <cell r="A368">
            <v>285</v>
          </cell>
          <cell r="B368">
            <v>70</v>
          </cell>
          <cell r="C368">
            <v>17</v>
          </cell>
          <cell r="D368" t="str">
            <v>BF GOODRICH</v>
          </cell>
          <cell r="E368" t="str">
            <v>B6 6PR (BLACK SIDE WALL)</v>
          </cell>
          <cell r="N368">
            <v>14376.82</v>
          </cell>
        </row>
        <row r="369">
          <cell r="A369">
            <v>285</v>
          </cell>
          <cell r="B369">
            <v>70</v>
          </cell>
          <cell r="C369">
            <v>17</v>
          </cell>
          <cell r="D369" t="str">
            <v>BF GOODRICH</v>
          </cell>
          <cell r="E369" t="str">
            <v>W6 6PR(WHITE SIDE WALL) 116Q</v>
          </cell>
          <cell r="N369">
            <v>14620.5</v>
          </cell>
        </row>
        <row r="370">
          <cell r="A370">
            <v>285</v>
          </cell>
          <cell r="B370">
            <v>70</v>
          </cell>
          <cell r="C370">
            <v>17</v>
          </cell>
          <cell r="D370" t="str">
            <v>BF GOODRICH</v>
          </cell>
          <cell r="E370" t="str">
            <v>KO2 10PR 121R WHITE (USA)</v>
          </cell>
          <cell r="N370">
            <v>17048.22</v>
          </cell>
        </row>
        <row r="371">
          <cell r="A371">
            <v>285</v>
          </cell>
          <cell r="B371">
            <v>70</v>
          </cell>
          <cell r="C371">
            <v>17</v>
          </cell>
          <cell r="D371" t="str">
            <v>BF GOODRICH</v>
          </cell>
          <cell r="E371" t="str">
            <v>KO2 6PR 116S(RBL)</v>
          </cell>
          <cell r="N371">
            <v>14281.54</v>
          </cell>
        </row>
        <row r="372">
          <cell r="A372">
            <v>285</v>
          </cell>
          <cell r="B372">
            <v>70</v>
          </cell>
          <cell r="C372">
            <v>17</v>
          </cell>
          <cell r="D372" t="str">
            <v>BF GOODRICH</v>
          </cell>
          <cell r="E372" t="str">
            <v>KO2 6PR 116Q (OWL)</v>
          </cell>
          <cell r="N372">
            <v>17061.919999999998</v>
          </cell>
        </row>
        <row r="373">
          <cell r="A373">
            <v>285</v>
          </cell>
          <cell r="B373">
            <v>70</v>
          </cell>
          <cell r="C373">
            <v>17</v>
          </cell>
          <cell r="D373" t="str">
            <v>BF GOODRICH</v>
          </cell>
          <cell r="E373" t="str">
            <v>KO2 10PR 121R (OWL) USA</v>
          </cell>
          <cell r="N373">
            <v>17422.28</v>
          </cell>
        </row>
        <row r="374">
          <cell r="A374">
            <v>285</v>
          </cell>
          <cell r="B374">
            <v>70</v>
          </cell>
          <cell r="C374">
            <v>17</v>
          </cell>
          <cell r="D374" t="str">
            <v>BF GOODRICH</v>
          </cell>
          <cell r="E374" t="str">
            <v>K03 8PR LT</v>
          </cell>
          <cell r="N374">
            <v>13537.5</v>
          </cell>
        </row>
        <row r="375">
          <cell r="A375">
            <v>235</v>
          </cell>
          <cell r="B375">
            <v>40</v>
          </cell>
          <cell r="C375">
            <v>18</v>
          </cell>
          <cell r="D375" t="str">
            <v>BF GOODRICH</v>
          </cell>
          <cell r="E375" t="str">
            <v>G-FORCE PHENOM</v>
          </cell>
          <cell r="N375">
            <v>7896.42</v>
          </cell>
        </row>
        <row r="376">
          <cell r="A376">
            <v>225</v>
          </cell>
          <cell r="B376">
            <v>45</v>
          </cell>
          <cell r="C376">
            <v>18</v>
          </cell>
          <cell r="D376" t="str">
            <v>BF GOODRICH</v>
          </cell>
          <cell r="E376" t="str">
            <v>ADVANTAGE TOURING</v>
          </cell>
          <cell r="N376">
            <v>5081.3900000000003</v>
          </cell>
        </row>
        <row r="377">
          <cell r="A377">
            <v>225</v>
          </cell>
          <cell r="B377">
            <v>50</v>
          </cell>
          <cell r="C377">
            <v>18</v>
          </cell>
          <cell r="D377" t="str">
            <v>BF GOODRICH</v>
          </cell>
          <cell r="E377" t="str">
            <v>ADVANTAGE TOURING</v>
          </cell>
          <cell r="N377">
            <v>5821.57</v>
          </cell>
        </row>
        <row r="378">
          <cell r="A378">
            <v>235</v>
          </cell>
          <cell r="B378">
            <v>50</v>
          </cell>
          <cell r="C378">
            <v>18</v>
          </cell>
          <cell r="D378" t="str">
            <v>BF GOODRICH</v>
          </cell>
          <cell r="E378" t="str">
            <v>G-FORCE PHENOM</v>
          </cell>
          <cell r="N378">
            <v>7390.28</v>
          </cell>
        </row>
        <row r="379">
          <cell r="A379">
            <v>225</v>
          </cell>
          <cell r="B379">
            <v>55</v>
          </cell>
          <cell r="C379">
            <v>18</v>
          </cell>
          <cell r="D379" t="str">
            <v>BF GOODRICH</v>
          </cell>
          <cell r="E379" t="str">
            <v>ADVANTAGE TOURING</v>
          </cell>
          <cell r="N379">
            <v>5967.33</v>
          </cell>
        </row>
        <row r="380">
          <cell r="A380">
            <v>225</v>
          </cell>
          <cell r="B380">
            <v>60</v>
          </cell>
          <cell r="C380">
            <v>18</v>
          </cell>
          <cell r="D380" t="str">
            <v>BF GOODRICH</v>
          </cell>
          <cell r="E380" t="str">
            <v>ADVANTAGE TOURING</v>
          </cell>
          <cell r="N380">
            <v>6798.98</v>
          </cell>
        </row>
        <row r="381">
          <cell r="A381">
            <v>235</v>
          </cell>
          <cell r="B381">
            <v>60</v>
          </cell>
          <cell r="C381">
            <v>18</v>
          </cell>
          <cell r="D381" t="str">
            <v>BF GOODRICH</v>
          </cell>
          <cell r="E381" t="str">
            <v>ADVANTAGE TOURING</v>
          </cell>
          <cell r="N381">
            <v>7090.49</v>
          </cell>
        </row>
        <row r="382">
          <cell r="A382">
            <v>265</v>
          </cell>
          <cell r="B382">
            <v>60</v>
          </cell>
          <cell r="C382">
            <v>18</v>
          </cell>
          <cell r="D382" t="str">
            <v>BF GOODRICH</v>
          </cell>
          <cell r="E382" t="str">
            <v xml:space="preserve">T/A </v>
          </cell>
          <cell r="N382">
            <v>8281</v>
          </cell>
        </row>
        <row r="383">
          <cell r="A383">
            <v>265</v>
          </cell>
          <cell r="B383">
            <v>60</v>
          </cell>
          <cell r="C383">
            <v>18</v>
          </cell>
          <cell r="D383" t="str">
            <v>BF GOODRICH</v>
          </cell>
          <cell r="E383" t="str">
            <v>KO2 10PR (BLACK SIDE WALL) 116S</v>
          </cell>
          <cell r="N383">
            <v>15152.96</v>
          </cell>
        </row>
        <row r="384">
          <cell r="A384">
            <v>265</v>
          </cell>
          <cell r="B384">
            <v>60</v>
          </cell>
          <cell r="C384">
            <v>18</v>
          </cell>
          <cell r="D384" t="str">
            <v>BF GOODRICH</v>
          </cell>
          <cell r="E384" t="str">
            <v>ADVANTAGE TOURING</v>
          </cell>
          <cell r="N384">
            <v>8805.24</v>
          </cell>
        </row>
        <row r="385">
          <cell r="A385">
            <v>265</v>
          </cell>
          <cell r="B385">
            <v>60</v>
          </cell>
          <cell r="C385">
            <v>18</v>
          </cell>
          <cell r="D385" t="str">
            <v>BF GOODRICH</v>
          </cell>
          <cell r="E385" t="str">
            <v>K03 BLACK (TH)</v>
          </cell>
          <cell r="N385">
            <v>15827</v>
          </cell>
        </row>
        <row r="386">
          <cell r="A386">
            <v>285</v>
          </cell>
          <cell r="B386">
            <v>60</v>
          </cell>
          <cell r="C386">
            <v>18</v>
          </cell>
          <cell r="D386" t="str">
            <v>BF GOODRICH</v>
          </cell>
          <cell r="E386" t="str">
            <v>KO2 WHITE (USA)</v>
          </cell>
          <cell r="N386">
            <v>19137.73</v>
          </cell>
        </row>
        <row r="387">
          <cell r="A387">
            <v>265</v>
          </cell>
          <cell r="B387">
            <v>65</v>
          </cell>
          <cell r="C387">
            <v>18</v>
          </cell>
          <cell r="D387" t="str">
            <v>BF GOODRICH</v>
          </cell>
          <cell r="E387" t="str">
            <v>KO2 WHITE (USA)</v>
          </cell>
          <cell r="N387">
            <v>15588.55</v>
          </cell>
        </row>
        <row r="388">
          <cell r="A388">
            <v>265</v>
          </cell>
          <cell r="B388">
            <v>65</v>
          </cell>
          <cell r="C388">
            <v>18</v>
          </cell>
          <cell r="D388" t="str">
            <v>BF GOODRICH</v>
          </cell>
          <cell r="E388" t="str">
            <v>K03 WHITE (TH)</v>
          </cell>
          <cell r="N388">
            <v>16581.11</v>
          </cell>
        </row>
        <row r="389">
          <cell r="A389">
            <v>275</v>
          </cell>
          <cell r="B389">
            <v>65</v>
          </cell>
          <cell r="C389">
            <v>18</v>
          </cell>
          <cell r="D389" t="str">
            <v>BF GOODRICH</v>
          </cell>
          <cell r="E389" t="str">
            <v>K02</v>
          </cell>
          <cell r="N389">
            <v>18500</v>
          </cell>
        </row>
        <row r="390">
          <cell r="A390" t="str">
            <v>275</v>
          </cell>
          <cell r="B390" t="str">
            <v>65</v>
          </cell>
          <cell r="C390" t="str">
            <v>18</v>
          </cell>
          <cell r="D390" t="str">
            <v>BF GOODRICH</v>
          </cell>
          <cell r="E390" t="str">
            <v>K02 123R 10PR WHITE (USA)</v>
          </cell>
          <cell r="N390">
            <v>17959.75</v>
          </cell>
        </row>
        <row r="391">
          <cell r="A391">
            <v>275</v>
          </cell>
          <cell r="B391">
            <v>65</v>
          </cell>
          <cell r="C391">
            <v>18</v>
          </cell>
          <cell r="D391" t="str">
            <v>BF GOODRICH</v>
          </cell>
          <cell r="E391" t="str">
            <v>K03</v>
          </cell>
          <cell r="N391">
            <v>18158.3</v>
          </cell>
        </row>
        <row r="392">
          <cell r="A392">
            <v>285</v>
          </cell>
          <cell r="B392">
            <v>65</v>
          </cell>
          <cell r="C392">
            <v>18</v>
          </cell>
          <cell r="D392" t="str">
            <v>BF GOODRICH</v>
          </cell>
          <cell r="E392" t="str">
            <v>KO2 WHITE (USA)</v>
          </cell>
          <cell r="N392">
            <v>19024.7</v>
          </cell>
        </row>
        <row r="393">
          <cell r="A393">
            <v>285</v>
          </cell>
          <cell r="B393">
            <v>65</v>
          </cell>
          <cell r="C393">
            <v>18</v>
          </cell>
          <cell r="D393" t="str">
            <v>BF GOODRICH</v>
          </cell>
          <cell r="E393" t="str">
            <v>K03</v>
          </cell>
          <cell r="N393">
            <v>19385.7</v>
          </cell>
        </row>
        <row r="394">
          <cell r="A394">
            <v>245</v>
          </cell>
          <cell r="B394">
            <v>40</v>
          </cell>
          <cell r="C394">
            <v>20</v>
          </cell>
          <cell r="D394" t="str">
            <v>BF GOODRICH</v>
          </cell>
          <cell r="E394" t="str">
            <v>G-FORCE PHENOM</v>
          </cell>
          <cell r="N394">
            <v>11788.9</v>
          </cell>
        </row>
        <row r="395">
          <cell r="A395">
            <v>265</v>
          </cell>
          <cell r="B395">
            <v>50</v>
          </cell>
          <cell r="C395">
            <v>20</v>
          </cell>
          <cell r="D395" t="str">
            <v>BF GOODRICH</v>
          </cell>
          <cell r="E395" t="str">
            <v>ADVANTAGE TOURING</v>
          </cell>
          <cell r="N395">
            <v>7913.5</v>
          </cell>
        </row>
        <row r="396">
          <cell r="A396">
            <v>285</v>
          </cell>
          <cell r="B396">
            <v>50</v>
          </cell>
          <cell r="C396">
            <v>20</v>
          </cell>
          <cell r="D396" t="str">
            <v>BF GOODRICH</v>
          </cell>
          <cell r="E396" t="str">
            <v>ADVANTAGE TOURING</v>
          </cell>
          <cell r="N396">
            <v>9208.2099999999991</v>
          </cell>
        </row>
        <row r="397">
          <cell r="A397">
            <v>275</v>
          </cell>
          <cell r="B397">
            <v>55</v>
          </cell>
          <cell r="C397">
            <v>20</v>
          </cell>
          <cell r="D397" t="str">
            <v>BF GOODRICH</v>
          </cell>
          <cell r="E397" t="str">
            <v>KO2</v>
          </cell>
          <cell r="N397">
            <v>18275.625</v>
          </cell>
        </row>
        <row r="398">
          <cell r="A398">
            <v>275</v>
          </cell>
          <cell r="B398">
            <v>55</v>
          </cell>
          <cell r="C398">
            <v>20</v>
          </cell>
          <cell r="D398" t="str">
            <v>BF GOODRICH</v>
          </cell>
          <cell r="E398" t="str">
            <v>K03</v>
          </cell>
          <cell r="N398">
            <v>19268.375</v>
          </cell>
        </row>
        <row r="399">
          <cell r="A399">
            <v>285</v>
          </cell>
          <cell r="B399">
            <v>55</v>
          </cell>
          <cell r="C399">
            <v>20</v>
          </cell>
          <cell r="D399" t="str">
            <v>BF GOODRICH</v>
          </cell>
          <cell r="E399" t="str">
            <v>K03</v>
          </cell>
          <cell r="N399">
            <v>20534.13</v>
          </cell>
        </row>
        <row r="400">
          <cell r="A400">
            <v>295</v>
          </cell>
          <cell r="B400">
            <v>55</v>
          </cell>
          <cell r="C400">
            <v>20</v>
          </cell>
          <cell r="D400" t="str">
            <v>BF GOODRICH</v>
          </cell>
          <cell r="E400" t="str">
            <v>K03</v>
          </cell>
          <cell r="N400">
            <v>22300.77</v>
          </cell>
        </row>
        <row r="401">
          <cell r="A401">
            <v>285</v>
          </cell>
          <cell r="B401">
            <v>70</v>
          </cell>
          <cell r="C401">
            <v>17</v>
          </cell>
          <cell r="D401" t="str">
            <v>BLACK BEAR</v>
          </cell>
          <cell r="E401" t="str">
            <v>MT</v>
          </cell>
          <cell r="N401">
            <v>10614.24</v>
          </cell>
        </row>
        <row r="402">
          <cell r="A402" t="str">
            <v>215</v>
          </cell>
          <cell r="B402">
            <v>70</v>
          </cell>
          <cell r="C402">
            <v>16</v>
          </cell>
          <cell r="D402" t="str">
            <v>BONTERRA</v>
          </cell>
          <cell r="E402" t="str">
            <v>10PR LT HR566</v>
          </cell>
          <cell r="N402">
            <v>3819</v>
          </cell>
        </row>
        <row r="403">
          <cell r="A403" t="str">
            <v>27</v>
          </cell>
          <cell r="B403">
            <v>8.5</v>
          </cell>
          <cell r="C403">
            <v>14</v>
          </cell>
          <cell r="D403" t="str">
            <v>BRIDGESTONE</v>
          </cell>
          <cell r="E403" t="str">
            <v>DUELER 697 A/T</v>
          </cell>
          <cell r="N403">
            <v>5124</v>
          </cell>
        </row>
        <row r="404">
          <cell r="A404" t="str">
            <v>175</v>
          </cell>
          <cell r="B404">
            <v>65</v>
          </cell>
          <cell r="C404">
            <v>14</v>
          </cell>
          <cell r="D404" t="str">
            <v>BRIDGESTONE</v>
          </cell>
          <cell r="E404" t="str">
            <v>EP150</v>
          </cell>
          <cell r="N404">
            <v>2797</v>
          </cell>
        </row>
        <row r="405">
          <cell r="A405">
            <v>185</v>
          </cell>
          <cell r="B405">
            <v>65</v>
          </cell>
          <cell r="C405">
            <v>14</v>
          </cell>
          <cell r="D405" t="str">
            <v>BRIDGESTONE</v>
          </cell>
          <cell r="E405" t="str">
            <v>ECOPIA EP200</v>
          </cell>
          <cell r="N405">
            <v>2900</v>
          </cell>
        </row>
        <row r="406">
          <cell r="A406" t="str">
            <v>185</v>
          </cell>
          <cell r="C406" t="str">
            <v>14C</v>
          </cell>
          <cell r="D406" t="str">
            <v>BRIDGESTONE</v>
          </cell>
          <cell r="E406" t="str">
            <v>DURAVIS R624</v>
          </cell>
          <cell r="N406">
            <v>4061</v>
          </cell>
        </row>
        <row r="407">
          <cell r="A407" t="str">
            <v>195</v>
          </cell>
          <cell r="C407" t="str">
            <v>14C</v>
          </cell>
          <cell r="D407" t="str">
            <v>BRIDGESTONE</v>
          </cell>
          <cell r="E407" t="str">
            <v>DURAVIS R624</v>
          </cell>
          <cell r="N407">
            <v>4120</v>
          </cell>
        </row>
        <row r="408">
          <cell r="A408" t="str">
            <v>195</v>
          </cell>
          <cell r="C408" t="str">
            <v>15C</v>
          </cell>
          <cell r="D408" t="str">
            <v>BRIDGESTONE</v>
          </cell>
          <cell r="E408" t="str">
            <v>DURAVIS R624</v>
          </cell>
          <cell r="N408">
            <v>5700</v>
          </cell>
        </row>
        <row r="409">
          <cell r="A409" t="str">
            <v>31</v>
          </cell>
          <cell r="B409">
            <v>10.5</v>
          </cell>
          <cell r="C409">
            <v>15</v>
          </cell>
          <cell r="D409" t="str">
            <v>BRIDGESTONE</v>
          </cell>
          <cell r="E409" t="str">
            <v>DUELER 697 A/T</v>
          </cell>
          <cell r="N409">
            <v>8669.52</v>
          </cell>
        </row>
        <row r="410">
          <cell r="A410" t="str">
            <v>195</v>
          </cell>
          <cell r="B410">
            <v>50</v>
          </cell>
          <cell r="C410">
            <v>15</v>
          </cell>
          <cell r="D410" t="str">
            <v>BRIDGESTONE</v>
          </cell>
          <cell r="E410" t="str">
            <v>MY-02</v>
          </cell>
          <cell r="N410">
            <v>2830.04</v>
          </cell>
        </row>
        <row r="411">
          <cell r="A411" t="str">
            <v>185</v>
          </cell>
          <cell r="B411">
            <v>55</v>
          </cell>
          <cell r="C411">
            <v>15</v>
          </cell>
          <cell r="D411" t="str">
            <v>BRIDGESTONE</v>
          </cell>
          <cell r="E411" t="str">
            <v>ECOPIA EP300</v>
          </cell>
          <cell r="N411">
            <v>3928.4</v>
          </cell>
        </row>
        <row r="412">
          <cell r="A412" t="str">
            <v>185</v>
          </cell>
          <cell r="B412">
            <v>60</v>
          </cell>
          <cell r="C412">
            <v>15</v>
          </cell>
          <cell r="D412" t="str">
            <v>BRIDGESTONE</v>
          </cell>
          <cell r="E412" t="str">
            <v>ECOPIA EP300</v>
          </cell>
          <cell r="N412">
            <v>3427.36</v>
          </cell>
        </row>
        <row r="413">
          <cell r="A413" t="str">
            <v>175</v>
          </cell>
          <cell r="B413">
            <v>65</v>
          </cell>
          <cell r="C413">
            <v>15</v>
          </cell>
          <cell r="D413" t="str">
            <v>BRIDGESTONE</v>
          </cell>
          <cell r="E413" t="str">
            <v>TURANZA ER370</v>
          </cell>
          <cell r="N413">
            <v>3661.1</v>
          </cell>
        </row>
        <row r="414">
          <cell r="A414" t="str">
            <v>175</v>
          </cell>
          <cell r="B414">
            <v>65</v>
          </cell>
          <cell r="C414">
            <v>15</v>
          </cell>
          <cell r="D414" t="str">
            <v>BRIDGESTONE</v>
          </cell>
          <cell r="E414" t="str">
            <v>ECOPIA EP300</v>
          </cell>
          <cell r="N414">
            <v>3661.1</v>
          </cell>
        </row>
        <row r="415">
          <cell r="A415" t="str">
            <v>185</v>
          </cell>
          <cell r="B415">
            <v>65</v>
          </cell>
          <cell r="C415">
            <v>15</v>
          </cell>
          <cell r="D415" t="str">
            <v>BRIDGESTONE</v>
          </cell>
          <cell r="E415" t="str">
            <v>ECOPIA EP300</v>
          </cell>
          <cell r="N415">
            <v>3154.56</v>
          </cell>
        </row>
        <row r="416">
          <cell r="A416" t="str">
            <v>195</v>
          </cell>
          <cell r="B416">
            <v>65</v>
          </cell>
          <cell r="C416">
            <v>15</v>
          </cell>
          <cell r="D416" t="str">
            <v>BRIDGESTONE</v>
          </cell>
          <cell r="E416" t="str">
            <v>ECOPIA EP300</v>
          </cell>
          <cell r="N416">
            <v>3782.62</v>
          </cell>
        </row>
        <row r="417">
          <cell r="A417" t="str">
            <v>205</v>
          </cell>
          <cell r="B417">
            <v>70</v>
          </cell>
          <cell r="C417" t="str">
            <v>15C</v>
          </cell>
          <cell r="D417" t="str">
            <v>BRIDGESTONE</v>
          </cell>
          <cell r="E417" t="str">
            <v>R623</v>
          </cell>
          <cell r="N417">
            <v>6200</v>
          </cell>
        </row>
        <row r="418">
          <cell r="A418" t="str">
            <v>215</v>
          </cell>
          <cell r="B418">
            <v>70</v>
          </cell>
          <cell r="C418">
            <v>15</v>
          </cell>
          <cell r="D418" t="str">
            <v>BRIDGESTONE</v>
          </cell>
          <cell r="N418">
            <v>7500</v>
          </cell>
        </row>
        <row r="419">
          <cell r="A419" t="str">
            <v>225</v>
          </cell>
          <cell r="B419">
            <v>70</v>
          </cell>
          <cell r="C419" t="str">
            <v>15C</v>
          </cell>
          <cell r="D419" t="str">
            <v>BRIDGESTONE</v>
          </cell>
          <cell r="E419" t="str">
            <v>D697 RBT A/T</v>
          </cell>
          <cell r="N419">
            <v>6902.25</v>
          </cell>
        </row>
        <row r="420">
          <cell r="A420" t="str">
            <v>235</v>
          </cell>
          <cell r="B420">
            <v>70</v>
          </cell>
          <cell r="C420">
            <v>15</v>
          </cell>
          <cell r="D420" t="str">
            <v>BRIDGESTONE</v>
          </cell>
          <cell r="E420" t="str">
            <v>ECOPIA H/L 001</v>
          </cell>
          <cell r="N420">
            <v>5900</v>
          </cell>
        </row>
        <row r="421">
          <cell r="A421" t="str">
            <v>235</v>
          </cell>
          <cell r="B421">
            <v>70</v>
          </cell>
          <cell r="C421">
            <v>15</v>
          </cell>
          <cell r="D421" t="str">
            <v>BRIDGESTONE</v>
          </cell>
          <cell r="E421" t="str">
            <v>DUELER A/T 697</v>
          </cell>
          <cell r="N421">
            <v>7820.12</v>
          </cell>
        </row>
        <row r="422">
          <cell r="A422" t="str">
            <v>265</v>
          </cell>
          <cell r="B422">
            <v>70</v>
          </cell>
          <cell r="C422">
            <v>15</v>
          </cell>
          <cell r="D422" t="str">
            <v>BRIDGESTONE</v>
          </cell>
          <cell r="E422" t="str">
            <v>DUELER A/T 697 (OWT)</v>
          </cell>
          <cell r="N422">
            <v>7793.17</v>
          </cell>
        </row>
        <row r="423">
          <cell r="A423" t="str">
            <v>265</v>
          </cell>
          <cell r="B423">
            <v>70</v>
          </cell>
          <cell r="C423">
            <v>15</v>
          </cell>
          <cell r="D423" t="str">
            <v>BRIDGESTONE</v>
          </cell>
          <cell r="E423" t="str">
            <v>DUELER 689 H/T</v>
          </cell>
          <cell r="N423">
            <v>8000</v>
          </cell>
        </row>
        <row r="424">
          <cell r="A424" t="str">
            <v>235</v>
          </cell>
          <cell r="B424">
            <v>75</v>
          </cell>
          <cell r="C424">
            <v>15</v>
          </cell>
          <cell r="D424" t="str">
            <v>BRIDGESTONE</v>
          </cell>
          <cell r="E424" t="str">
            <v>DUELER A/T 697</v>
          </cell>
          <cell r="N424">
            <v>5600</v>
          </cell>
        </row>
        <row r="425">
          <cell r="A425" t="str">
            <v>235</v>
          </cell>
          <cell r="B425">
            <v>75</v>
          </cell>
          <cell r="C425">
            <v>15</v>
          </cell>
          <cell r="D425" t="str">
            <v>BRIDGESTONE</v>
          </cell>
          <cell r="E425" t="str">
            <v>AT002</v>
          </cell>
          <cell r="N425">
            <v>8700</v>
          </cell>
        </row>
        <row r="426">
          <cell r="A426" t="str">
            <v>205</v>
          </cell>
          <cell r="C426">
            <v>16</v>
          </cell>
          <cell r="D426" t="str">
            <v>BRIDGESTONE</v>
          </cell>
          <cell r="E426" t="str">
            <v>DUELER 18PR 110S H/T 840</v>
          </cell>
          <cell r="N426">
            <v>6096.84</v>
          </cell>
        </row>
        <row r="427">
          <cell r="A427" t="str">
            <v>195</v>
          </cell>
          <cell r="B427">
            <v>50</v>
          </cell>
          <cell r="C427">
            <v>16</v>
          </cell>
          <cell r="D427" t="str">
            <v>BRIDGESTONE</v>
          </cell>
          <cell r="E427" t="str">
            <v>ER33</v>
          </cell>
          <cell r="N427">
            <v>3719.4</v>
          </cell>
        </row>
        <row r="428">
          <cell r="A428" t="str">
            <v>205</v>
          </cell>
          <cell r="B428">
            <v>50</v>
          </cell>
          <cell r="C428">
            <v>16</v>
          </cell>
          <cell r="D428" t="str">
            <v>BRIDGESTONE</v>
          </cell>
          <cell r="E428" t="str">
            <v>POTENZA RE004</v>
          </cell>
          <cell r="N428">
            <v>6039.11</v>
          </cell>
        </row>
        <row r="429">
          <cell r="A429" t="str">
            <v>195</v>
          </cell>
          <cell r="B429">
            <v>60</v>
          </cell>
          <cell r="C429">
            <v>16</v>
          </cell>
          <cell r="D429" t="str">
            <v>BRIDGESTONE</v>
          </cell>
          <cell r="E429" t="str">
            <v>EP150</v>
          </cell>
          <cell r="N429">
            <v>5500</v>
          </cell>
        </row>
        <row r="430">
          <cell r="A430" t="str">
            <v>185</v>
          </cell>
          <cell r="B430">
            <v>55</v>
          </cell>
          <cell r="C430">
            <v>16</v>
          </cell>
          <cell r="D430" t="str">
            <v>BRIDGESTONE</v>
          </cell>
          <cell r="E430" t="str">
            <v>ECOPIA EP300</v>
          </cell>
          <cell r="N430">
            <v>4220.34</v>
          </cell>
        </row>
        <row r="431">
          <cell r="A431" t="str">
            <v>185</v>
          </cell>
          <cell r="B431">
            <v>55</v>
          </cell>
          <cell r="C431">
            <v>16</v>
          </cell>
          <cell r="D431" t="str">
            <v>BRIDGESTONE</v>
          </cell>
          <cell r="E431" t="str">
            <v>TURANZA ER370</v>
          </cell>
          <cell r="N431">
            <v>4692.68</v>
          </cell>
        </row>
        <row r="432">
          <cell r="A432" t="str">
            <v>205</v>
          </cell>
          <cell r="B432">
            <v>55</v>
          </cell>
          <cell r="C432">
            <v>16</v>
          </cell>
          <cell r="D432" t="str">
            <v>BRIDGESTONE</v>
          </cell>
          <cell r="E432" t="str">
            <v>ECOPIA EP300</v>
          </cell>
          <cell r="N432">
            <v>4444.78</v>
          </cell>
        </row>
        <row r="433">
          <cell r="A433" t="str">
            <v>205</v>
          </cell>
          <cell r="B433">
            <v>60</v>
          </cell>
          <cell r="C433">
            <v>16</v>
          </cell>
          <cell r="D433" t="str">
            <v>BRIDGESTONE</v>
          </cell>
          <cell r="E433" t="str">
            <v>ECOPIA EP300</v>
          </cell>
          <cell r="N433">
            <v>4285.4399999999996</v>
          </cell>
        </row>
        <row r="434">
          <cell r="A434" t="str">
            <v>205</v>
          </cell>
          <cell r="B434">
            <v>60</v>
          </cell>
          <cell r="C434">
            <v>16</v>
          </cell>
          <cell r="D434" t="str">
            <v>BRIDGESTONE</v>
          </cell>
          <cell r="E434" t="str">
            <v>POTENZA RE004</v>
          </cell>
          <cell r="N434">
            <v>5800</v>
          </cell>
        </row>
        <row r="435">
          <cell r="A435" t="str">
            <v>205</v>
          </cell>
          <cell r="B435">
            <v>65</v>
          </cell>
          <cell r="C435">
            <v>16</v>
          </cell>
          <cell r="D435" t="str">
            <v>BRIDGESTONE</v>
          </cell>
          <cell r="E435" t="str">
            <v>ECOPIA EP300</v>
          </cell>
          <cell r="N435">
            <v>4900</v>
          </cell>
        </row>
        <row r="436">
          <cell r="A436" t="str">
            <v>215</v>
          </cell>
          <cell r="B436">
            <v>65</v>
          </cell>
          <cell r="C436">
            <v>16</v>
          </cell>
          <cell r="D436" t="str">
            <v>BRIDGESTONE</v>
          </cell>
          <cell r="E436" t="str">
            <v>ECOPIA</v>
          </cell>
          <cell r="N436">
            <v>5200</v>
          </cell>
        </row>
        <row r="437">
          <cell r="A437" t="str">
            <v>235</v>
          </cell>
          <cell r="B437">
            <v>65</v>
          </cell>
          <cell r="C437" t="str">
            <v>16C</v>
          </cell>
          <cell r="D437" t="str">
            <v>BRIDGESTONE</v>
          </cell>
          <cell r="E437" t="str">
            <v>R660</v>
          </cell>
          <cell r="N437">
            <v>10071.36</v>
          </cell>
        </row>
        <row r="438">
          <cell r="A438" t="str">
            <v>215</v>
          </cell>
          <cell r="B438">
            <v>70</v>
          </cell>
          <cell r="C438" t="str">
            <v>16C</v>
          </cell>
          <cell r="D438" t="str">
            <v>BRIDGESTONE</v>
          </cell>
          <cell r="E438" t="str">
            <v>R623</v>
          </cell>
          <cell r="N438">
            <v>5461</v>
          </cell>
        </row>
        <row r="439">
          <cell r="A439" t="str">
            <v>215</v>
          </cell>
          <cell r="B439">
            <v>70</v>
          </cell>
          <cell r="C439">
            <v>16</v>
          </cell>
          <cell r="D439" t="str">
            <v>BRIDGESTONE</v>
          </cell>
          <cell r="E439" t="str">
            <v>R611</v>
          </cell>
          <cell r="N439">
            <v>9262.4</v>
          </cell>
        </row>
        <row r="440">
          <cell r="A440" t="str">
            <v>245</v>
          </cell>
          <cell r="B440">
            <v>70</v>
          </cell>
          <cell r="C440">
            <v>16</v>
          </cell>
          <cell r="D440" t="str">
            <v>BRIDGESTONE</v>
          </cell>
          <cell r="E440" t="str">
            <v>DUELER 689 H/T</v>
          </cell>
          <cell r="N440">
            <v>5831</v>
          </cell>
        </row>
        <row r="441">
          <cell r="A441" t="str">
            <v>245</v>
          </cell>
          <cell r="B441">
            <v>70</v>
          </cell>
          <cell r="C441">
            <v>16</v>
          </cell>
          <cell r="D441" t="str">
            <v>BRIDGESTONE</v>
          </cell>
          <cell r="E441" t="str">
            <v>DUELER 697 A/T</v>
          </cell>
          <cell r="N441">
            <v>8000</v>
          </cell>
        </row>
        <row r="442">
          <cell r="A442" t="str">
            <v>265</v>
          </cell>
          <cell r="B442">
            <v>70</v>
          </cell>
          <cell r="C442">
            <v>16</v>
          </cell>
          <cell r="D442" t="str">
            <v>BRIDGESTONE</v>
          </cell>
          <cell r="E442" t="str">
            <v>D840 H/T</v>
          </cell>
          <cell r="N442">
            <v>9281.8799999999992</v>
          </cell>
        </row>
        <row r="443">
          <cell r="A443" t="str">
            <v>265</v>
          </cell>
          <cell r="B443">
            <v>70</v>
          </cell>
          <cell r="C443">
            <v>16</v>
          </cell>
          <cell r="D443" t="str">
            <v>BRIDGESTONE</v>
          </cell>
          <cell r="E443" t="str">
            <v>697 A/T</v>
          </cell>
          <cell r="N443">
            <v>7931</v>
          </cell>
        </row>
        <row r="444">
          <cell r="A444" t="str">
            <v>265</v>
          </cell>
          <cell r="B444">
            <v>70</v>
          </cell>
          <cell r="C444">
            <v>16</v>
          </cell>
          <cell r="D444" t="str">
            <v>BRIDGESTONE</v>
          </cell>
          <cell r="E444" t="str">
            <v>ECOPIA H/L 001</v>
          </cell>
          <cell r="N444">
            <v>8837.2800000000007</v>
          </cell>
        </row>
        <row r="445">
          <cell r="A445" t="str">
            <v>275</v>
          </cell>
          <cell r="B445">
            <v>70</v>
          </cell>
          <cell r="C445">
            <v>16</v>
          </cell>
          <cell r="D445" t="str">
            <v>BRIDGESTONE</v>
          </cell>
          <cell r="E445" t="str">
            <v>DUELER 697 A/T</v>
          </cell>
          <cell r="N445">
            <v>7249</v>
          </cell>
        </row>
        <row r="446">
          <cell r="A446" t="str">
            <v>195</v>
          </cell>
          <cell r="B446">
            <v>75</v>
          </cell>
          <cell r="C446">
            <v>16</v>
          </cell>
          <cell r="D446" t="str">
            <v>BRIDGESTONE</v>
          </cell>
          <cell r="E446" t="str">
            <v>R613</v>
          </cell>
          <cell r="N446">
            <v>5495</v>
          </cell>
        </row>
        <row r="447">
          <cell r="A447" t="str">
            <v>245</v>
          </cell>
          <cell r="B447">
            <v>75</v>
          </cell>
          <cell r="C447">
            <v>16</v>
          </cell>
          <cell r="D447" t="str">
            <v xml:space="preserve">BRIDGESTONE </v>
          </cell>
          <cell r="E447" t="str">
            <v>RIB265</v>
          </cell>
          <cell r="N447">
            <v>7673</v>
          </cell>
        </row>
        <row r="448">
          <cell r="A448" t="str">
            <v>205</v>
          </cell>
          <cell r="B448">
            <v>55</v>
          </cell>
          <cell r="C448">
            <v>17</v>
          </cell>
          <cell r="D448" t="str">
            <v xml:space="preserve">BRIDGESTONE </v>
          </cell>
          <cell r="E448" t="str">
            <v>ECOPIA EP150</v>
          </cell>
          <cell r="N448">
            <v>6600</v>
          </cell>
        </row>
        <row r="449">
          <cell r="A449" t="str">
            <v>215</v>
          </cell>
          <cell r="B449">
            <v>55</v>
          </cell>
          <cell r="C449">
            <v>17</v>
          </cell>
          <cell r="D449" t="str">
            <v xml:space="preserve">BRIDGESTONE </v>
          </cell>
          <cell r="E449" t="str">
            <v>TURANZA ER33</v>
          </cell>
          <cell r="N449">
            <v>4253.82</v>
          </cell>
        </row>
        <row r="450">
          <cell r="A450" t="str">
            <v>235</v>
          </cell>
          <cell r="B450">
            <v>60</v>
          </cell>
          <cell r="C450">
            <v>17</v>
          </cell>
          <cell r="D450" t="str">
            <v xml:space="preserve">BRIDGESTONE </v>
          </cell>
          <cell r="E450" t="str">
            <v>DURAVIS R660</v>
          </cell>
          <cell r="N450">
            <v>13117.68</v>
          </cell>
        </row>
        <row r="451">
          <cell r="A451" t="str">
            <v>255</v>
          </cell>
          <cell r="B451">
            <v>65</v>
          </cell>
          <cell r="C451">
            <v>17</v>
          </cell>
          <cell r="D451" t="str">
            <v xml:space="preserve">BRIDGESTONE </v>
          </cell>
          <cell r="E451">
            <v>840</v>
          </cell>
          <cell r="N451">
            <v>11481</v>
          </cell>
        </row>
        <row r="452">
          <cell r="A452" t="str">
            <v>265</v>
          </cell>
          <cell r="B452">
            <v>65</v>
          </cell>
          <cell r="C452">
            <v>17</v>
          </cell>
          <cell r="D452" t="str">
            <v>BRIDGESTONE</v>
          </cell>
          <cell r="E452" t="str">
            <v>D697 A/T</v>
          </cell>
          <cell r="N452">
            <v>8348</v>
          </cell>
        </row>
        <row r="453">
          <cell r="A453" t="str">
            <v>265</v>
          </cell>
          <cell r="B453">
            <v>65</v>
          </cell>
          <cell r="C453">
            <v>17</v>
          </cell>
          <cell r="D453" t="str">
            <v>BRIDGESTONE</v>
          </cell>
          <cell r="E453" t="str">
            <v>DUELER 693 A/T</v>
          </cell>
          <cell r="N453">
            <v>9500</v>
          </cell>
        </row>
        <row r="454">
          <cell r="A454" t="str">
            <v>265</v>
          </cell>
          <cell r="B454">
            <v>65</v>
          </cell>
          <cell r="C454">
            <v>17</v>
          </cell>
          <cell r="D454" t="str">
            <v>BRIDGESTONE</v>
          </cell>
          <cell r="E454" t="str">
            <v>DUELER 684 H/T</v>
          </cell>
          <cell r="N454">
            <v>9500</v>
          </cell>
        </row>
        <row r="455">
          <cell r="A455" t="str">
            <v>265</v>
          </cell>
          <cell r="B455">
            <v>70</v>
          </cell>
          <cell r="C455">
            <v>17</v>
          </cell>
          <cell r="D455" t="str">
            <v>BRIDGESTONE</v>
          </cell>
          <cell r="E455" t="str">
            <v xml:space="preserve">DUELER A/T 697 </v>
          </cell>
          <cell r="N455">
            <v>7749</v>
          </cell>
        </row>
        <row r="456">
          <cell r="A456" t="str">
            <v>225</v>
          </cell>
          <cell r="B456">
            <v>55</v>
          </cell>
          <cell r="C456">
            <v>18</v>
          </cell>
          <cell r="D456" t="str">
            <v>BRIDGESTONE</v>
          </cell>
          <cell r="E456" t="str">
            <v>HL400</v>
          </cell>
          <cell r="N456">
            <v>14219.2</v>
          </cell>
        </row>
        <row r="457">
          <cell r="A457" t="str">
            <v>225</v>
          </cell>
          <cell r="B457">
            <v>55</v>
          </cell>
          <cell r="C457">
            <v>18</v>
          </cell>
          <cell r="D457" t="str">
            <v>BRIDGESTONE</v>
          </cell>
          <cell r="E457" t="str">
            <v>HP SPORT</v>
          </cell>
          <cell r="N457">
            <v>11734</v>
          </cell>
        </row>
        <row r="458">
          <cell r="A458" t="str">
            <v>255</v>
          </cell>
          <cell r="B458">
            <v>60</v>
          </cell>
          <cell r="C458">
            <v>18</v>
          </cell>
          <cell r="D458" t="str">
            <v>BRIDGESTONE</v>
          </cell>
          <cell r="E458" t="str">
            <v>DUELER 684 H/T</v>
          </cell>
          <cell r="N458">
            <v>8161</v>
          </cell>
        </row>
        <row r="459">
          <cell r="A459" t="str">
            <v>265</v>
          </cell>
          <cell r="B459">
            <v>60</v>
          </cell>
          <cell r="C459">
            <v>18</v>
          </cell>
          <cell r="D459" t="str">
            <v>BRIDGESTONE</v>
          </cell>
          <cell r="E459" t="str">
            <v>684 HT</v>
          </cell>
          <cell r="N459">
            <v>9605</v>
          </cell>
        </row>
        <row r="460">
          <cell r="A460" t="str">
            <v>265</v>
          </cell>
          <cell r="B460">
            <v>60</v>
          </cell>
          <cell r="C460">
            <v>18</v>
          </cell>
          <cell r="D460" t="str">
            <v>BRIDGESTONE</v>
          </cell>
          <cell r="E460" t="str">
            <v>DUELLER A/T 697</v>
          </cell>
          <cell r="N460">
            <v>9527</v>
          </cell>
        </row>
        <row r="461">
          <cell r="A461" t="str">
            <v>285</v>
          </cell>
          <cell r="B461">
            <v>60</v>
          </cell>
          <cell r="C461">
            <v>18</v>
          </cell>
          <cell r="D461" t="str">
            <v>BRIDGESTONE</v>
          </cell>
          <cell r="E461" t="str">
            <v>DUELER A/T 693</v>
          </cell>
          <cell r="N461">
            <v>20844</v>
          </cell>
        </row>
        <row r="462">
          <cell r="A462" t="str">
            <v>285</v>
          </cell>
          <cell r="B462">
            <v>60</v>
          </cell>
          <cell r="C462">
            <v>18</v>
          </cell>
          <cell r="D462" t="str">
            <v>BRIDGESTONE</v>
          </cell>
          <cell r="E462" t="str">
            <v>AT002</v>
          </cell>
          <cell r="N462">
            <v>13573</v>
          </cell>
        </row>
        <row r="463">
          <cell r="A463" t="str">
            <v>265</v>
          </cell>
          <cell r="B463">
            <v>50</v>
          </cell>
          <cell r="C463">
            <v>20</v>
          </cell>
          <cell r="D463" t="str">
            <v>BRIDGESTONE</v>
          </cell>
          <cell r="E463" t="str">
            <v>DUELER HT 684</v>
          </cell>
          <cell r="N463">
            <v>17000</v>
          </cell>
        </row>
        <row r="464">
          <cell r="A464" t="str">
            <v>265</v>
          </cell>
          <cell r="B464">
            <v>50</v>
          </cell>
          <cell r="C464">
            <v>20</v>
          </cell>
          <cell r="D464" t="str">
            <v>BRIDGESTONE</v>
          </cell>
          <cell r="E464" t="str">
            <v>ALENZA 001</v>
          </cell>
          <cell r="N464">
            <v>15438</v>
          </cell>
        </row>
        <row r="465">
          <cell r="A465" t="str">
            <v>165</v>
          </cell>
          <cell r="B465">
            <v>65</v>
          </cell>
          <cell r="C465">
            <v>13</v>
          </cell>
          <cell r="D465" t="str">
            <v>CEAT</v>
          </cell>
          <cell r="N465">
            <v>2000</v>
          </cell>
        </row>
        <row r="466">
          <cell r="A466" t="str">
            <v>165</v>
          </cell>
          <cell r="B466">
            <v>65</v>
          </cell>
          <cell r="C466">
            <v>13</v>
          </cell>
          <cell r="D466" t="str">
            <v>COMFORSER</v>
          </cell>
          <cell r="E466" t="str">
            <v>CF610</v>
          </cell>
          <cell r="N466">
            <v>1460</v>
          </cell>
        </row>
        <row r="467">
          <cell r="A467" t="str">
            <v>175</v>
          </cell>
          <cell r="B467">
            <v>70</v>
          </cell>
          <cell r="C467">
            <v>13</v>
          </cell>
          <cell r="D467" t="str">
            <v>COMFORSER</v>
          </cell>
          <cell r="E467" t="str">
            <v>CF610</v>
          </cell>
          <cell r="N467">
            <v>1457</v>
          </cell>
        </row>
        <row r="468">
          <cell r="A468" t="str">
            <v>165</v>
          </cell>
          <cell r="B468">
            <v>80</v>
          </cell>
          <cell r="C468">
            <v>13</v>
          </cell>
          <cell r="D468" t="str">
            <v>COMFORSER</v>
          </cell>
          <cell r="E468" t="str">
            <v>CF3000 LT 8PR LEFT</v>
          </cell>
          <cell r="N468">
            <v>2621</v>
          </cell>
        </row>
        <row r="469">
          <cell r="A469" t="str">
            <v>165</v>
          </cell>
          <cell r="B469">
            <v>80</v>
          </cell>
          <cell r="C469">
            <v>13</v>
          </cell>
          <cell r="D469" t="str">
            <v>COMFORSER</v>
          </cell>
          <cell r="E469" t="str">
            <v>CF3000 LT 8PR RIGHT</v>
          </cell>
          <cell r="N469">
            <v>2621</v>
          </cell>
        </row>
        <row r="470">
          <cell r="A470" t="str">
            <v>175</v>
          </cell>
          <cell r="C470" t="str">
            <v>13C</v>
          </cell>
          <cell r="D470" t="str">
            <v>COMFORSER</v>
          </cell>
          <cell r="E470" t="str">
            <v>CF350 8PR</v>
          </cell>
          <cell r="N470">
            <v>1957</v>
          </cell>
        </row>
        <row r="471">
          <cell r="A471" t="str">
            <v>175</v>
          </cell>
          <cell r="B471">
            <v>70</v>
          </cell>
          <cell r="C471">
            <v>14</v>
          </cell>
          <cell r="D471" t="str">
            <v>COMFORSER</v>
          </cell>
          <cell r="E471" t="str">
            <v>CF610</v>
          </cell>
          <cell r="N471">
            <v>1561</v>
          </cell>
        </row>
        <row r="472">
          <cell r="A472" t="str">
            <v>185</v>
          </cell>
          <cell r="C472" t="str">
            <v>14C</v>
          </cell>
          <cell r="D472" t="str">
            <v>COMFORSER</v>
          </cell>
          <cell r="E472" t="str">
            <v>CF350</v>
          </cell>
          <cell r="N472">
            <v>2249</v>
          </cell>
        </row>
        <row r="473">
          <cell r="A473" t="str">
            <v>185</v>
          </cell>
          <cell r="B473">
            <v>70</v>
          </cell>
          <cell r="C473">
            <v>14</v>
          </cell>
          <cell r="D473" t="str">
            <v>COMFORSER</v>
          </cell>
          <cell r="E473" t="str">
            <v>CF510</v>
          </cell>
          <cell r="N473">
            <v>1734</v>
          </cell>
        </row>
        <row r="474">
          <cell r="A474">
            <v>185</v>
          </cell>
          <cell r="B474">
            <v>65</v>
          </cell>
          <cell r="C474">
            <v>14</v>
          </cell>
          <cell r="D474" t="str">
            <v>COMFORSER</v>
          </cell>
          <cell r="E474" t="str">
            <v>CF510</v>
          </cell>
          <cell r="N474">
            <v>1616</v>
          </cell>
        </row>
        <row r="475">
          <cell r="A475">
            <v>31</v>
          </cell>
          <cell r="B475">
            <v>10.5</v>
          </cell>
          <cell r="C475">
            <v>15</v>
          </cell>
          <cell r="D475" t="str">
            <v>COMFORSER</v>
          </cell>
          <cell r="E475" t="str">
            <v>CF1000 A/T 6PR</v>
          </cell>
          <cell r="N475">
            <v>4784</v>
          </cell>
        </row>
        <row r="476">
          <cell r="A476">
            <v>31</v>
          </cell>
          <cell r="B476">
            <v>10.5</v>
          </cell>
          <cell r="C476">
            <v>15</v>
          </cell>
          <cell r="D476" t="str">
            <v>COMFORSER</v>
          </cell>
          <cell r="E476" t="str">
            <v>CF3000 6PR M/T LEFT</v>
          </cell>
          <cell r="N476">
            <v>5085</v>
          </cell>
        </row>
        <row r="477">
          <cell r="A477">
            <v>31</v>
          </cell>
          <cell r="B477">
            <v>10.5</v>
          </cell>
          <cell r="C477">
            <v>15</v>
          </cell>
          <cell r="D477" t="str">
            <v>COMFORSER</v>
          </cell>
          <cell r="E477" t="str">
            <v>CF3000 6PR M/T RIGHT</v>
          </cell>
          <cell r="N477">
            <v>5085</v>
          </cell>
        </row>
        <row r="478">
          <cell r="A478">
            <v>32</v>
          </cell>
          <cell r="B478">
            <v>11.5</v>
          </cell>
          <cell r="C478">
            <v>15</v>
          </cell>
          <cell r="D478" t="str">
            <v>COMFORSER</v>
          </cell>
          <cell r="E478" t="str">
            <v>CF3000 LEFT</v>
          </cell>
          <cell r="N478">
            <v>6534</v>
          </cell>
        </row>
        <row r="479">
          <cell r="A479">
            <v>32</v>
          </cell>
          <cell r="B479">
            <v>11.5</v>
          </cell>
          <cell r="C479">
            <v>15</v>
          </cell>
          <cell r="D479" t="str">
            <v>COMFORSER</v>
          </cell>
          <cell r="E479" t="str">
            <v>CF3000 RIGHT</v>
          </cell>
          <cell r="N479">
            <v>6534</v>
          </cell>
        </row>
        <row r="480">
          <cell r="A480">
            <v>35</v>
          </cell>
          <cell r="B480">
            <v>12.5</v>
          </cell>
          <cell r="C480">
            <v>15</v>
          </cell>
          <cell r="D480" t="str">
            <v>COMFORSER</v>
          </cell>
          <cell r="E480" t="str">
            <v>CF3000 M/T</v>
          </cell>
          <cell r="N480">
            <v>8712</v>
          </cell>
        </row>
        <row r="481">
          <cell r="A481">
            <v>185</v>
          </cell>
          <cell r="B481">
            <v>60</v>
          </cell>
          <cell r="C481">
            <v>15</v>
          </cell>
          <cell r="D481" t="str">
            <v>COMFORSER</v>
          </cell>
          <cell r="E481" t="str">
            <v>CF510 84H</v>
          </cell>
          <cell r="N481">
            <v>1774</v>
          </cell>
        </row>
        <row r="482">
          <cell r="A482">
            <v>195</v>
          </cell>
          <cell r="C482" t="str">
            <v>15C</v>
          </cell>
          <cell r="D482" t="str">
            <v>COMFORSER</v>
          </cell>
          <cell r="E482" t="str">
            <v>CF350</v>
          </cell>
          <cell r="N482">
            <v>2685</v>
          </cell>
        </row>
        <row r="483">
          <cell r="A483">
            <v>195</v>
          </cell>
          <cell r="B483">
            <v>50</v>
          </cell>
          <cell r="C483">
            <v>15</v>
          </cell>
          <cell r="D483" t="str">
            <v>COMFORSER</v>
          </cell>
          <cell r="E483" t="str">
            <v>CF510 82V</v>
          </cell>
          <cell r="N483">
            <v>1845</v>
          </cell>
        </row>
        <row r="484">
          <cell r="A484">
            <v>175</v>
          </cell>
          <cell r="B484">
            <v>55</v>
          </cell>
          <cell r="C484">
            <v>15</v>
          </cell>
          <cell r="D484" t="str">
            <v>COMFORSER</v>
          </cell>
          <cell r="E484" t="str">
            <v>SPORTS K4</v>
          </cell>
          <cell r="N484">
            <v>1774</v>
          </cell>
        </row>
        <row r="485">
          <cell r="A485">
            <v>185</v>
          </cell>
          <cell r="B485">
            <v>55</v>
          </cell>
          <cell r="C485">
            <v>15</v>
          </cell>
          <cell r="D485" t="str">
            <v>COMFORSER</v>
          </cell>
          <cell r="E485" t="str">
            <v>CF510</v>
          </cell>
          <cell r="N485">
            <v>1853</v>
          </cell>
        </row>
        <row r="486">
          <cell r="A486">
            <v>195</v>
          </cell>
          <cell r="B486">
            <v>55</v>
          </cell>
          <cell r="C486">
            <v>15</v>
          </cell>
          <cell r="D486" t="str">
            <v>COMFORSER</v>
          </cell>
          <cell r="E486" t="str">
            <v>CF510 85V</v>
          </cell>
          <cell r="N486">
            <v>1901</v>
          </cell>
        </row>
        <row r="487">
          <cell r="A487">
            <v>175</v>
          </cell>
          <cell r="B487">
            <v>65</v>
          </cell>
          <cell r="C487">
            <v>15</v>
          </cell>
          <cell r="D487" t="str">
            <v>COMFORSER</v>
          </cell>
          <cell r="E487" t="str">
            <v>CF610</v>
          </cell>
          <cell r="N487">
            <v>1703</v>
          </cell>
        </row>
        <row r="488">
          <cell r="A488">
            <v>185</v>
          </cell>
          <cell r="B488">
            <v>65</v>
          </cell>
          <cell r="C488">
            <v>15</v>
          </cell>
          <cell r="D488" t="str">
            <v>COMFORSER</v>
          </cell>
          <cell r="E488" t="str">
            <v>CF510 88H</v>
          </cell>
          <cell r="N488">
            <v>1822</v>
          </cell>
        </row>
        <row r="489">
          <cell r="A489">
            <v>195</v>
          </cell>
          <cell r="B489">
            <v>65</v>
          </cell>
          <cell r="C489">
            <v>15</v>
          </cell>
          <cell r="D489" t="str">
            <v>COMFORSER</v>
          </cell>
          <cell r="E489" t="str">
            <v>CF510</v>
          </cell>
          <cell r="N489">
            <v>1988</v>
          </cell>
        </row>
        <row r="490">
          <cell r="A490">
            <v>215</v>
          </cell>
          <cell r="B490">
            <v>70</v>
          </cell>
          <cell r="C490" t="str">
            <v>15C</v>
          </cell>
          <cell r="D490" t="str">
            <v>COMFORSER</v>
          </cell>
          <cell r="E490" t="str">
            <v>CF300 8PR</v>
          </cell>
          <cell r="N490">
            <v>3112</v>
          </cell>
        </row>
        <row r="491">
          <cell r="A491">
            <v>235</v>
          </cell>
          <cell r="B491">
            <v>75</v>
          </cell>
          <cell r="C491">
            <v>15</v>
          </cell>
          <cell r="D491" t="str">
            <v>COMFORSER</v>
          </cell>
          <cell r="E491" t="str">
            <v xml:space="preserve">CF1000 A/T </v>
          </cell>
          <cell r="N491">
            <v>3675</v>
          </cell>
        </row>
        <row r="492">
          <cell r="A492">
            <v>235</v>
          </cell>
          <cell r="B492">
            <v>75</v>
          </cell>
          <cell r="C492">
            <v>15</v>
          </cell>
          <cell r="D492" t="str">
            <v>COMFORSER</v>
          </cell>
          <cell r="E492" t="str">
            <v>CF1100 A/T-S</v>
          </cell>
          <cell r="N492">
            <v>3762</v>
          </cell>
        </row>
        <row r="493">
          <cell r="A493">
            <v>235</v>
          </cell>
          <cell r="B493">
            <v>75</v>
          </cell>
          <cell r="C493">
            <v>15</v>
          </cell>
          <cell r="D493" t="str">
            <v>COMFORSER</v>
          </cell>
          <cell r="E493" t="str">
            <v>CF3000 M/T</v>
          </cell>
          <cell r="N493">
            <v>5400</v>
          </cell>
        </row>
        <row r="494">
          <cell r="A494">
            <v>195</v>
          </cell>
          <cell r="B494">
            <v>60</v>
          </cell>
          <cell r="C494">
            <v>16</v>
          </cell>
          <cell r="D494" t="str">
            <v>COMFORSER</v>
          </cell>
          <cell r="E494" t="str">
            <v>CF510</v>
          </cell>
          <cell r="N494">
            <v>2289</v>
          </cell>
        </row>
        <row r="495">
          <cell r="A495">
            <v>205</v>
          </cell>
          <cell r="B495">
            <v>45</v>
          </cell>
          <cell r="C495">
            <v>16</v>
          </cell>
          <cell r="D495" t="str">
            <v>COMFORSER</v>
          </cell>
          <cell r="E495" t="str">
            <v>CF710 83V</v>
          </cell>
          <cell r="N495">
            <v>2187</v>
          </cell>
        </row>
        <row r="496">
          <cell r="A496">
            <v>215</v>
          </cell>
          <cell r="B496">
            <v>55</v>
          </cell>
          <cell r="C496">
            <v>16</v>
          </cell>
          <cell r="D496" t="str">
            <v>COMFORSER</v>
          </cell>
          <cell r="E496" t="str">
            <v>CF710</v>
          </cell>
          <cell r="N496">
            <v>2566</v>
          </cell>
        </row>
        <row r="497">
          <cell r="A497">
            <v>205</v>
          </cell>
          <cell r="B497">
            <v>60</v>
          </cell>
          <cell r="C497">
            <v>16</v>
          </cell>
          <cell r="D497" t="str">
            <v>COMFORSER</v>
          </cell>
          <cell r="E497" t="str">
            <v>CF510 92V</v>
          </cell>
          <cell r="N497">
            <v>2218</v>
          </cell>
        </row>
        <row r="498">
          <cell r="A498">
            <v>235</v>
          </cell>
          <cell r="B498">
            <v>60</v>
          </cell>
          <cell r="C498">
            <v>16</v>
          </cell>
          <cell r="D498" t="str">
            <v>COMFORSER</v>
          </cell>
          <cell r="E498" t="str">
            <v>CF510</v>
          </cell>
          <cell r="N498">
            <v>2732</v>
          </cell>
        </row>
        <row r="499">
          <cell r="A499">
            <v>205</v>
          </cell>
          <cell r="B499">
            <v>65</v>
          </cell>
          <cell r="C499">
            <v>16</v>
          </cell>
          <cell r="D499" t="str">
            <v>COMFORSER</v>
          </cell>
          <cell r="E499" t="str">
            <v>CF2000</v>
          </cell>
          <cell r="N499">
            <v>2828</v>
          </cell>
        </row>
        <row r="500">
          <cell r="A500">
            <v>215</v>
          </cell>
          <cell r="B500">
            <v>65</v>
          </cell>
          <cell r="C500">
            <v>16</v>
          </cell>
          <cell r="D500" t="str">
            <v>COMFORSER</v>
          </cell>
          <cell r="E500" t="str">
            <v>CF2000 H/T</v>
          </cell>
          <cell r="N500">
            <v>3191</v>
          </cell>
        </row>
        <row r="501">
          <cell r="A501">
            <v>235</v>
          </cell>
          <cell r="B501">
            <v>65</v>
          </cell>
          <cell r="C501" t="str">
            <v>16C</v>
          </cell>
          <cell r="D501" t="str">
            <v>COMFORSER</v>
          </cell>
          <cell r="E501" t="str">
            <v>CF300 8PR</v>
          </cell>
          <cell r="N501">
            <v>3168</v>
          </cell>
        </row>
        <row r="502">
          <cell r="A502">
            <v>245</v>
          </cell>
          <cell r="B502">
            <v>70</v>
          </cell>
          <cell r="C502">
            <v>16</v>
          </cell>
          <cell r="D502" t="str">
            <v>COMFORSER</v>
          </cell>
          <cell r="E502" t="str">
            <v xml:space="preserve">CF2000 H/T
</v>
          </cell>
          <cell r="N502">
            <v>3548</v>
          </cell>
        </row>
        <row r="503">
          <cell r="A503">
            <v>265</v>
          </cell>
          <cell r="B503">
            <v>70</v>
          </cell>
          <cell r="C503">
            <v>16</v>
          </cell>
          <cell r="D503" t="str">
            <v>COMFORSER</v>
          </cell>
          <cell r="E503" t="str">
            <v>CF1100 A/T-S</v>
          </cell>
          <cell r="N503">
            <v>5180</v>
          </cell>
        </row>
        <row r="504">
          <cell r="A504">
            <v>215</v>
          </cell>
          <cell r="B504">
            <v>40</v>
          </cell>
          <cell r="C504">
            <v>17</v>
          </cell>
          <cell r="D504" t="str">
            <v>COMFORSER</v>
          </cell>
          <cell r="E504" t="str">
            <v>CF700</v>
          </cell>
          <cell r="N504">
            <v>2543</v>
          </cell>
        </row>
        <row r="505">
          <cell r="A505">
            <v>205</v>
          </cell>
          <cell r="B505">
            <v>45</v>
          </cell>
          <cell r="C505">
            <v>17</v>
          </cell>
          <cell r="D505" t="str">
            <v>COMFORSER</v>
          </cell>
          <cell r="E505" t="str">
            <v>CF700 88W</v>
          </cell>
          <cell r="N505">
            <v>2331</v>
          </cell>
        </row>
        <row r="506">
          <cell r="A506">
            <v>215</v>
          </cell>
          <cell r="B506">
            <v>45</v>
          </cell>
          <cell r="C506">
            <v>17</v>
          </cell>
          <cell r="D506" t="str">
            <v>COMFORSER</v>
          </cell>
          <cell r="E506" t="str">
            <v>CF700</v>
          </cell>
          <cell r="N506">
            <v>2329</v>
          </cell>
        </row>
        <row r="507">
          <cell r="A507">
            <v>215</v>
          </cell>
          <cell r="B507">
            <v>50</v>
          </cell>
          <cell r="C507">
            <v>17</v>
          </cell>
          <cell r="D507" t="str">
            <v>COMFORSER</v>
          </cell>
          <cell r="E507" t="str">
            <v>CF710</v>
          </cell>
          <cell r="N507">
            <v>2583</v>
          </cell>
        </row>
        <row r="508">
          <cell r="A508">
            <v>215</v>
          </cell>
          <cell r="B508">
            <v>55</v>
          </cell>
          <cell r="C508">
            <v>17</v>
          </cell>
          <cell r="D508" t="str">
            <v>COMFORSER</v>
          </cell>
          <cell r="E508" t="str">
            <v>CF710</v>
          </cell>
          <cell r="N508">
            <v>2637</v>
          </cell>
        </row>
        <row r="509">
          <cell r="A509">
            <v>225</v>
          </cell>
          <cell r="B509">
            <v>60</v>
          </cell>
          <cell r="C509">
            <v>17</v>
          </cell>
          <cell r="D509" t="str">
            <v>COMFORSER</v>
          </cell>
          <cell r="E509" t="str">
            <v xml:space="preserve">CF2000 H/T
</v>
          </cell>
          <cell r="N509">
            <v>3414</v>
          </cell>
        </row>
        <row r="510">
          <cell r="A510">
            <v>235</v>
          </cell>
          <cell r="B510">
            <v>60</v>
          </cell>
          <cell r="C510">
            <v>17</v>
          </cell>
          <cell r="D510" t="str">
            <v>COMFORSER</v>
          </cell>
          <cell r="E510" t="str">
            <v xml:space="preserve">CF2000 H/T
</v>
          </cell>
          <cell r="N510">
            <v>3960</v>
          </cell>
        </row>
        <row r="511">
          <cell r="A511">
            <v>225</v>
          </cell>
          <cell r="B511">
            <v>65</v>
          </cell>
          <cell r="C511">
            <v>17</v>
          </cell>
          <cell r="D511" t="str">
            <v>COMFORSER</v>
          </cell>
          <cell r="E511" t="str">
            <v xml:space="preserve">CF2000 H/T
</v>
          </cell>
          <cell r="N511">
            <v>3303</v>
          </cell>
        </row>
        <row r="512">
          <cell r="A512">
            <v>235</v>
          </cell>
          <cell r="B512">
            <v>65</v>
          </cell>
          <cell r="C512">
            <v>17</v>
          </cell>
          <cell r="D512" t="str">
            <v>COMFORSER</v>
          </cell>
          <cell r="E512" t="str">
            <v>CF2000 H/T</v>
          </cell>
          <cell r="N512">
            <v>3818</v>
          </cell>
        </row>
        <row r="513">
          <cell r="A513">
            <v>265</v>
          </cell>
          <cell r="B513">
            <v>65</v>
          </cell>
          <cell r="C513">
            <v>17</v>
          </cell>
          <cell r="D513" t="str">
            <v>COMFORSER</v>
          </cell>
          <cell r="E513" t="str">
            <v>CF1100 A/T-S</v>
          </cell>
          <cell r="N513">
            <v>4498</v>
          </cell>
        </row>
        <row r="514">
          <cell r="A514">
            <v>265</v>
          </cell>
          <cell r="B514">
            <v>70</v>
          </cell>
          <cell r="C514">
            <v>17</v>
          </cell>
          <cell r="D514" t="str">
            <v>COMFORSER</v>
          </cell>
          <cell r="E514" t="str">
            <v>CF1000 A/T 10PR</v>
          </cell>
          <cell r="N514">
            <v>5330</v>
          </cell>
        </row>
        <row r="515">
          <cell r="A515">
            <v>285</v>
          </cell>
          <cell r="B515">
            <v>70</v>
          </cell>
          <cell r="C515">
            <v>17</v>
          </cell>
          <cell r="D515" t="str">
            <v>COMFORSER</v>
          </cell>
          <cell r="E515" t="str">
            <v>CF1000 A/T 10PR</v>
          </cell>
          <cell r="N515">
            <v>6384</v>
          </cell>
        </row>
        <row r="516">
          <cell r="A516">
            <v>265</v>
          </cell>
          <cell r="B516">
            <v>70</v>
          </cell>
          <cell r="C516">
            <v>17</v>
          </cell>
          <cell r="D516" t="str">
            <v>COMFORSER</v>
          </cell>
          <cell r="E516" t="str">
            <v>CF3000</v>
          </cell>
          <cell r="N516">
            <v>8000</v>
          </cell>
        </row>
        <row r="517">
          <cell r="A517">
            <v>285</v>
          </cell>
          <cell r="B517">
            <v>70</v>
          </cell>
          <cell r="C517">
            <v>17</v>
          </cell>
          <cell r="D517" t="str">
            <v>COMFORSER</v>
          </cell>
          <cell r="E517" t="str">
            <v>CF3000 M/T 8PR</v>
          </cell>
          <cell r="N517">
            <v>7286</v>
          </cell>
        </row>
        <row r="518">
          <cell r="A518">
            <v>295</v>
          </cell>
          <cell r="B518">
            <v>70</v>
          </cell>
          <cell r="C518">
            <v>17</v>
          </cell>
          <cell r="D518" t="str">
            <v>COMFORSER</v>
          </cell>
          <cell r="E518" t="str">
            <v>CF9000 R/T</v>
          </cell>
          <cell r="N518">
            <v>8870.4</v>
          </cell>
        </row>
        <row r="519">
          <cell r="A519">
            <v>225</v>
          </cell>
          <cell r="B519">
            <v>40</v>
          </cell>
          <cell r="C519">
            <v>18</v>
          </cell>
          <cell r="D519" t="str">
            <v>COMFORSER</v>
          </cell>
          <cell r="E519" t="str">
            <v>CF700</v>
          </cell>
          <cell r="N519">
            <v>2685</v>
          </cell>
        </row>
        <row r="520">
          <cell r="A520">
            <v>235</v>
          </cell>
          <cell r="B520">
            <v>50</v>
          </cell>
          <cell r="C520">
            <v>18</v>
          </cell>
          <cell r="D520" t="str">
            <v>COMFORSER</v>
          </cell>
          <cell r="E520" t="str">
            <v xml:space="preserve">CF2000 H/T </v>
          </cell>
          <cell r="N520">
            <v>3660</v>
          </cell>
        </row>
        <row r="521">
          <cell r="A521">
            <v>235</v>
          </cell>
          <cell r="B521">
            <v>55</v>
          </cell>
          <cell r="C521">
            <v>18</v>
          </cell>
          <cell r="D521" t="str">
            <v>COMFORSER</v>
          </cell>
          <cell r="E521" t="str">
            <v>CF2000 H/T</v>
          </cell>
          <cell r="N521">
            <v>3897</v>
          </cell>
        </row>
        <row r="522">
          <cell r="A522">
            <v>255</v>
          </cell>
          <cell r="B522">
            <v>60</v>
          </cell>
          <cell r="C522">
            <v>18</v>
          </cell>
          <cell r="D522" t="str">
            <v>COMFORSER</v>
          </cell>
          <cell r="E522" t="str">
            <v>CF1000 A/T</v>
          </cell>
          <cell r="N522">
            <v>4974</v>
          </cell>
        </row>
        <row r="523">
          <cell r="A523">
            <v>235</v>
          </cell>
          <cell r="B523">
            <v>60</v>
          </cell>
          <cell r="C523">
            <v>18</v>
          </cell>
          <cell r="D523" t="str">
            <v>COMFORSER</v>
          </cell>
          <cell r="E523" t="str">
            <v xml:space="preserve">CF2000 H/T
</v>
          </cell>
          <cell r="N523">
            <v>3842</v>
          </cell>
        </row>
        <row r="524">
          <cell r="A524">
            <v>265</v>
          </cell>
          <cell r="B524">
            <v>60</v>
          </cell>
          <cell r="C524">
            <v>18</v>
          </cell>
          <cell r="D524" t="str">
            <v>COMFORSER</v>
          </cell>
          <cell r="E524" t="str">
            <v>CF2000 H/T</v>
          </cell>
          <cell r="N524">
            <v>4617</v>
          </cell>
        </row>
        <row r="525">
          <cell r="A525">
            <v>275</v>
          </cell>
          <cell r="B525">
            <v>65</v>
          </cell>
          <cell r="C525">
            <v>18</v>
          </cell>
          <cell r="D525" t="str">
            <v>COMFORSER</v>
          </cell>
          <cell r="E525" t="str">
            <v>CF1100 A/T-S 10PR</v>
          </cell>
          <cell r="N525">
            <v>3749</v>
          </cell>
        </row>
        <row r="526">
          <cell r="A526">
            <v>275</v>
          </cell>
          <cell r="B526">
            <v>65</v>
          </cell>
          <cell r="C526">
            <v>18</v>
          </cell>
          <cell r="D526" t="str">
            <v>COMFORSER</v>
          </cell>
          <cell r="E526" t="str">
            <v>CF3000 M/T</v>
          </cell>
          <cell r="N526">
            <v>7682</v>
          </cell>
        </row>
        <row r="527">
          <cell r="A527">
            <v>35</v>
          </cell>
          <cell r="B527">
            <v>12.5</v>
          </cell>
          <cell r="C527">
            <v>18</v>
          </cell>
          <cell r="D527" t="str">
            <v>COMFORSER</v>
          </cell>
          <cell r="E527" t="str">
            <v>CF3000 M/T 10PR L/R</v>
          </cell>
          <cell r="N527">
            <v>9742</v>
          </cell>
        </row>
        <row r="528">
          <cell r="A528">
            <v>33</v>
          </cell>
          <cell r="B528">
            <v>12.5</v>
          </cell>
          <cell r="C528">
            <v>20</v>
          </cell>
          <cell r="D528" t="str">
            <v>COMFORSER</v>
          </cell>
          <cell r="E528" t="str">
            <v>CF3000 MT L/R</v>
          </cell>
          <cell r="N528">
            <v>8553.6</v>
          </cell>
        </row>
        <row r="529">
          <cell r="A529">
            <v>265</v>
          </cell>
          <cell r="B529">
            <v>50</v>
          </cell>
          <cell r="C529">
            <v>20</v>
          </cell>
          <cell r="D529" t="str">
            <v>COMFORSER</v>
          </cell>
          <cell r="E529" t="str">
            <v>CF1100 A/T</v>
          </cell>
          <cell r="N529">
            <v>4839</v>
          </cell>
        </row>
        <row r="530">
          <cell r="A530" t="str">
            <v>205</v>
          </cell>
          <cell r="B530">
            <v>65</v>
          </cell>
          <cell r="C530">
            <v>15</v>
          </cell>
          <cell r="D530" t="str">
            <v>COOPER</v>
          </cell>
          <cell r="E530" t="str">
            <v>EVOLUTION C5</v>
          </cell>
          <cell r="N530">
            <v>2792</v>
          </cell>
        </row>
        <row r="531">
          <cell r="A531" t="str">
            <v>235</v>
          </cell>
          <cell r="B531">
            <v>70</v>
          </cell>
          <cell r="C531">
            <v>15</v>
          </cell>
          <cell r="D531" t="str">
            <v>COOPER</v>
          </cell>
          <cell r="E531" t="str">
            <v>COBRA G/T</v>
          </cell>
          <cell r="N531">
            <v>5423</v>
          </cell>
        </row>
        <row r="532">
          <cell r="A532" t="str">
            <v>205</v>
          </cell>
          <cell r="B532">
            <v>55</v>
          </cell>
          <cell r="C532">
            <v>16</v>
          </cell>
          <cell r="D532" t="str">
            <v>COOPER</v>
          </cell>
          <cell r="E532" t="str">
            <v>ZEON RS3-G1</v>
          </cell>
          <cell r="N532">
            <v>2951</v>
          </cell>
        </row>
        <row r="533">
          <cell r="A533" t="str">
            <v>205</v>
          </cell>
          <cell r="B533">
            <v>45</v>
          </cell>
          <cell r="C533">
            <v>17</v>
          </cell>
          <cell r="D533" t="str">
            <v>COOPER</v>
          </cell>
          <cell r="E533" t="str">
            <v>ZEON RS3-G1</v>
          </cell>
          <cell r="N533">
            <v>3111</v>
          </cell>
        </row>
        <row r="534">
          <cell r="A534" t="str">
            <v>265</v>
          </cell>
          <cell r="B534">
            <v>65</v>
          </cell>
          <cell r="C534">
            <v>17</v>
          </cell>
          <cell r="D534" t="str">
            <v>COOPER</v>
          </cell>
          <cell r="E534" t="str">
            <v>DISCOVERER AT3 4S</v>
          </cell>
          <cell r="N534">
            <v>10086.290000000001</v>
          </cell>
        </row>
        <row r="535">
          <cell r="A535" t="str">
            <v>265</v>
          </cell>
          <cell r="B535">
            <v>70</v>
          </cell>
          <cell r="C535">
            <v>16</v>
          </cell>
          <cell r="D535" t="str">
            <v>COOPER</v>
          </cell>
          <cell r="E535" t="str">
            <v>DISCOVERER AT3 OWL</v>
          </cell>
          <cell r="N535">
            <v>11100.72</v>
          </cell>
        </row>
        <row r="536">
          <cell r="A536" t="str">
            <v>265</v>
          </cell>
          <cell r="B536">
            <v>70</v>
          </cell>
          <cell r="C536">
            <v>17</v>
          </cell>
          <cell r="D536" t="str">
            <v>COOPER</v>
          </cell>
          <cell r="E536" t="str">
            <v>EVO H/T</v>
          </cell>
          <cell r="N536">
            <v>8260</v>
          </cell>
        </row>
        <row r="537">
          <cell r="A537" t="str">
            <v>265</v>
          </cell>
          <cell r="B537">
            <v>70</v>
          </cell>
          <cell r="C537">
            <v>17</v>
          </cell>
          <cell r="D537" t="str">
            <v>COOPER</v>
          </cell>
          <cell r="E537" t="str">
            <v>DISCOV AT3 4S</v>
          </cell>
          <cell r="N537">
            <v>11085.42</v>
          </cell>
        </row>
        <row r="538">
          <cell r="A538" t="str">
            <v>265</v>
          </cell>
          <cell r="B538">
            <v>70</v>
          </cell>
          <cell r="C538">
            <v>17</v>
          </cell>
          <cell r="D538" t="str">
            <v>COOPER</v>
          </cell>
          <cell r="E538" t="str">
            <v>DISCOVERER STT PRO 10PR</v>
          </cell>
          <cell r="N538">
            <v>15488.11</v>
          </cell>
        </row>
        <row r="539">
          <cell r="A539" t="str">
            <v>265</v>
          </cell>
          <cell r="B539">
            <v>70</v>
          </cell>
          <cell r="C539">
            <v>17</v>
          </cell>
          <cell r="D539" t="str">
            <v>COOPER</v>
          </cell>
          <cell r="E539" t="str">
            <v>ROAD TRAIL AT</v>
          </cell>
          <cell r="N539">
            <v>11514</v>
          </cell>
        </row>
        <row r="540">
          <cell r="A540" t="str">
            <v>285</v>
          </cell>
          <cell r="B540">
            <v>70</v>
          </cell>
          <cell r="C540">
            <v>17</v>
          </cell>
          <cell r="D540" t="str">
            <v>COOPER</v>
          </cell>
          <cell r="E540" t="str">
            <v>STT PRO 10PR</v>
          </cell>
          <cell r="N540">
            <v>15566.61</v>
          </cell>
        </row>
        <row r="541">
          <cell r="A541" t="str">
            <v>295</v>
          </cell>
          <cell r="B541">
            <v>70</v>
          </cell>
          <cell r="C541">
            <v>17</v>
          </cell>
          <cell r="D541" t="str">
            <v>COOPER</v>
          </cell>
          <cell r="E541" t="str">
            <v>STT PRO</v>
          </cell>
          <cell r="N541">
            <v>17244.400000000001</v>
          </cell>
        </row>
        <row r="542">
          <cell r="A542" t="str">
            <v>37</v>
          </cell>
          <cell r="B542">
            <v>12.5</v>
          </cell>
          <cell r="C542">
            <v>17</v>
          </cell>
          <cell r="D542" t="str">
            <v>COOPER</v>
          </cell>
          <cell r="E542" t="str">
            <v>RUGGED TREK</v>
          </cell>
          <cell r="N542">
            <v>21400</v>
          </cell>
        </row>
        <row r="543">
          <cell r="A543" t="str">
            <v>235</v>
          </cell>
          <cell r="B543">
            <v>40</v>
          </cell>
          <cell r="C543">
            <v>18</v>
          </cell>
          <cell r="D543" t="str">
            <v>COOPER</v>
          </cell>
          <cell r="E543" t="str">
            <v>ZEON RS3</v>
          </cell>
          <cell r="N543">
            <v>3829</v>
          </cell>
        </row>
        <row r="544">
          <cell r="A544" t="str">
            <v>225</v>
          </cell>
          <cell r="B544">
            <v>45</v>
          </cell>
          <cell r="C544">
            <v>18</v>
          </cell>
          <cell r="D544" t="str">
            <v>COOPER</v>
          </cell>
          <cell r="E544" t="str">
            <v>ZEON RS3</v>
          </cell>
          <cell r="N544">
            <v>3669.28</v>
          </cell>
        </row>
        <row r="545">
          <cell r="A545" t="str">
            <v>265</v>
          </cell>
          <cell r="B545">
            <v>60</v>
          </cell>
          <cell r="C545">
            <v>18</v>
          </cell>
          <cell r="D545" t="str">
            <v>COOPER</v>
          </cell>
          <cell r="E545" t="str">
            <v>DISCOVERER HTS</v>
          </cell>
          <cell r="N545">
            <v>4547</v>
          </cell>
        </row>
        <row r="546">
          <cell r="A546" t="str">
            <v>265</v>
          </cell>
          <cell r="B546">
            <v>60</v>
          </cell>
          <cell r="C546">
            <v>18</v>
          </cell>
          <cell r="D546" t="str">
            <v>COOPER</v>
          </cell>
          <cell r="E546" t="str">
            <v>DISCOVERER  AT3 4S</v>
          </cell>
          <cell r="N546">
            <v>10086.299999999999</v>
          </cell>
        </row>
        <row r="547">
          <cell r="A547" t="str">
            <v>265</v>
          </cell>
          <cell r="B547">
            <v>60</v>
          </cell>
          <cell r="C547">
            <v>18</v>
          </cell>
          <cell r="D547" t="str">
            <v>COOPER</v>
          </cell>
          <cell r="N547">
            <v>9940.7999999999993</v>
          </cell>
        </row>
        <row r="548">
          <cell r="A548" t="str">
            <v>265</v>
          </cell>
          <cell r="B548">
            <v>65</v>
          </cell>
          <cell r="C548">
            <v>18</v>
          </cell>
          <cell r="D548" t="str">
            <v>COOPER</v>
          </cell>
          <cell r="E548" t="str">
            <v>DISCOVERER AT3 4S</v>
          </cell>
          <cell r="N548">
            <v>10691.73</v>
          </cell>
        </row>
        <row r="549">
          <cell r="A549" t="str">
            <v>265</v>
          </cell>
          <cell r="B549">
            <v>65</v>
          </cell>
          <cell r="C549">
            <v>18</v>
          </cell>
          <cell r="D549" t="str">
            <v>COOPER</v>
          </cell>
          <cell r="E549" t="str">
            <v>ROAD TRAIL AT</v>
          </cell>
          <cell r="N549">
            <v>11278.4</v>
          </cell>
        </row>
        <row r="550">
          <cell r="A550" t="str">
            <v>265</v>
          </cell>
          <cell r="B550">
            <v>70</v>
          </cell>
          <cell r="C550">
            <v>18</v>
          </cell>
          <cell r="D550" t="str">
            <v>COOPER</v>
          </cell>
          <cell r="E550" t="str">
            <v>AT3 4S</v>
          </cell>
          <cell r="N550">
            <v>9928</v>
          </cell>
        </row>
        <row r="551">
          <cell r="A551" t="str">
            <v>275</v>
          </cell>
          <cell r="B551">
            <v>65</v>
          </cell>
          <cell r="C551">
            <v>18</v>
          </cell>
          <cell r="D551" t="str">
            <v>COOPER</v>
          </cell>
          <cell r="E551" t="str">
            <v>DISCOVERER AT3 4S</v>
          </cell>
          <cell r="N551">
            <v>11644.97</v>
          </cell>
        </row>
        <row r="552">
          <cell r="A552" t="str">
            <v>275</v>
          </cell>
          <cell r="B552">
            <v>65</v>
          </cell>
          <cell r="C552">
            <v>18</v>
          </cell>
          <cell r="D552" t="str">
            <v>COOPER</v>
          </cell>
          <cell r="E552" t="str">
            <v>STT PRO</v>
          </cell>
          <cell r="N552">
            <v>16100</v>
          </cell>
        </row>
        <row r="553">
          <cell r="A553" t="str">
            <v>265</v>
          </cell>
          <cell r="B553">
            <v>50</v>
          </cell>
          <cell r="C553">
            <v>20</v>
          </cell>
          <cell r="D553" t="str">
            <v>COOPER</v>
          </cell>
          <cell r="E553" t="str">
            <v>AT3 4S</v>
          </cell>
          <cell r="N553">
            <v>11683.62</v>
          </cell>
        </row>
        <row r="554">
          <cell r="A554" t="str">
            <v>275</v>
          </cell>
          <cell r="B554">
            <v>50</v>
          </cell>
          <cell r="C554">
            <v>20</v>
          </cell>
          <cell r="D554" t="str">
            <v>COOPER</v>
          </cell>
          <cell r="E554" t="str">
            <v>DISCOVERER UTS</v>
          </cell>
          <cell r="N554">
            <v>6302</v>
          </cell>
        </row>
        <row r="555">
          <cell r="A555" t="str">
            <v>275</v>
          </cell>
          <cell r="B555">
            <v>55</v>
          </cell>
          <cell r="C555">
            <v>20</v>
          </cell>
          <cell r="D555" t="str">
            <v>COOPER</v>
          </cell>
          <cell r="E555" t="str">
            <v>EVOLUTION H/T</v>
          </cell>
          <cell r="N555">
            <v>10763</v>
          </cell>
        </row>
        <row r="556">
          <cell r="A556" t="str">
            <v>275</v>
          </cell>
          <cell r="B556">
            <v>55</v>
          </cell>
          <cell r="C556">
            <v>20</v>
          </cell>
          <cell r="D556" t="str">
            <v>COOPER</v>
          </cell>
          <cell r="E556" t="str">
            <v>DISCOVERER AT3 4S</v>
          </cell>
          <cell r="N556">
            <v>12094.61</v>
          </cell>
        </row>
        <row r="557">
          <cell r="A557" t="str">
            <v>275</v>
          </cell>
          <cell r="B557">
            <v>60</v>
          </cell>
          <cell r="C557">
            <v>20</v>
          </cell>
          <cell r="D557" t="str">
            <v>COOPER</v>
          </cell>
          <cell r="E557" t="str">
            <v>ROAD TRAIL AT</v>
          </cell>
          <cell r="N557">
            <v>14120.8</v>
          </cell>
        </row>
        <row r="558">
          <cell r="A558" t="str">
            <v>275</v>
          </cell>
          <cell r="B558">
            <v>60</v>
          </cell>
          <cell r="C558">
            <v>20</v>
          </cell>
          <cell r="D558" t="str">
            <v>COOPER</v>
          </cell>
          <cell r="E558" t="str">
            <v>AT3 4S</v>
          </cell>
          <cell r="N558">
            <v>9928</v>
          </cell>
        </row>
        <row r="559">
          <cell r="A559" t="str">
            <v>165</v>
          </cell>
          <cell r="B559">
            <v>65</v>
          </cell>
          <cell r="C559">
            <v>13</v>
          </cell>
          <cell r="D559" t="str">
            <v>DEESTONE (THAI)</v>
          </cell>
          <cell r="E559" t="str">
            <v>NAKARA R201</v>
          </cell>
          <cell r="N559">
            <v>1556</v>
          </cell>
        </row>
        <row r="560">
          <cell r="A560" t="str">
            <v>155</v>
          </cell>
          <cell r="B560">
            <v>70</v>
          </cell>
          <cell r="C560">
            <v>13</v>
          </cell>
          <cell r="D560" t="str">
            <v>DEESTONE (THAI)</v>
          </cell>
          <cell r="E560" t="str">
            <v>NAKARA R202</v>
          </cell>
          <cell r="N560">
            <v>1704</v>
          </cell>
        </row>
        <row r="561">
          <cell r="A561" t="str">
            <v>175</v>
          </cell>
          <cell r="B561">
            <v>70</v>
          </cell>
          <cell r="C561">
            <v>13</v>
          </cell>
          <cell r="D561" t="str">
            <v>DEESTONE (THAI)</v>
          </cell>
          <cell r="E561" t="str">
            <v>NAKARA R201</v>
          </cell>
          <cell r="N561">
            <v>1908</v>
          </cell>
        </row>
        <row r="562">
          <cell r="A562" t="str">
            <v>185</v>
          </cell>
          <cell r="B562">
            <v>70</v>
          </cell>
          <cell r="C562">
            <v>13</v>
          </cell>
          <cell r="D562" t="str">
            <v>DEESTONE (THAI)</v>
          </cell>
          <cell r="E562" t="str">
            <v>VINCENTE R201</v>
          </cell>
          <cell r="N562">
            <v>2154</v>
          </cell>
        </row>
        <row r="563">
          <cell r="A563" t="str">
            <v>185</v>
          </cell>
          <cell r="B563">
            <v>70</v>
          </cell>
          <cell r="C563">
            <v>13</v>
          </cell>
          <cell r="D563" t="str">
            <v>DEESTONE (THAI)</v>
          </cell>
          <cell r="E563" t="str">
            <v>VINCENTE R203</v>
          </cell>
          <cell r="N563">
            <v>2154</v>
          </cell>
        </row>
        <row r="564">
          <cell r="A564" t="str">
            <v xml:space="preserve">185 </v>
          </cell>
          <cell r="C564" t="str">
            <v>14C</v>
          </cell>
          <cell r="D564" t="str">
            <v>DEESTONE (THAI)</v>
          </cell>
          <cell r="E564" t="str">
            <v>KACHA R101</v>
          </cell>
          <cell r="N564">
            <v>2696</v>
          </cell>
        </row>
        <row r="565">
          <cell r="A565" t="str">
            <v>165</v>
          </cell>
          <cell r="B565">
            <v>65</v>
          </cell>
          <cell r="C565">
            <v>14</v>
          </cell>
          <cell r="D565" t="str">
            <v>DEESTONE (THAI)</v>
          </cell>
          <cell r="E565" t="str">
            <v>VINCENTE R203</v>
          </cell>
          <cell r="N565">
            <v>1971</v>
          </cell>
        </row>
        <row r="566">
          <cell r="A566" t="str">
            <v>175</v>
          </cell>
          <cell r="B566">
            <v>65</v>
          </cell>
          <cell r="C566">
            <v>14</v>
          </cell>
          <cell r="D566" t="str">
            <v>DEESTONE (THAI)</v>
          </cell>
          <cell r="E566" t="str">
            <v>NAKARA R201</v>
          </cell>
          <cell r="N566">
            <v>1894</v>
          </cell>
        </row>
        <row r="567">
          <cell r="A567" t="str">
            <v>185</v>
          </cell>
          <cell r="B567">
            <v>65</v>
          </cell>
          <cell r="C567">
            <v>14</v>
          </cell>
          <cell r="D567" t="str">
            <v>DEESTONE (THAI)</v>
          </cell>
          <cell r="E567" t="str">
            <v>NAKARA R201</v>
          </cell>
          <cell r="N567">
            <v>2035</v>
          </cell>
        </row>
        <row r="568">
          <cell r="A568" t="str">
            <v>175</v>
          </cell>
          <cell r="B568">
            <v>70</v>
          </cell>
          <cell r="C568">
            <v>14</v>
          </cell>
          <cell r="D568" t="str">
            <v>DEESTONE (THAI)</v>
          </cell>
          <cell r="E568" t="str">
            <v>NAKARA R201</v>
          </cell>
          <cell r="N568">
            <v>2127</v>
          </cell>
        </row>
        <row r="569">
          <cell r="A569" t="str">
            <v>185</v>
          </cell>
          <cell r="B569">
            <v>70</v>
          </cell>
          <cell r="C569">
            <v>14</v>
          </cell>
          <cell r="D569" t="str">
            <v>DEESTONE (THAI)</v>
          </cell>
          <cell r="E569" t="str">
            <v>NAKARA R201</v>
          </cell>
          <cell r="N569">
            <v>2268</v>
          </cell>
        </row>
        <row r="570">
          <cell r="A570" t="str">
            <v>185</v>
          </cell>
          <cell r="B570">
            <v>55</v>
          </cell>
          <cell r="C570">
            <v>15</v>
          </cell>
          <cell r="D570" t="str">
            <v>DEESTONE (THAI)</v>
          </cell>
          <cell r="E570" t="str">
            <v xml:space="preserve">VICENTE R203 </v>
          </cell>
          <cell r="N570">
            <v>2253</v>
          </cell>
        </row>
        <row r="571">
          <cell r="A571" t="str">
            <v>185</v>
          </cell>
          <cell r="B571">
            <v>60</v>
          </cell>
          <cell r="C571">
            <v>15</v>
          </cell>
          <cell r="D571" t="str">
            <v>DEESTONE (THAI)</v>
          </cell>
          <cell r="E571" t="str">
            <v>PREMIUM TOURER RA01 84H</v>
          </cell>
          <cell r="N571">
            <v>2288</v>
          </cell>
        </row>
        <row r="572">
          <cell r="A572" t="str">
            <v>185</v>
          </cell>
          <cell r="B572">
            <v>65</v>
          </cell>
          <cell r="C572">
            <v>15</v>
          </cell>
          <cell r="D572" t="str">
            <v>DEESTONE (THAI)</v>
          </cell>
          <cell r="E572" t="str">
            <v>NAKARA R201 88H</v>
          </cell>
          <cell r="N572">
            <v>2401</v>
          </cell>
        </row>
        <row r="573">
          <cell r="A573" t="str">
            <v>175</v>
          </cell>
          <cell r="B573">
            <v>65</v>
          </cell>
          <cell r="C573">
            <v>15</v>
          </cell>
          <cell r="D573" t="str">
            <v>DEESTONE (THAI)</v>
          </cell>
          <cell r="E573" t="str">
            <v>VINCENTE R203 84H</v>
          </cell>
          <cell r="N573">
            <v>2232</v>
          </cell>
        </row>
        <row r="574">
          <cell r="A574" t="str">
            <v>195</v>
          </cell>
          <cell r="B574">
            <v>50</v>
          </cell>
          <cell r="C574">
            <v>15</v>
          </cell>
          <cell r="D574" t="str">
            <v>DEESTONE (THAI)</v>
          </cell>
          <cell r="E574" t="str">
            <v>CARERRAS R702</v>
          </cell>
          <cell r="N574">
            <v>2302</v>
          </cell>
        </row>
        <row r="575">
          <cell r="A575" t="str">
            <v>195</v>
          </cell>
          <cell r="B575">
            <v>50</v>
          </cell>
          <cell r="C575">
            <v>15</v>
          </cell>
          <cell r="D575" t="str">
            <v>DEESTONE (THAI)</v>
          </cell>
          <cell r="E575" t="str">
            <v>TOURER RA01</v>
          </cell>
          <cell r="N575">
            <v>2675</v>
          </cell>
        </row>
        <row r="576">
          <cell r="A576" t="str">
            <v>195</v>
          </cell>
          <cell r="B576">
            <v>55</v>
          </cell>
          <cell r="C576">
            <v>15</v>
          </cell>
          <cell r="D576" t="str">
            <v>DEESTONE (THAI)</v>
          </cell>
          <cell r="E576" t="str">
            <v>CARRERAS R702</v>
          </cell>
          <cell r="N576">
            <v>2401</v>
          </cell>
        </row>
        <row r="577">
          <cell r="A577">
            <v>195</v>
          </cell>
          <cell r="B577">
            <v>65</v>
          </cell>
          <cell r="C577">
            <v>15</v>
          </cell>
          <cell r="D577" t="str">
            <v>DEESTONE (THAI)</v>
          </cell>
          <cell r="E577" t="str">
            <v>R301 NAKARA</v>
          </cell>
          <cell r="N577">
            <v>2619</v>
          </cell>
        </row>
        <row r="578">
          <cell r="A578" t="str">
            <v>205</v>
          </cell>
          <cell r="B578">
            <v>65</v>
          </cell>
          <cell r="C578">
            <v>15</v>
          </cell>
          <cell r="D578" t="str">
            <v>DEESTONE (THAI)</v>
          </cell>
          <cell r="E578" t="str">
            <v>NAKARA R301</v>
          </cell>
          <cell r="N578">
            <v>2796</v>
          </cell>
        </row>
        <row r="579">
          <cell r="A579" t="str">
            <v>205</v>
          </cell>
          <cell r="B579">
            <v>70</v>
          </cell>
          <cell r="C579" t="str">
            <v>15C</v>
          </cell>
          <cell r="D579" t="str">
            <v>DEESTONE (THAI)</v>
          </cell>
          <cell r="E579" t="str">
            <v>TITANS 8PR</v>
          </cell>
          <cell r="N579">
            <v>3394</v>
          </cell>
        </row>
        <row r="580">
          <cell r="A580" t="str">
            <v>215</v>
          </cell>
          <cell r="B580">
            <v>70</v>
          </cell>
          <cell r="C580" t="str">
            <v>15C</v>
          </cell>
          <cell r="D580" t="str">
            <v>DEESTONE (THAI)</v>
          </cell>
          <cell r="E580" t="str">
            <v xml:space="preserve">TITANZ 8PR </v>
          </cell>
          <cell r="N580">
            <v>3661</v>
          </cell>
        </row>
        <row r="581">
          <cell r="A581" t="str">
            <v>225</v>
          </cell>
          <cell r="B581">
            <v>70</v>
          </cell>
          <cell r="C581" t="str">
            <v>15C</v>
          </cell>
          <cell r="D581" t="str">
            <v>DEESTONE (THAI)</v>
          </cell>
          <cell r="E581" t="str">
            <v>8PR R402</v>
          </cell>
          <cell r="N581">
            <v>4140</v>
          </cell>
        </row>
        <row r="582">
          <cell r="A582" t="str">
            <v>235</v>
          </cell>
          <cell r="B582">
            <v>70</v>
          </cell>
          <cell r="C582">
            <v>15</v>
          </cell>
          <cell r="D582" t="str">
            <v>DEESTONE (THAI)</v>
          </cell>
          <cell r="E582" t="str">
            <v>PAYAK R601 H/T</v>
          </cell>
          <cell r="N582">
            <v>4104</v>
          </cell>
        </row>
        <row r="583">
          <cell r="A583" t="str">
            <v>235</v>
          </cell>
          <cell r="B583">
            <v>75</v>
          </cell>
          <cell r="C583">
            <v>15</v>
          </cell>
          <cell r="D583" t="str">
            <v>DEESTONE (THAI)</v>
          </cell>
          <cell r="E583" t="str">
            <v>PAYAK R601 H/T</v>
          </cell>
          <cell r="N583">
            <v>4259</v>
          </cell>
        </row>
        <row r="584">
          <cell r="A584" t="str">
            <v>235</v>
          </cell>
          <cell r="B584">
            <v>75</v>
          </cell>
          <cell r="C584">
            <v>15</v>
          </cell>
          <cell r="D584" t="str">
            <v>DEESTONE (THAI)</v>
          </cell>
          <cell r="E584" t="str">
            <v>MUD CLAWER M/T</v>
          </cell>
          <cell r="N584">
            <v>5238</v>
          </cell>
        </row>
        <row r="585">
          <cell r="A585">
            <v>31</v>
          </cell>
          <cell r="B585" t="str">
            <v>10.5</v>
          </cell>
          <cell r="C585">
            <v>15</v>
          </cell>
          <cell r="D585" t="str">
            <v>DEESTONE (THAI)</v>
          </cell>
          <cell r="E585" t="str">
            <v>R404 PAYAK A/T 6PR</v>
          </cell>
          <cell r="N585">
            <v>5914</v>
          </cell>
        </row>
        <row r="586">
          <cell r="A586" t="str">
            <v>31</v>
          </cell>
          <cell r="B586">
            <v>10.5</v>
          </cell>
          <cell r="C586">
            <v>15</v>
          </cell>
          <cell r="D586" t="str">
            <v>DEESTONE (THAI)</v>
          </cell>
          <cell r="E586" t="str">
            <v>MUD CLAWER M/T</v>
          </cell>
          <cell r="N586">
            <v>6280</v>
          </cell>
        </row>
        <row r="587">
          <cell r="A587" t="str">
            <v>33</v>
          </cell>
          <cell r="B587" t="str">
            <v>12.5</v>
          </cell>
          <cell r="C587">
            <v>15</v>
          </cell>
          <cell r="D587" t="str">
            <v>DEESTONE (THAI)</v>
          </cell>
          <cell r="E587" t="str">
            <v xml:space="preserve">R408 BSW MUD CLAWER </v>
          </cell>
          <cell r="N587">
            <v>7673.6</v>
          </cell>
        </row>
        <row r="588">
          <cell r="A588" t="str">
            <v>195</v>
          </cell>
          <cell r="C588" t="str">
            <v>15C</v>
          </cell>
          <cell r="D588" t="str">
            <v>DEESTONE (THAI)</v>
          </cell>
          <cell r="E588" t="str">
            <v>R101 KACHA</v>
          </cell>
          <cell r="N588">
            <v>3351</v>
          </cell>
        </row>
        <row r="589">
          <cell r="A589" t="str">
            <v>195</v>
          </cell>
          <cell r="B589">
            <v>50</v>
          </cell>
          <cell r="C589">
            <v>16</v>
          </cell>
          <cell r="D589" t="str">
            <v>DEESTONE (THAI)</v>
          </cell>
          <cell r="E589" t="str">
            <v>PREMIUM TOURER RA01</v>
          </cell>
          <cell r="N589">
            <v>2619</v>
          </cell>
        </row>
        <row r="590">
          <cell r="A590" t="str">
            <v>185</v>
          </cell>
          <cell r="B590">
            <v>55</v>
          </cell>
          <cell r="C590">
            <v>16</v>
          </cell>
          <cell r="D590" t="str">
            <v>DEESTONE (THAI)</v>
          </cell>
          <cell r="E590" t="str">
            <v>VINCENTER 302</v>
          </cell>
          <cell r="N590">
            <v>2472</v>
          </cell>
        </row>
        <row r="591">
          <cell r="A591" t="str">
            <v>205</v>
          </cell>
          <cell r="B591">
            <v>55</v>
          </cell>
          <cell r="C591">
            <v>16</v>
          </cell>
          <cell r="D591" t="str">
            <v>DEESTONE (THAI)</v>
          </cell>
          <cell r="E591" t="str">
            <v>VICENTE R302 H/T</v>
          </cell>
          <cell r="N591">
            <v>2872</v>
          </cell>
        </row>
        <row r="592">
          <cell r="A592" t="str">
            <v>205</v>
          </cell>
          <cell r="B592">
            <v>60</v>
          </cell>
          <cell r="C592">
            <v>16</v>
          </cell>
          <cell r="D592" t="str">
            <v>DEESTONE (THAI)</v>
          </cell>
          <cell r="E592" t="str">
            <v xml:space="preserve">PREMIUM TOURER RA01 </v>
          </cell>
          <cell r="N592">
            <v>3098</v>
          </cell>
        </row>
        <row r="593">
          <cell r="A593" t="str">
            <v>205</v>
          </cell>
          <cell r="B593">
            <v>65</v>
          </cell>
          <cell r="C593">
            <v>16</v>
          </cell>
          <cell r="D593" t="str">
            <v>DEESTONE (THAI)</v>
          </cell>
          <cell r="E593" t="str">
            <v>NAKARA R201</v>
          </cell>
          <cell r="N593">
            <v>3196</v>
          </cell>
        </row>
        <row r="594">
          <cell r="A594">
            <v>215</v>
          </cell>
          <cell r="B594">
            <v>60</v>
          </cell>
          <cell r="C594">
            <v>16</v>
          </cell>
          <cell r="D594" t="str">
            <v>DEESTONE (THAI)</v>
          </cell>
          <cell r="E594" t="str">
            <v xml:space="preserve">R201 NAKARA </v>
          </cell>
          <cell r="N594">
            <v>3520</v>
          </cell>
        </row>
        <row r="595">
          <cell r="A595" t="str">
            <v>215</v>
          </cell>
          <cell r="B595">
            <v>60</v>
          </cell>
          <cell r="C595">
            <v>16</v>
          </cell>
          <cell r="D595" t="str">
            <v>DEESTONE (THAI)</v>
          </cell>
          <cell r="E595" t="str">
            <v>VICENTE R302 95H</v>
          </cell>
          <cell r="N595">
            <v>3344</v>
          </cell>
        </row>
        <row r="596">
          <cell r="A596" t="str">
            <v>235</v>
          </cell>
          <cell r="B596">
            <v>60</v>
          </cell>
          <cell r="C596">
            <v>16</v>
          </cell>
          <cell r="D596" t="str">
            <v>DEESTONE (THAI)</v>
          </cell>
          <cell r="E596" t="str">
            <v>VICENTE R302</v>
          </cell>
          <cell r="N596">
            <v>3752</v>
          </cell>
        </row>
        <row r="597">
          <cell r="A597" t="str">
            <v>235</v>
          </cell>
          <cell r="B597">
            <v>65</v>
          </cell>
          <cell r="C597" t="str">
            <v>16C</v>
          </cell>
          <cell r="D597" t="str">
            <v>DEESTONE (THAI)</v>
          </cell>
          <cell r="E597" t="str">
            <v>PAYAK R402 8PR</v>
          </cell>
          <cell r="N597">
            <v>4752</v>
          </cell>
        </row>
        <row r="598">
          <cell r="A598" t="str">
            <v>215</v>
          </cell>
          <cell r="B598">
            <v>70</v>
          </cell>
          <cell r="C598" t="str">
            <v>16C</v>
          </cell>
          <cell r="D598" t="str">
            <v>DEESTONE (THAI)</v>
          </cell>
          <cell r="E598" t="str">
            <v>TITAN T88 8PR</v>
          </cell>
          <cell r="N598">
            <v>3928</v>
          </cell>
        </row>
        <row r="599">
          <cell r="A599" t="str">
            <v>245</v>
          </cell>
          <cell r="B599">
            <v>70</v>
          </cell>
          <cell r="C599">
            <v>16</v>
          </cell>
          <cell r="D599" t="str">
            <v>DEESTONE (THAI)</v>
          </cell>
          <cell r="E599" t="str">
            <v>R403 PAYAK</v>
          </cell>
          <cell r="N599">
            <v>4696</v>
          </cell>
        </row>
        <row r="600">
          <cell r="A600" t="str">
            <v>265</v>
          </cell>
          <cell r="B600">
            <v>70</v>
          </cell>
          <cell r="C600">
            <v>16</v>
          </cell>
          <cell r="D600" t="str">
            <v>DEESTONE (THAI)</v>
          </cell>
          <cell r="E600" t="str">
            <v>PAYAK R404 A/T 6PR</v>
          </cell>
          <cell r="N600">
            <v>5582</v>
          </cell>
        </row>
        <row r="601">
          <cell r="A601" t="str">
            <v>205</v>
          </cell>
          <cell r="B601">
            <v>75</v>
          </cell>
          <cell r="C601" t="str">
            <v>16C</v>
          </cell>
          <cell r="D601" t="str">
            <v>DEESTONE (THAI)</v>
          </cell>
          <cell r="E601" t="str">
            <v>PAYAK R402 8PR</v>
          </cell>
          <cell r="N601">
            <v>4224</v>
          </cell>
        </row>
        <row r="602">
          <cell r="A602" t="str">
            <v>245</v>
          </cell>
          <cell r="B602">
            <v>75</v>
          </cell>
          <cell r="C602">
            <v>16</v>
          </cell>
          <cell r="D602" t="str">
            <v>DEESTONE (THAI)</v>
          </cell>
          <cell r="E602" t="str">
            <v>POWER CRUZ X/T XT421</v>
          </cell>
          <cell r="N602">
            <v>6110</v>
          </cell>
        </row>
        <row r="603">
          <cell r="A603" t="str">
            <v>265</v>
          </cell>
          <cell r="B603">
            <v>75</v>
          </cell>
          <cell r="C603">
            <v>16</v>
          </cell>
          <cell r="D603" t="str">
            <v>DEESTONE (THAI)</v>
          </cell>
          <cell r="E603" t="str">
            <v>MUD CLAWER M/T</v>
          </cell>
          <cell r="N603">
            <v>7040</v>
          </cell>
        </row>
        <row r="604">
          <cell r="A604" t="str">
            <v>205</v>
          </cell>
          <cell r="B604">
            <v>45</v>
          </cell>
          <cell r="C604">
            <v>17</v>
          </cell>
          <cell r="D604" t="str">
            <v>DEESTONE (THAI)</v>
          </cell>
          <cell r="E604" t="str">
            <v>CARRERAS R702 88W/XL</v>
          </cell>
          <cell r="N604">
            <v>2852</v>
          </cell>
        </row>
        <row r="605">
          <cell r="A605" t="str">
            <v>215</v>
          </cell>
          <cell r="B605">
            <v>45</v>
          </cell>
          <cell r="C605">
            <v>17</v>
          </cell>
          <cell r="D605" t="str">
            <v>DEESTONE (THAI)</v>
          </cell>
          <cell r="E605" t="str">
            <v>CARRERAS R702</v>
          </cell>
          <cell r="N605">
            <v>2992</v>
          </cell>
        </row>
        <row r="606">
          <cell r="A606" t="str">
            <v>215</v>
          </cell>
          <cell r="B606">
            <v>50</v>
          </cell>
          <cell r="C606">
            <v>17</v>
          </cell>
          <cell r="D606" t="str">
            <v>DEESTONE (THAI)</v>
          </cell>
          <cell r="E606" t="str">
            <v>PREMIUM TOURER</v>
          </cell>
          <cell r="N606">
            <v>3351</v>
          </cell>
        </row>
        <row r="607">
          <cell r="A607" t="str">
            <v>215</v>
          </cell>
          <cell r="B607">
            <v>55</v>
          </cell>
          <cell r="C607">
            <v>17</v>
          </cell>
          <cell r="D607" t="str">
            <v>DEESTONE (THAI)</v>
          </cell>
          <cell r="E607" t="str">
            <v>PREMIUM TOURER RA01</v>
          </cell>
          <cell r="N607">
            <v>3478</v>
          </cell>
        </row>
        <row r="608">
          <cell r="A608" t="str">
            <v>265</v>
          </cell>
          <cell r="B608">
            <v>65</v>
          </cell>
          <cell r="C608">
            <v>17</v>
          </cell>
          <cell r="D608" t="str">
            <v>DEESTONE (THAI)</v>
          </cell>
          <cell r="E608" t="str">
            <v>PAYAK R601 H/T-BSW</v>
          </cell>
          <cell r="N608">
            <v>5104</v>
          </cell>
        </row>
        <row r="609">
          <cell r="A609" t="str">
            <v>265</v>
          </cell>
          <cell r="B609">
            <v>65</v>
          </cell>
          <cell r="C609">
            <v>17</v>
          </cell>
          <cell r="D609" t="str">
            <v>DEESTONE (THAI)</v>
          </cell>
          <cell r="E609" t="str">
            <v>PAYAK R404 A/T</v>
          </cell>
          <cell r="N609">
            <v>5625</v>
          </cell>
        </row>
        <row r="610">
          <cell r="A610" t="str">
            <v>265</v>
          </cell>
          <cell r="B610">
            <v>70</v>
          </cell>
          <cell r="C610">
            <v>17</v>
          </cell>
          <cell r="D610" t="str">
            <v>DEESTONE (THAI)</v>
          </cell>
          <cell r="E610" t="str">
            <v>PAYAK R404 A/T 6PR</v>
          </cell>
          <cell r="N610">
            <v>6055</v>
          </cell>
        </row>
        <row r="611">
          <cell r="A611" t="str">
            <v>225</v>
          </cell>
          <cell r="B611">
            <v>45</v>
          </cell>
          <cell r="C611">
            <v>18</v>
          </cell>
          <cell r="D611" t="str">
            <v>DEESTONE (THAI)</v>
          </cell>
          <cell r="E611" t="str">
            <v>CARRERAS R702</v>
          </cell>
          <cell r="N611">
            <v>3583</v>
          </cell>
        </row>
        <row r="612">
          <cell r="A612" t="str">
            <v>265</v>
          </cell>
          <cell r="B612">
            <v>60</v>
          </cell>
          <cell r="C612">
            <v>18</v>
          </cell>
          <cell r="D612" t="str">
            <v>DEESTONE (THAI)</v>
          </cell>
          <cell r="E612" t="str">
            <v>PAYAK R404 A/T 110T</v>
          </cell>
          <cell r="N612">
            <v>5780</v>
          </cell>
        </row>
        <row r="613">
          <cell r="A613" t="str">
            <v>35</v>
          </cell>
          <cell r="B613" t="str">
            <v>12.5</v>
          </cell>
          <cell r="C613">
            <v>18</v>
          </cell>
          <cell r="D613" t="str">
            <v>DEESTONE (THAI)</v>
          </cell>
          <cell r="E613" t="str">
            <v>R405 MUD CLAWER</v>
          </cell>
          <cell r="N613">
            <v>7823.25</v>
          </cell>
        </row>
        <row r="614">
          <cell r="A614" t="str">
            <v>265</v>
          </cell>
          <cell r="B614">
            <v>50</v>
          </cell>
          <cell r="C614">
            <v>20</v>
          </cell>
          <cell r="D614" t="str">
            <v>DEESTONE (THAI)</v>
          </cell>
          <cell r="E614" t="str">
            <v>CARRERAS R702 H/T</v>
          </cell>
          <cell r="N614">
            <v>5174</v>
          </cell>
        </row>
        <row r="615">
          <cell r="A615" t="str">
            <v>205</v>
          </cell>
          <cell r="B615">
            <v>55</v>
          </cell>
          <cell r="C615">
            <v>16</v>
          </cell>
          <cell r="D615" t="str">
            <v>DELIUM/SPECTRA</v>
          </cell>
          <cell r="E615" t="str">
            <v>EVOLUTION SP</v>
          </cell>
          <cell r="N615">
            <v>3600</v>
          </cell>
        </row>
        <row r="616">
          <cell r="A616" t="str">
            <v>245</v>
          </cell>
          <cell r="B616">
            <v>70</v>
          </cell>
          <cell r="C616">
            <v>16</v>
          </cell>
          <cell r="D616" t="str">
            <v>DELIUM/SPECTRA</v>
          </cell>
          <cell r="E616" t="str">
            <v>A/T</v>
          </cell>
          <cell r="N616">
            <v>4892</v>
          </cell>
        </row>
        <row r="617">
          <cell r="A617" t="str">
            <v>225</v>
          </cell>
          <cell r="B617">
            <v>55</v>
          </cell>
          <cell r="C617">
            <v>18</v>
          </cell>
          <cell r="D617" t="str">
            <v>DOUBLE COIN</v>
          </cell>
          <cell r="E617" t="str">
            <v>DS-66HP</v>
          </cell>
          <cell r="N617">
            <v>3249</v>
          </cell>
        </row>
        <row r="618">
          <cell r="A618" t="str">
            <v>165</v>
          </cell>
          <cell r="B618">
            <v>60</v>
          </cell>
          <cell r="C618">
            <v>14</v>
          </cell>
          <cell r="D618" t="str">
            <v>DOUBLE STAR</v>
          </cell>
          <cell r="E618" t="str">
            <v>DH05</v>
          </cell>
          <cell r="N618">
            <v>1800</v>
          </cell>
        </row>
        <row r="619">
          <cell r="A619" t="str">
            <v>185</v>
          </cell>
          <cell r="B619">
            <v>70</v>
          </cell>
          <cell r="C619">
            <v>14</v>
          </cell>
          <cell r="D619" t="str">
            <v>DUNLOP</v>
          </cell>
          <cell r="E619" t="str">
            <v>LM705</v>
          </cell>
          <cell r="N619">
            <v>3900</v>
          </cell>
        </row>
        <row r="620">
          <cell r="A620" t="str">
            <v>205</v>
          </cell>
          <cell r="B620">
            <v>75</v>
          </cell>
          <cell r="C620">
            <v>14</v>
          </cell>
          <cell r="D620" t="str">
            <v>DUNLOP</v>
          </cell>
          <cell r="E620" t="str">
            <v>SP601</v>
          </cell>
          <cell r="N620">
            <v>4465</v>
          </cell>
        </row>
        <row r="621">
          <cell r="A621" t="str">
            <v>185</v>
          </cell>
          <cell r="B621">
            <v>65</v>
          </cell>
          <cell r="C621">
            <v>15</v>
          </cell>
          <cell r="D621" t="str">
            <v>DUNLOP</v>
          </cell>
          <cell r="E621" t="str">
            <v>LM705</v>
          </cell>
          <cell r="N621">
            <v>3724</v>
          </cell>
        </row>
        <row r="622">
          <cell r="A622" t="str">
            <v>195</v>
          </cell>
          <cell r="B622">
            <v>80</v>
          </cell>
          <cell r="C622">
            <v>15</v>
          </cell>
          <cell r="D622" t="str">
            <v>DUNLOP</v>
          </cell>
          <cell r="E622" t="str">
            <v>GRANNDTREK AT20</v>
          </cell>
          <cell r="N622">
            <v>6200</v>
          </cell>
        </row>
        <row r="623">
          <cell r="A623" t="str">
            <v>205</v>
          </cell>
          <cell r="C623">
            <v>16</v>
          </cell>
          <cell r="D623" t="str">
            <v>DUNLOP</v>
          </cell>
          <cell r="E623" t="str">
            <v>AT3</v>
          </cell>
          <cell r="N623">
            <v>8010.24</v>
          </cell>
        </row>
        <row r="624">
          <cell r="A624" t="str">
            <v>225</v>
          </cell>
          <cell r="B624">
            <v>70</v>
          </cell>
          <cell r="C624">
            <v>16</v>
          </cell>
          <cell r="D624" t="str">
            <v>DUNLOP</v>
          </cell>
          <cell r="E624" t="str">
            <v>AT5</v>
          </cell>
          <cell r="N624">
            <v>7050.33</v>
          </cell>
        </row>
        <row r="625">
          <cell r="A625" t="str">
            <v>225</v>
          </cell>
          <cell r="B625">
            <v>45</v>
          </cell>
          <cell r="C625">
            <v>17</v>
          </cell>
          <cell r="D625" t="str">
            <v>DUNLOP</v>
          </cell>
          <cell r="E625" t="str">
            <v>LM705</v>
          </cell>
          <cell r="N625">
            <v>6400</v>
          </cell>
        </row>
        <row r="626">
          <cell r="A626" t="str">
            <v>225</v>
          </cell>
          <cell r="B626">
            <v>50</v>
          </cell>
          <cell r="C626">
            <v>17</v>
          </cell>
          <cell r="D626" t="str">
            <v>DUNLOP</v>
          </cell>
          <cell r="E626" t="str">
            <v>LM705</v>
          </cell>
          <cell r="N626">
            <v>6640</v>
          </cell>
        </row>
        <row r="627">
          <cell r="A627" t="str">
            <v>215</v>
          </cell>
          <cell r="B627">
            <v>60</v>
          </cell>
          <cell r="C627">
            <v>17</v>
          </cell>
          <cell r="D627" t="str">
            <v>DUNLOP</v>
          </cell>
          <cell r="E627" t="str">
            <v>ENASAVE EC300+</v>
          </cell>
          <cell r="N627">
            <v>7100</v>
          </cell>
        </row>
        <row r="628">
          <cell r="A628" t="str">
            <v>225</v>
          </cell>
          <cell r="B628">
            <v>60</v>
          </cell>
          <cell r="C628">
            <v>17</v>
          </cell>
          <cell r="D628" t="str">
            <v>DUNLOP</v>
          </cell>
          <cell r="E628" t="str">
            <v>LM704</v>
          </cell>
          <cell r="N628">
            <v>8900</v>
          </cell>
        </row>
        <row r="629">
          <cell r="A629" t="str">
            <v>245</v>
          </cell>
          <cell r="B629">
            <v>40</v>
          </cell>
          <cell r="C629">
            <v>18</v>
          </cell>
          <cell r="D629" t="str">
            <v>DUNLOP</v>
          </cell>
          <cell r="E629" t="str">
            <v>DZ102</v>
          </cell>
          <cell r="N629">
            <v>7289.07</v>
          </cell>
        </row>
        <row r="630">
          <cell r="A630" t="str">
            <v>245</v>
          </cell>
          <cell r="B630">
            <v>45</v>
          </cell>
          <cell r="C630">
            <v>18</v>
          </cell>
          <cell r="D630" t="str">
            <v>DUNLOP</v>
          </cell>
          <cell r="E630" t="str">
            <v>DZ102</v>
          </cell>
          <cell r="N630">
            <v>7800</v>
          </cell>
        </row>
        <row r="631">
          <cell r="A631" t="str">
            <v>235</v>
          </cell>
          <cell r="B631">
            <v>55</v>
          </cell>
          <cell r="C631">
            <v>18</v>
          </cell>
          <cell r="D631" t="str">
            <v>DUNLOP</v>
          </cell>
          <cell r="E631" t="str">
            <v>SPORT LM 704</v>
          </cell>
          <cell r="N631">
            <v>6568.38</v>
          </cell>
        </row>
        <row r="632">
          <cell r="A632" t="str">
            <v>265</v>
          </cell>
          <cell r="B632">
            <v>60</v>
          </cell>
          <cell r="C632">
            <v>18</v>
          </cell>
          <cell r="D632" t="str">
            <v>DUNLOP</v>
          </cell>
          <cell r="E632" t="str">
            <v>AT25</v>
          </cell>
          <cell r="N632">
            <v>11618.88</v>
          </cell>
        </row>
        <row r="633">
          <cell r="A633" t="str">
            <v>265</v>
          </cell>
          <cell r="B633">
            <v>60</v>
          </cell>
          <cell r="C633">
            <v>18</v>
          </cell>
          <cell r="D633" t="str">
            <v>DUNLOP</v>
          </cell>
          <cell r="E633" t="str">
            <v>GRANDTREK AT20</v>
          </cell>
          <cell r="N633">
            <v>12700</v>
          </cell>
        </row>
        <row r="634">
          <cell r="A634" t="str">
            <v>235</v>
          </cell>
          <cell r="B634">
            <v>55</v>
          </cell>
          <cell r="C634">
            <v>19</v>
          </cell>
          <cell r="D634" t="str">
            <v>DUNLOP</v>
          </cell>
          <cell r="E634" t="str">
            <v>GRANDTREK</v>
          </cell>
          <cell r="N634">
            <v>12511.8</v>
          </cell>
        </row>
        <row r="635">
          <cell r="A635" t="str">
            <v>235</v>
          </cell>
          <cell r="B635">
            <v>50</v>
          </cell>
          <cell r="C635">
            <v>20</v>
          </cell>
          <cell r="D635" t="str">
            <v>DUNLOP</v>
          </cell>
          <cell r="E635" t="str">
            <v>MAXX 060</v>
          </cell>
          <cell r="N635">
            <v>16041.2</v>
          </cell>
        </row>
        <row r="636">
          <cell r="A636" t="str">
            <v>245</v>
          </cell>
          <cell r="B636">
            <v>50</v>
          </cell>
          <cell r="C636">
            <v>20</v>
          </cell>
          <cell r="D636" t="str">
            <v>DUNLOP</v>
          </cell>
          <cell r="E636" t="str">
            <v>PT5</v>
          </cell>
          <cell r="N636">
            <v>17920.419999999998</v>
          </cell>
        </row>
        <row r="637">
          <cell r="A637" t="str">
            <v>285</v>
          </cell>
          <cell r="B637">
            <v>35</v>
          </cell>
          <cell r="C637">
            <v>21</v>
          </cell>
          <cell r="D637" t="str">
            <v>DUNLOP</v>
          </cell>
          <cell r="E637" t="str">
            <v>MAXX 050+</v>
          </cell>
          <cell r="N637">
            <v>17467.8</v>
          </cell>
        </row>
        <row r="638">
          <cell r="A638" t="str">
            <v>325</v>
          </cell>
          <cell r="B638">
            <v>30</v>
          </cell>
          <cell r="C638">
            <v>21</v>
          </cell>
          <cell r="D638" t="str">
            <v>DUNLOP</v>
          </cell>
          <cell r="E638" t="str">
            <v>MAXX 050+</v>
          </cell>
          <cell r="N638">
            <v>16225</v>
          </cell>
        </row>
        <row r="639">
          <cell r="A639" t="str">
            <v>155</v>
          </cell>
          <cell r="C639">
            <v>12</v>
          </cell>
          <cell r="D639" t="str">
            <v>DURATURN</v>
          </cell>
          <cell r="E639" t="str">
            <v>TRAVIA VAN</v>
          </cell>
          <cell r="N639">
            <v>1567.5</v>
          </cell>
        </row>
        <row r="640">
          <cell r="A640" t="str">
            <v>165</v>
          </cell>
          <cell r="B640">
            <v>65</v>
          </cell>
          <cell r="C640">
            <v>13</v>
          </cell>
          <cell r="D640" t="str">
            <v>DURATURN</v>
          </cell>
          <cell r="E640" t="str">
            <v>MOZZO TOURING</v>
          </cell>
          <cell r="N640">
            <v>1396.5</v>
          </cell>
        </row>
        <row r="641">
          <cell r="A641" t="str">
            <v>175</v>
          </cell>
          <cell r="B641">
            <v>70</v>
          </cell>
          <cell r="C641">
            <v>13</v>
          </cell>
          <cell r="D641" t="str">
            <v>DURATURN</v>
          </cell>
          <cell r="E641" t="str">
            <v>MOZZO 4S</v>
          </cell>
          <cell r="N641">
            <v>1390.8</v>
          </cell>
        </row>
        <row r="642">
          <cell r="A642" t="str">
            <v>175</v>
          </cell>
          <cell r="B642">
            <v>70</v>
          </cell>
          <cell r="C642">
            <v>13</v>
          </cell>
          <cell r="D642" t="str">
            <v>DURATURN</v>
          </cell>
          <cell r="E642" t="str">
            <v>MOZZO TOURING</v>
          </cell>
          <cell r="N642">
            <v>1342</v>
          </cell>
        </row>
        <row r="643">
          <cell r="A643" t="str">
            <v>185</v>
          </cell>
          <cell r="B643">
            <v>70</v>
          </cell>
          <cell r="C643">
            <v>13</v>
          </cell>
          <cell r="D643" t="str">
            <v>DURATURN</v>
          </cell>
          <cell r="E643" t="str">
            <v>MOZZO 4S</v>
          </cell>
          <cell r="N643">
            <v>1556.1</v>
          </cell>
        </row>
        <row r="644">
          <cell r="A644" t="str">
            <v>165</v>
          </cell>
          <cell r="B644">
            <v>60</v>
          </cell>
          <cell r="C644">
            <v>14</v>
          </cell>
          <cell r="D644" t="str">
            <v>DURATURN</v>
          </cell>
          <cell r="E644" t="str">
            <v>MOZZO 4S</v>
          </cell>
          <cell r="N644">
            <v>1210</v>
          </cell>
        </row>
        <row r="645">
          <cell r="A645" t="str">
            <v>175</v>
          </cell>
          <cell r="B645">
            <v>65</v>
          </cell>
          <cell r="C645">
            <v>14</v>
          </cell>
          <cell r="D645" t="str">
            <v>DURATURN</v>
          </cell>
          <cell r="E645" t="str">
            <v>MOZZO 4S</v>
          </cell>
          <cell r="N645">
            <v>1397</v>
          </cell>
        </row>
        <row r="646">
          <cell r="A646" t="str">
            <v>175</v>
          </cell>
          <cell r="B646">
            <v>65</v>
          </cell>
          <cell r="C646">
            <v>14</v>
          </cell>
          <cell r="D646" t="str">
            <v>DURATURN</v>
          </cell>
          <cell r="E646" t="str">
            <v>MOZZO ECO D3</v>
          </cell>
          <cell r="N646">
            <v>1397</v>
          </cell>
        </row>
        <row r="647">
          <cell r="A647" t="str">
            <v>185</v>
          </cell>
          <cell r="B647">
            <v>65</v>
          </cell>
          <cell r="C647">
            <v>14</v>
          </cell>
          <cell r="D647" t="str">
            <v>DURATURN</v>
          </cell>
          <cell r="E647" t="str">
            <v>MOZZO 4S</v>
          </cell>
          <cell r="N647">
            <v>1529</v>
          </cell>
        </row>
        <row r="648">
          <cell r="A648" t="str">
            <v>175</v>
          </cell>
          <cell r="B648">
            <v>70</v>
          </cell>
          <cell r="C648">
            <v>14</v>
          </cell>
          <cell r="D648" t="str">
            <v>DURATURN</v>
          </cell>
          <cell r="E648" t="str">
            <v>MOZZO 4S</v>
          </cell>
          <cell r="N648">
            <v>1567.5</v>
          </cell>
        </row>
        <row r="649">
          <cell r="A649" t="str">
            <v>175</v>
          </cell>
          <cell r="B649">
            <v>70</v>
          </cell>
          <cell r="C649">
            <v>14</v>
          </cell>
          <cell r="D649" t="str">
            <v>DURATURN</v>
          </cell>
          <cell r="E649" t="str">
            <v>TRAVIA VAN</v>
          </cell>
          <cell r="N649">
            <v>1881</v>
          </cell>
        </row>
        <row r="650">
          <cell r="A650" t="str">
            <v>175</v>
          </cell>
          <cell r="B650">
            <v>70</v>
          </cell>
          <cell r="C650">
            <v>14</v>
          </cell>
          <cell r="D650" t="str">
            <v>DURATURN</v>
          </cell>
          <cell r="E650" t="str">
            <v>MOZZO ECO D3</v>
          </cell>
          <cell r="N650">
            <v>1512.5</v>
          </cell>
        </row>
        <row r="651">
          <cell r="A651" t="str">
            <v>185</v>
          </cell>
          <cell r="B651">
            <v>70</v>
          </cell>
          <cell r="C651">
            <v>14</v>
          </cell>
          <cell r="D651" t="str">
            <v>DURATURN</v>
          </cell>
          <cell r="E651" t="str">
            <v>MOZZO 4S</v>
          </cell>
          <cell r="N651">
            <v>1624.5</v>
          </cell>
        </row>
        <row r="652">
          <cell r="A652" t="str">
            <v>185</v>
          </cell>
          <cell r="B652">
            <v>70</v>
          </cell>
          <cell r="C652">
            <v>14</v>
          </cell>
          <cell r="D652" t="str">
            <v>DURATURN</v>
          </cell>
          <cell r="E652" t="str">
            <v>MOZZO ECO D3</v>
          </cell>
          <cell r="N652">
            <v>1567.5</v>
          </cell>
        </row>
        <row r="653">
          <cell r="A653" t="str">
            <v>195</v>
          </cell>
          <cell r="B653">
            <v>70</v>
          </cell>
          <cell r="C653">
            <v>14</v>
          </cell>
          <cell r="D653" t="str">
            <v>DURATURN</v>
          </cell>
          <cell r="E653" t="str">
            <v>MOZZO 4S+</v>
          </cell>
          <cell r="N653">
            <v>1804</v>
          </cell>
        </row>
        <row r="654">
          <cell r="A654" t="str">
            <v>185</v>
          </cell>
          <cell r="C654" t="str">
            <v>14C</v>
          </cell>
          <cell r="D654" t="str">
            <v>DURATURN</v>
          </cell>
          <cell r="E654" t="str">
            <v>TRAVIA VAN</v>
          </cell>
          <cell r="N654">
            <v>2422.5</v>
          </cell>
        </row>
        <row r="655">
          <cell r="A655" t="str">
            <v>195</v>
          </cell>
          <cell r="C655" t="str">
            <v>14C</v>
          </cell>
          <cell r="D655" t="str">
            <v>DURATURN</v>
          </cell>
          <cell r="E655" t="str">
            <v>TRAVIA VAN</v>
          </cell>
          <cell r="N655">
            <v>2536.5</v>
          </cell>
        </row>
        <row r="656">
          <cell r="A656" t="str">
            <v>195</v>
          </cell>
          <cell r="B656">
            <v>50</v>
          </cell>
          <cell r="C656">
            <v>15</v>
          </cell>
          <cell r="D656" t="str">
            <v>DURATURN</v>
          </cell>
          <cell r="E656" t="str">
            <v>MOZZO 4S+</v>
          </cell>
          <cell r="N656">
            <v>1630.2</v>
          </cell>
        </row>
        <row r="657">
          <cell r="A657" t="str">
            <v>185</v>
          </cell>
          <cell r="B657">
            <v>55</v>
          </cell>
          <cell r="C657">
            <v>15</v>
          </cell>
          <cell r="D657" t="str">
            <v>DURATURN</v>
          </cell>
          <cell r="E657" t="str">
            <v>MOZZO 4S</v>
          </cell>
          <cell r="N657">
            <v>1653</v>
          </cell>
        </row>
        <row r="658">
          <cell r="A658" t="str">
            <v>195</v>
          </cell>
          <cell r="B658">
            <v>55</v>
          </cell>
          <cell r="C658">
            <v>15</v>
          </cell>
          <cell r="D658" t="str">
            <v>DURATURN</v>
          </cell>
          <cell r="E658" t="str">
            <v>MOZZO 4S+</v>
          </cell>
          <cell r="N658">
            <v>1664.4</v>
          </cell>
        </row>
        <row r="659">
          <cell r="A659" t="str">
            <v>195</v>
          </cell>
          <cell r="B659">
            <v>55</v>
          </cell>
          <cell r="C659">
            <v>15</v>
          </cell>
          <cell r="D659" t="str">
            <v>DURATURN</v>
          </cell>
          <cell r="E659" t="str">
            <v>MOZZO ECO D3</v>
          </cell>
          <cell r="N659">
            <v>1606</v>
          </cell>
        </row>
        <row r="660">
          <cell r="A660" t="str">
            <v>185</v>
          </cell>
          <cell r="B660">
            <v>60</v>
          </cell>
          <cell r="C660">
            <v>15</v>
          </cell>
          <cell r="D660" t="str">
            <v>DURATURN</v>
          </cell>
          <cell r="E660" t="str">
            <v>MOZZO 4S</v>
          </cell>
          <cell r="N660">
            <v>1653</v>
          </cell>
        </row>
        <row r="661">
          <cell r="A661" t="str">
            <v>185</v>
          </cell>
          <cell r="B661">
            <v>60</v>
          </cell>
          <cell r="C661">
            <v>15</v>
          </cell>
          <cell r="D661" t="str">
            <v>DURATURN</v>
          </cell>
          <cell r="E661" t="str">
            <v>MOZZO ECO D3</v>
          </cell>
          <cell r="N661">
            <v>1595</v>
          </cell>
        </row>
        <row r="662">
          <cell r="A662" t="str">
            <v>195</v>
          </cell>
          <cell r="B662">
            <v>60</v>
          </cell>
          <cell r="C662">
            <v>15</v>
          </cell>
          <cell r="D662" t="str">
            <v>DURATURN</v>
          </cell>
          <cell r="E662" t="str">
            <v>MOZZO 4S+</v>
          </cell>
          <cell r="N662">
            <v>1705</v>
          </cell>
        </row>
        <row r="663">
          <cell r="A663" t="str">
            <v>175</v>
          </cell>
          <cell r="B663">
            <v>65</v>
          </cell>
          <cell r="C663">
            <v>15</v>
          </cell>
          <cell r="D663" t="str">
            <v>DURATURN</v>
          </cell>
          <cell r="E663" t="str">
            <v>MOZZO 4S</v>
          </cell>
          <cell r="N663">
            <v>1567.5</v>
          </cell>
        </row>
        <row r="664">
          <cell r="A664" t="str">
            <v>185</v>
          </cell>
          <cell r="B664">
            <v>65</v>
          </cell>
          <cell r="C664">
            <v>15</v>
          </cell>
          <cell r="D664" t="str">
            <v>DURATURN</v>
          </cell>
          <cell r="E664" t="str">
            <v>MOZZO 4S</v>
          </cell>
          <cell r="N664">
            <v>1710</v>
          </cell>
        </row>
        <row r="665">
          <cell r="A665" t="str">
            <v>185</v>
          </cell>
          <cell r="B665">
            <v>65</v>
          </cell>
          <cell r="C665">
            <v>15</v>
          </cell>
          <cell r="D665" t="str">
            <v>DURATURN</v>
          </cell>
          <cell r="E665" t="str">
            <v>MOZZO TOURING</v>
          </cell>
          <cell r="N665">
            <v>1650</v>
          </cell>
        </row>
        <row r="666">
          <cell r="A666" t="str">
            <v>195</v>
          </cell>
          <cell r="B666">
            <v>65</v>
          </cell>
          <cell r="C666">
            <v>15</v>
          </cell>
          <cell r="D666" t="str">
            <v>DURATURN</v>
          </cell>
          <cell r="E666" t="str">
            <v>MOZZO 4S</v>
          </cell>
          <cell r="N666">
            <v>1824</v>
          </cell>
        </row>
        <row r="667">
          <cell r="A667" t="str">
            <v>195</v>
          </cell>
          <cell r="B667">
            <v>65</v>
          </cell>
          <cell r="C667">
            <v>15</v>
          </cell>
          <cell r="D667" t="str">
            <v>DURATURN</v>
          </cell>
          <cell r="E667" t="str">
            <v>MOZZO ECO D3</v>
          </cell>
          <cell r="N667">
            <v>1760</v>
          </cell>
        </row>
        <row r="668">
          <cell r="A668" t="str">
            <v>205</v>
          </cell>
          <cell r="B668">
            <v>65</v>
          </cell>
          <cell r="C668">
            <v>15</v>
          </cell>
          <cell r="D668" t="str">
            <v>DURATURN</v>
          </cell>
          <cell r="E668" t="str">
            <v>MOZZO 4S</v>
          </cell>
          <cell r="N668">
            <v>2052</v>
          </cell>
        </row>
        <row r="669">
          <cell r="A669" t="str">
            <v>195</v>
          </cell>
          <cell r="B669">
            <v>70</v>
          </cell>
          <cell r="C669" t="str">
            <v>15C</v>
          </cell>
          <cell r="D669" t="str">
            <v>DURATURN</v>
          </cell>
          <cell r="E669" t="str">
            <v>TRAVIA VAN</v>
          </cell>
          <cell r="N669">
            <v>2541</v>
          </cell>
        </row>
        <row r="670">
          <cell r="A670" t="str">
            <v>205</v>
          </cell>
          <cell r="B670">
            <v>70</v>
          </cell>
          <cell r="C670" t="str">
            <v>15C</v>
          </cell>
          <cell r="D670" t="str">
            <v>DURATURN</v>
          </cell>
          <cell r="E670" t="str">
            <v>TRAVIA VAN</v>
          </cell>
          <cell r="N670">
            <v>2585</v>
          </cell>
        </row>
        <row r="671">
          <cell r="A671" t="str">
            <v>205</v>
          </cell>
          <cell r="B671">
            <v>70</v>
          </cell>
          <cell r="C671" t="str">
            <v>15C</v>
          </cell>
          <cell r="D671" t="str">
            <v>DURATURN</v>
          </cell>
          <cell r="E671" t="str">
            <v>TRAVIA A/T</v>
          </cell>
          <cell r="N671">
            <v>2585</v>
          </cell>
        </row>
        <row r="672">
          <cell r="A672" t="str">
            <v>215</v>
          </cell>
          <cell r="B672">
            <v>70</v>
          </cell>
          <cell r="C672" t="str">
            <v>15C</v>
          </cell>
          <cell r="D672" t="str">
            <v>DURATURN</v>
          </cell>
          <cell r="E672" t="str">
            <v>TRAVIA VAN</v>
          </cell>
          <cell r="N672">
            <v>3021</v>
          </cell>
        </row>
        <row r="673">
          <cell r="A673" t="str">
            <v>225</v>
          </cell>
          <cell r="B673">
            <v>70</v>
          </cell>
          <cell r="C673" t="str">
            <v>15C</v>
          </cell>
          <cell r="D673" t="str">
            <v>DURATURN</v>
          </cell>
          <cell r="E673" t="str">
            <v>TRAVIA VAN</v>
          </cell>
          <cell r="N673">
            <v>3078</v>
          </cell>
        </row>
        <row r="674">
          <cell r="A674" t="str">
            <v>195</v>
          </cell>
          <cell r="C674" t="str">
            <v>15C</v>
          </cell>
          <cell r="D674" t="str">
            <v>DURATURN</v>
          </cell>
          <cell r="E674" t="str">
            <v>TRAVIA VAN</v>
          </cell>
          <cell r="N674">
            <v>2644.8</v>
          </cell>
        </row>
        <row r="675">
          <cell r="A675" t="str">
            <v>235</v>
          </cell>
          <cell r="B675">
            <v>75</v>
          </cell>
          <cell r="C675">
            <v>15</v>
          </cell>
          <cell r="D675" t="str">
            <v>DURATURN</v>
          </cell>
          <cell r="E675" t="str">
            <v>TRAVIA A/T</v>
          </cell>
          <cell r="N675">
            <v>3391.5</v>
          </cell>
        </row>
        <row r="676">
          <cell r="A676" t="str">
            <v>235</v>
          </cell>
          <cell r="B676">
            <v>75</v>
          </cell>
          <cell r="C676">
            <v>15</v>
          </cell>
          <cell r="D676" t="str">
            <v>DURATURN</v>
          </cell>
          <cell r="E676" t="str">
            <v>TRAVIA HT</v>
          </cell>
          <cell r="N676">
            <v>3080</v>
          </cell>
        </row>
        <row r="677">
          <cell r="A677" t="str">
            <v>31</v>
          </cell>
          <cell r="B677">
            <v>10.5</v>
          </cell>
          <cell r="C677">
            <v>15</v>
          </cell>
          <cell r="D677" t="str">
            <v>DURATURN</v>
          </cell>
          <cell r="E677" t="str">
            <v>TRAVIA A/T</v>
          </cell>
          <cell r="N677">
            <v>4565</v>
          </cell>
        </row>
        <row r="678">
          <cell r="A678" t="str">
            <v>31</v>
          </cell>
          <cell r="B678">
            <v>10.5</v>
          </cell>
          <cell r="C678">
            <v>15</v>
          </cell>
          <cell r="D678" t="str">
            <v>DURATURN</v>
          </cell>
          <cell r="E678" t="str">
            <v>TRAVIS M/T</v>
          </cell>
          <cell r="N678">
            <v>4840</v>
          </cell>
        </row>
        <row r="679">
          <cell r="A679" t="str">
            <v>205</v>
          </cell>
          <cell r="B679">
            <v>45</v>
          </cell>
          <cell r="C679">
            <v>16</v>
          </cell>
          <cell r="D679" t="str">
            <v>DURATURN</v>
          </cell>
          <cell r="E679" t="str">
            <v>MOZZO 4S</v>
          </cell>
          <cell r="N679">
            <v>1771</v>
          </cell>
        </row>
        <row r="680">
          <cell r="A680" t="str">
            <v>195</v>
          </cell>
          <cell r="B680">
            <v>55</v>
          </cell>
          <cell r="C680">
            <v>16</v>
          </cell>
          <cell r="D680" t="str">
            <v>DURATURN</v>
          </cell>
          <cell r="E680" t="str">
            <v>MOZZO 4ST</v>
          </cell>
          <cell r="N680">
            <v>1938</v>
          </cell>
        </row>
        <row r="681">
          <cell r="A681" t="str">
            <v>205</v>
          </cell>
          <cell r="B681">
            <v>55</v>
          </cell>
          <cell r="C681">
            <v>16</v>
          </cell>
          <cell r="D681" t="str">
            <v>DURATURN</v>
          </cell>
          <cell r="E681" t="str">
            <v>MOZZO 4S</v>
          </cell>
          <cell r="N681">
            <v>2052</v>
          </cell>
        </row>
        <row r="682">
          <cell r="A682" t="str">
            <v>205</v>
          </cell>
          <cell r="B682">
            <v>55</v>
          </cell>
          <cell r="C682">
            <v>16</v>
          </cell>
          <cell r="D682" t="str">
            <v>DURATURN</v>
          </cell>
          <cell r="E682" t="str">
            <v>MOZZO ECO D3</v>
          </cell>
          <cell r="N682">
            <v>1980</v>
          </cell>
        </row>
        <row r="683">
          <cell r="A683" t="str">
            <v>195</v>
          </cell>
          <cell r="B683">
            <v>60</v>
          </cell>
          <cell r="C683">
            <v>16</v>
          </cell>
          <cell r="D683" t="str">
            <v>DURATURN</v>
          </cell>
          <cell r="E683" t="str">
            <v>MOZZO S360</v>
          </cell>
          <cell r="N683">
            <v>1991</v>
          </cell>
        </row>
        <row r="684">
          <cell r="A684" t="str">
            <v>205</v>
          </cell>
          <cell r="B684">
            <v>60</v>
          </cell>
          <cell r="C684">
            <v>16</v>
          </cell>
          <cell r="D684" t="str">
            <v>DURATURN</v>
          </cell>
          <cell r="E684" t="str">
            <v>MOZZO 4S</v>
          </cell>
          <cell r="N684">
            <v>2223</v>
          </cell>
        </row>
        <row r="685">
          <cell r="A685" t="str">
            <v>205</v>
          </cell>
          <cell r="B685">
            <v>60</v>
          </cell>
          <cell r="C685">
            <v>16</v>
          </cell>
          <cell r="D685" t="str">
            <v>DURATURN</v>
          </cell>
          <cell r="E685" t="str">
            <v>MOZZO ECO D3</v>
          </cell>
          <cell r="N685">
            <v>2145</v>
          </cell>
        </row>
        <row r="686">
          <cell r="A686" t="str">
            <v>215</v>
          </cell>
          <cell r="B686">
            <v>60</v>
          </cell>
          <cell r="C686">
            <v>16</v>
          </cell>
          <cell r="D686" t="str">
            <v>DURATURN</v>
          </cell>
          <cell r="E686" t="str">
            <v>MOZZO 4S+</v>
          </cell>
          <cell r="N686">
            <v>2282.5</v>
          </cell>
        </row>
        <row r="687">
          <cell r="A687" t="str">
            <v>215</v>
          </cell>
          <cell r="B687">
            <v>60</v>
          </cell>
          <cell r="C687">
            <v>16</v>
          </cell>
          <cell r="D687" t="str">
            <v>DURATURN</v>
          </cell>
          <cell r="E687" t="str">
            <v>MOZZO ECO D3 99V</v>
          </cell>
          <cell r="N687">
            <v>2282.5</v>
          </cell>
        </row>
        <row r="688">
          <cell r="A688" t="str">
            <v>205</v>
          </cell>
          <cell r="B688">
            <v>65</v>
          </cell>
          <cell r="C688">
            <v>16</v>
          </cell>
          <cell r="D688" t="str">
            <v>DURATURN</v>
          </cell>
          <cell r="E688" t="str">
            <v>MOZZO TOURING</v>
          </cell>
          <cell r="N688">
            <v>2354.1</v>
          </cell>
        </row>
        <row r="689">
          <cell r="A689" t="str">
            <v>215</v>
          </cell>
          <cell r="B689">
            <v>65</v>
          </cell>
          <cell r="C689">
            <v>16</v>
          </cell>
          <cell r="D689" t="str">
            <v>DURATURN</v>
          </cell>
          <cell r="E689" t="str">
            <v>MOZZO TOURING</v>
          </cell>
          <cell r="N689">
            <v>2593.5</v>
          </cell>
        </row>
        <row r="690">
          <cell r="A690" t="str">
            <v>215</v>
          </cell>
          <cell r="B690">
            <v>65</v>
          </cell>
          <cell r="C690">
            <v>16</v>
          </cell>
          <cell r="D690" t="str">
            <v>DURATURN</v>
          </cell>
          <cell r="E690" t="str">
            <v>MOZZO ECO D3</v>
          </cell>
          <cell r="N690">
            <v>2502.5</v>
          </cell>
        </row>
        <row r="691">
          <cell r="A691" t="str">
            <v>215</v>
          </cell>
          <cell r="B691">
            <v>70</v>
          </cell>
          <cell r="C691">
            <v>16</v>
          </cell>
          <cell r="D691" t="str">
            <v>DURATURN</v>
          </cell>
          <cell r="E691" t="str">
            <v>TRAVIA A/T</v>
          </cell>
          <cell r="N691">
            <v>3100.8</v>
          </cell>
        </row>
        <row r="692">
          <cell r="A692" t="str">
            <v>215</v>
          </cell>
          <cell r="B692">
            <v>70</v>
          </cell>
          <cell r="C692">
            <v>16</v>
          </cell>
          <cell r="D692" t="str">
            <v>DURATURN</v>
          </cell>
          <cell r="E692" t="str">
            <v>TRAVIA H/T</v>
          </cell>
          <cell r="N692">
            <v>2722.5</v>
          </cell>
        </row>
        <row r="693">
          <cell r="A693" t="str">
            <v>225</v>
          </cell>
          <cell r="B693">
            <v>70</v>
          </cell>
          <cell r="C693">
            <v>16</v>
          </cell>
          <cell r="D693" t="str">
            <v>DURATURN</v>
          </cell>
          <cell r="E693" t="str">
            <v>TRAVIA H/T</v>
          </cell>
          <cell r="N693">
            <v>2869.95</v>
          </cell>
        </row>
        <row r="694">
          <cell r="A694" t="str">
            <v>225</v>
          </cell>
          <cell r="B694">
            <v>70</v>
          </cell>
          <cell r="C694">
            <v>16</v>
          </cell>
          <cell r="D694" t="str">
            <v>DURATURN</v>
          </cell>
          <cell r="E694" t="str">
            <v>TRAVIA A/T</v>
          </cell>
          <cell r="N694">
            <v>3080</v>
          </cell>
        </row>
        <row r="695">
          <cell r="A695">
            <v>245</v>
          </cell>
          <cell r="B695">
            <v>70</v>
          </cell>
          <cell r="C695">
            <v>16</v>
          </cell>
          <cell r="D695" t="str">
            <v>DURATURN</v>
          </cell>
          <cell r="E695" t="str">
            <v>TRAVIA H/T</v>
          </cell>
          <cell r="N695">
            <v>3391.5</v>
          </cell>
        </row>
        <row r="696">
          <cell r="A696" t="str">
            <v>245</v>
          </cell>
          <cell r="B696">
            <v>70</v>
          </cell>
          <cell r="C696">
            <v>16</v>
          </cell>
          <cell r="D696" t="str">
            <v>DURATURN</v>
          </cell>
          <cell r="E696" t="str">
            <v>TRAVIA A/T</v>
          </cell>
          <cell r="N696">
            <v>3437.5</v>
          </cell>
        </row>
        <row r="697">
          <cell r="A697" t="str">
            <v>235</v>
          </cell>
          <cell r="B697">
            <v>65</v>
          </cell>
          <cell r="C697" t="str">
            <v>16C</v>
          </cell>
          <cell r="D697" t="str">
            <v>DURATURN</v>
          </cell>
          <cell r="E697" t="str">
            <v>TRAVIA VAN</v>
          </cell>
          <cell r="N697">
            <v>3190</v>
          </cell>
        </row>
        <row r="698">
          <cell r="A698" t="str">
            <v>265</v>
          </cell>
          <cell r="B698">
            <v>70</v>
          </cell>
          <cell r="C698">
            <v>16</v>
          </cell>
          <cell r="D698" t="str">
            <v>DURATURN</v>
          </cell>
          <cell r="E698" t="str">
            <v>TRAVIA A/T</v>
          </cell>
          <cell r="N698">
            <v>3850</v>
          </cell>
        </row>
        <row r="699">
          <cell r="A699" t="str">
            <v>265</v>
          </cell>
          <cell r="B699">
            <v>70</v>
          </cell>
          <cell r="C699">
            <v>16</v>
          </cell>
          <cell r="D699" t="str">
            <v>DURATURN</v>
          </cell>
          <cell r="E699" t="str">
            <v>TRAVIA H/T</v>
          </cell>
          <cell r="N699">
            <v>3740</v>
          </cell>
        </row>
        <row r="700">
          <cell r="A700" t="str">
            <v>205</v>
          </cell>
          <cell r="B700">
            <v>40</v>
          </cell>
          <cell r="C700">
            <v>17</v>
          </cell>
          <cell r="D700" t="str">
            <v>DURATURN</v>
          </cell>
          <cell r="E700" t="str">
            <v>MOZZO 4S+</v>
          </cell>
          <cell r="N700">
            <v>1881</v>
          </cell>
        </row>
        <row r="701">
          <cell r="A701" t="str">
            <v>205</v>
          </cell>
          <cell r="B701">
            <v>45</v>
          </cell>
          <cell r="C701">
            <v>17</v>
          </cell>
          <cell r="D701" t="str">
            <v>DURATURN</v>
          </cell>
          <cell r="E701" t="str">
            <v>MOZZO 4 SEASON</v>
          </cell>
          <cell r="N701">
            <v>2007.04</v>
          </cell>
        </row>
        <row r="702">
          <cell r="A702" t="str">
            <v>215</v>
          </cell>
          <cell r="B702">
            <v>45</v>
          </cell>
          <cell r="C702">
            <v>17</v>
          </cell>
          <cell r="D702" t="str">
            <v>DURATURN</v>
          </cell>
          <cell r="E702" t="str">
            <v>MOZZO SPORT</v>
          </cell>
          <cell r="N702">
            <v>2090</v>
          </cell>
        </row>
        <row r="703">
          <cell r="A703" t="str">
            <v>225</v>
          </cell>
          <cell r="B703">
            <v>45</v>
          </cell>
          <cell r="C703">
            <v>17</v>
          </cell>
          <cell r="D703" t="str">
            <v>DURATURN</v>
          </cell>
          <cell r="E703" t="str">
            <v>MOZZO SPORT</v>
          </cell>
          <cell r="N703">
            <v>2255</v>
          </cell>
        </row>
        <row r="704">
          <cell r="A704" t="str">
            <v>245</v>
          </cell>
          <cell r="B704">
            <v>45</v>
          </cell>
          <cell r="C704">
            <v>17</v>
          </cell>
          <cell r="D704" t="str">
            <v>DURATURN</v>
          </cell>
          <cell r="E704" t="str">
            <v>MOZZO SPORT 99W</v>
          </cell>
          <cell r="N704">
            <v>2887.5</v>
          </cell>
        </row>
        <row r="705">
          <cell r="A705" t="str">
            <v>205</v>
          </cell>
          <cell r="B705">
            <v>50</v>
          </cell>
          <cell r="C705">
            <v>17</v>
          </cell>
          <cell r="D705" t="str">
            <v>DURATURN</v>
          </cell>
          <cell r="E705" t="str">
            <v>MOZZO SPORT</v>
          </cell>
          <cell r="N705">
            <v>2280</v>
          </cell>
        </row>
        <row r="706">
          <cell r="A706" t="str">
            <v>215</v>
          </cell>
          <cell r="B706">
            <v>50</v>
          </cell>
          <cell r="C706">
            <v>17</v>
          </cell>
          <cell r="D706" t="str">
            <v>DURATURN</v>
          </cell>
          <cell r="E706" t="str">
            <v>MOZZO TOURING</v>
          </cell>
          <cell r="N706">
            <v>2451</v>
          </cell>
        </row>
        <row r="707">
          <cell r="A707" t="str">
            <v>205</v>
          </cell>
          <cell r="B707">
            <v>55</v>
          </cell>
          <cell r="C707">
            <v>17</v>
          </cell>
          <cell r="D707" t="str">
            <v>DURATURN</v>
          </cell>
          <cell r="E707" t="str">
            <v>MOZZO S360</v>
          </cell>
          <cell r="N707">
            <v>2479.5</v>
          </cell>
        </row>
        <row r="708">
          <cell r="A708" t="str">
            <v>215</v>
          </cell>
          <cell r="B708">
            <v>55</v>
          </cell>
          <cell r="C708">
            <v>17</v>
          </cell>
          <cell r="D708" t="str">
            <v>DURATURN</v>
          </cell>
          <cell r="E708" t="str">
            <v>MOZZO S360</v>
          </cell>
          <cell r="N708">
            <v>2384.1799999999998</v>
          </cell>
        </row>
        <row r="709">
          <cell r="A709" t="str">
            <v>225</v>
          </cell>
          <cell r="B709">
            <v>55</v>
          </cell>
          <cell r="C709">
            <v>17</v>
          </cell>
          <cell r="D709" t="str">
            <v>DURATURN</v>
          </cell>
          <cell r="E709" t="str">
            <v>MOZZO SPORT</v>
          </cell>
          <cell r="N709">
            <v>2585</v>
          </cell>
        </row>
        <row r="710">
          <cell r="A710" t="str">
            <v>215</v>
          </cell>
          <cell r="B710">
            <v>60</v>
          </cell>
          <cell r="C710">
            <v>17</v>
          </cell>
          <cell r="D710" t="str">
            <v>DURATURN</v>
          </cell>
          <cell r="E710" t="str">
            <v>MOZZO S360</v>
          </cell>
          <cell r="N710">
            <v>2707.5</v>
          </cell>
        </row>
        <row r="711">
          <cell r="A711" t="str">
            <v>215</v>
          </cell>
          <cell r="B711">
            <v>60</v>
          </cell>
          <cell r="C711">
            <v>17</v>
          </cell>
          <cell r="D711" t="str">
            <v>DURATURN</v>
          </cell>
          <cell r="E711" t="str">
            <v>TRAVIA H/T</v>
          </cell>
          <cell r="N711">
            <v>2481.88</v>
          </cell>
        </row>
        <row r="712">
          <cell r="A712" t="str">
            <v>225</v>
          </cell>
          <cell r="B712">
            <v>60</v>
          </cell>
          <cell r="C712">
            <v>17</v>
          </cell>
          <cell r="D712" t="str">
            <v>DURATURN</v>
          </cell>
          <cell r="E712" t="str">
            <v>MOZZO STX</v>
          </cell>
          <cell r="N712">
            <v>2838.6</v>
          </cell>
        </row>
        <row r="713">
          <cell r="A713" t="str">
            <v>225</v>
          </cell>
          <cell r="B713">
            <v>65</v>
          </cell>
          <cell r="C713">
            <v>17</v>
          </cell>
          <cell r="D713" t="str">
            <v>DURATURN</v>
          </cell>
          <cell r="E713" t="str">
            <v>MOZZO STX</v>
          </cell>
          <cell r="N713">
            <v>2935.5</v>
          </cell>
        </row>
        <row r="714">
          <cell r="A714" t="str">
            <v>235</v>
          </cell>
          <cell r="B714">
            <v>65</v>
          </cell>
          <cell r="C714">
            <v>17</v>
          </cell>
          <cell r="D714" t="str">
            <v>DURATURN</v>
          </cell>
          <cell r="E714" t="str">
            <v>TRAVIA A/T OWL</v>
          </cell>
          <cell r="N714">
            <v>3355</v>
          </cell>
        </row>
        <row r="715">
          <cell r="A715" t="str">
            <v>265</v>
          </cell>
          <cell r="B715">
            <v>65</v>
          </cell>
          <cell r="C715">
            <v>17</v>
          </cell>
          <cell r="D715" t="str">
            <v>DURATURN</v>
          </cell>
          <cell r="E715" t="str">
            <v>TRAVIA A/T</v>
          </cell>
          <cell r="N715">
            <v>3877.5</v>
          </cell>
        </row>
        <row r="716">
          <cell r="A716" t="str">
            <v>265</v>
          </cell>
          <cell r="B716">
            <v>65</v>
          </cell>
          <cell r="C716">
            <v>17</v>
          </cell>
          <cell r="D716" t="str">
            <v>DURATURN</v>
          </cell>
          <cell r="E716" t="str">
            <v>TRAVIA H/T</v>
          </cell>
          <cell r="N716">
            <v>3767</v>
          </cell>
        </row>
        <row r="717">
          <cell r="A717" t="str">
            <v>265</v>
          </cell>
          <cell r="B717">
            <v>70</v>
          </cell>
          <cell r="C717">
            <v>17</v>
          </cell>
          <cell r="D717" t="str">
            <v>DURATURN</v>
          </cell>
          <cell r="E717" t="str">
            <v>TRAVIA M/T</v>
          </cell>
          <cell r="N717">
            <v>5445</v>
          </cell>
        </row>
        <row r="718">
          <cell r="A718" t="str">
            <v>225</v>
          </cell>
          <cell r="B718">
            <v>45</v>
          </cell>
          <cell r="C718">
            <v>18</v>
          </cell>
          <cell r="D718" t="str">
            <v>DURATURN</v>
          </cell>
          <cell r="E718" t="str">
            <v>MOZZO SPORT</v>
          </cell>
          <cell r="N718">
            <v>2679</v>
          </cell>
        </row>
        <row r="719">
          <cell r="A719" t="str">
            <v>245</v>
          </cell>
          <cell r="B719">
            <v>45</v>
          </cell>
          <cell r="C719">
            <v>18</v>
          </cell>
          <cell r="D719" t="str">
            <v>DURATURN</v>
          </cell>
          <cell r="E719" t="str">
            <v>MOZZO SPORT</v>
          </cell>
          <cell r="N719">
            <v>3025</v>
          </cell>
        </row>
        <row r="720">
          <cell r="A720" t="str">
            <v>255</v>
          </cell>
          <cell r="B720">
            <v>45</v>
          </cell>
          <cell r="C720">
            <v>18</v>
          </cell>
          <cell r="D720" t="str">
            <v>DURATURN</v>
          </cell>
          <cell r="E720" t="str">
            <v>MOZZO SPORT 103W</v>
          </cell>
          <cell r="N720">
            <v>3217.5</v>
          </cell>
        </row>
        <row r="721">
          <cell r="A721" t="str">
            <v>225</v>
          </cell>
          <cell r="B721">
            <v>50</v>
          </cell>
          <cell r="C721">
            <v>18</v>
          </cell>
          <cell r="D721" t="str">
            <v>DURATURN</v>
          </cell>
          <cell r="E721" t="str">
            <v>MOZZO SPORT</v>
          </cell>
          <cell r="N721">
            <v>2926</v>
          </cell>
        </row>
        <row r="722">
          <cell r="A722" t="str">
            <v>235</v>
          </cell>
          <cell r="B722">
            <v>50</v>
          </cell>
          <cell r="C722">
            <v>18</v>
          </cell>
          <cell r="D722" t="str">
            <v>DURATURN</v>
          </cell>
          <cell r="E722" t="str">
            <v>MOZZO SPORT</v>
          </cell>
          <cell r="N722">
            <v>3306</v>
          </cell>
        </row>
        <row r="723">
          <cell r="A723" t="str">
            <v>215</v>
          </cell>
          <cell r="B723">
            <v>55</v>
          </cell>
          <cell r="C723">
            <v>18</v>
          </cell>
          <cell r="D723" t="str">
            <v>DURATURN</v>
          </cell>
          <cell r="E723" t="str">
            <v>TRAVIA HT</v>
          </cell>
          <cell r="N723">
            <v>2651</v>
          </cell>
        </row>
        <row r="724">
          <cell r="A724" t="str">
            <v>225</v>
          </cell>
          <cell r="B724">
            <v>55</v>
          </cell>
          <cell r="C724">
            <v>18</v>
          </cell>
          <cell r="D724" t="str">
            <v>DURATURN</v>
          </cell>
          <cell r="E724" t="str">
            <v>MOZZO S360</v>
          </cell>
          <cell r="N724">
            <v>2750</v>
          </cell>
        </row>
        <row r="725">
          <cell r="A725" t="str">
            <v>235</v>
          </cell>
          <cell r="B725">
            <v>55</v>
          </cell>
          <cell r="C725">
            <v>18</v>
          </cell>
          <cell r="D725" t="str">
            <v>DURATURN</v>
          </cell>
          <cell r="E725" t="str">
            <v>MOZZO TOURING</v>
          </cell>
          <cell r="N725">
            <v>3025</v>
          </cell>
        </row>
        <row r="726">
          <cell r="A726" t="str">
            <v>265</v>
          </cell>
          <cell r="B726">
            <v>60</v>
          </cell>
          <cell r="C726">
            <v>18</v>
          </cell>
          <cell r="D726" t="str">
            <v>DURATURN</v>
          </cell>
          <cell r="E726" t="str">
            <v>TRAVIA A/T</v>
          </cell>
          <cell r="N726">
            <v>4275</v>
          </cell>
        </row>
        <row r="727">
          <cell r="A727" t="str">
            <v>265</v>
          </cell>
          <cell r="B727">
            <v>60</v>
          </cell>
          <cell r="C727">
            <v>18</v>
          </cell>
          <cell r="D727" t="str">
            <v>DURATURN</v>
          </cell>
          <cell r="E727" t="str">
            <v>TRAVIA H/T</v>
          </cell>
          <cell r="N727">
            <v>3520</v>
          </cell>
        </row>
        <row r="728">
          <cell r="A728" t="str">
            <v>225</v>
          </cell>
          <cell r="B728">
            <v>40</v>
          </cell>
          <cell r="C728">
            <v>19</v>
          </cell>
          <cell r="D728" t="str">
            <v>DURATURN</v>
          </cell>
          <cell r="E728" t="str">
            <v>MOZZO SPORT</v>
          </cell>
          <cell r="N728">
            <v>2679</v>
          </cell>
        </row>
        <row r="729">
          <cell r="A729" t="str">
            <v>245</v>
          </cell>
          <cell r="B729">
            <v>40</v>
          </cell>
          <cell r="C729">
            <v>19</v>
          </cell>
          <cell r="D729" t="str">
            <v>DURATURN</v>
          </cell>
          <cell r="E729" t="str">
            <v>MOZZO SPORT</v>
          </cell>
          <cell r="N729">
            <v>3047</v>
          </cell>
        </row>
        <row r="730">
          <cell r="A730" t="str">
            <v>255</v>
          </cell>
          <cell r="B730">
            <v>40</v>
          </cell>
          <cell r="C730">
            <v>19</v>
          </cell>
          <cell r="D730" t="str">
            <v>DURATURN</v>
          </cell>
          <cell r="E730" t="str">
            <v>MOZZO SPORT</v>
          </cell>
          <cell r="N730">
            <v>3245</v>
          </cell>
        </row>
        <row r="731">
          <cell r="A731" t="str">
            <v>255</v>
          </cell>
          <cell r="B731">
            <v>45</v>
          </cell>
          <cell r="C731">
            <v>19</v>
          </cell>
          <cell r="D731" t="str">
            <v>DURATURN</v>
          </cell>
          <cell r="E731" t="str">
            <v>MOZZO SPORT</v>
          </cell>
          <cell r="N731">
            <v>3355</v>
          </cell>
        </row>
        <row r="732">
          <cell r="A732" t="str">
            <v>235</v>
          </cell>
          <cell r="B732">
            <v>50</v>
          </cell>
          <cell r="C732">
            <v>19</v>
          </cell>
          <cell r="D732" t="str">
            <v>DURATURN</v>
          </cell>
          <cell r="E732" t="str">
            <v>XL MOZZO SPORT</v>
          </cell>
          <cell r="N732">
            <v>3300</v>
          </cell>
        </row>
        <row r="733">
          <cell r="A733" t="str">
            <v>255</v>
          </cell>
          <cell r="B733">
            <v>55</v>
          </cell>
          <cell r="C733">
            <v>19</v>
          </cell>
          <cell r="D733" t="str">
            <v>DURATURN</v>
          </cell>
          <cell r="E733" t="str">
            <v>XL MOZZO SPORT</v>
          </cell>
          <cell r="N733">
            <v>3822.5</v>
          </cell>
        </row>
        <row r="734">
          <cell r="A734" t="str">
            <v>275</v>
          </cell>
          <cell r="B734">
            <v>30</v>
          </cell>
          <cell r="C734">
            <v>20</v>
          </cell>
          <cell r="D734" t="str">
            <v>DURATURN</v>
          </cell>
          <cell r="E734" t="str">
            <v>MOZZO SPORT 97Y</v>
          </cell>
          <cell r="N734">
            <v>2562.5</v>
          </cell>
        </row>
        <row r="735">
          <cell r="A735" t="str">
            <v>225</v>
          </cell>
          <cell r="B735">
            <v>35</v>
          </cell>
          <cell r="C735">
            <v>20</v>
          </cell>
          <cell r="D735" t="str">
            <v>DURATURN</v>
          </cell>
          <cell r="E735" t="str">
            <v>MOZZO SPORT 93Y</v>
          </cell>
          <cell r="N735">
            <v>2736</v>
          </cell>
        </row>
        <row r="736">
          <cell r="A736" t="str">
            <v>245</v>
          </cell>
          <cell r="B736">
            <v>50</v>
          </cell>
          <cell r="C736">
            <v>20</v>
          </cell>
          <cell r="D736" t="str">
            <v>DURATURN</v>
          </cell>
          <cell r="E736" t="str">
            <v>MOZZO SPORT S2</v>
          </cell>
          <cell r="N736">
            <v>3630</v>
          </cell>
        </row>
        <row r="737">
          <cell r="A737" t="str">
            <v>265</v>
          </cell>
          <cell r="B737">
            <v>50</v>
          </cell>
          <cell r="C737">
            <v>20</v>
          </cell>
          <cell r="D737" t="str">
            <v>DURATURN</v>
          </cell>
          <cell r="E737" t="str">
            <v>MOZZO STX</v>
          </cell>
          <cell r="N737">
            <v>3876</v>
          </cell>
        </row>
        <row r="738">
          <cell r="A738" t="str">
            <v>265</v>
          </cell>
          <cell r="B738">
            <v>50</v>
          </cell>
          <cell r="C738">
            <v>20</v>
          </cell>
          <cell r="D738" t="str">
            <v>DURATURN</v>
          </cell>
          <cell r="E738" t="str">
            <v>TRAVIA A/T 2</v>
          </cell>
          <cell r="N738">
            <v>4161</v>
          </cell>
        </row>
        <row r="739">
          <cell r="A739" t="str">
            <v>255</v>
          </cell>
          <cell r="B739">
            <v>50</v>
          </cell>
          <cell r="C739">
            <v>20</v>
          </cell>
          <cell r="D739" t="str">
            <v>DURATURN</v>
          </cell>
          <cell r="E739" t="str">
            <v>MOZZO SPORT</v>
          </cell>
          <cell r="N739">
            <v>3819</v>
          </cell>
        </row>
        <row r="740">
          <cell r="A740" t="str">
            <v>275</v>
          </cell>
          <cell r="B740">
            <v>55</v>
          </cell>
          <cell r="C740">
            <v>20</v>
          </cell>
          <cell r="D740" t="str">
            <v>DURATURN</v>
          </cell>
          <cell r="E740" t="str">
            <v>MOZZO STX</v>
          </cell>
          <cell r="N740">
            <v>4235</v>
          </cell>
        </row>
        <row r="741">
          <cell r="A741" t="str">
            <v>285</v>
          </cell>
          <cell r="B741">
            <v>50</v>
          </cell>
          <cell r="C741">
            <v>20</v>
          </cell>
          <cell r="D741" t="str">
            <v>DURATURN</v>
          </cell>
          <cell r="E741" t="str">
            <v>MOZZO STX</v>
          </cell>
          <cell r="N741">
            <v>4262.5</v>
          </cell>
        </row>
        <row r="742">
          <cell r="A742" t="str">
            <v>285</v>
          </cell>
          <cell r="B742">
            <v>45</v>
          </cell>
          <cell r="C742">
            <v>22</v>
          </cell>
          <cell r="D742" t="str">
            <v>DURATURN</v>
          </cell>
          <cell r="E742" t="str">
            <v>MOZZO STX</v>
          </cell>
          <cell r="N742">
            <v>4675</v>
          </cell>
        </row>
        <row r="743">
          <cell r="A743" t="str">
            <v>305</v>
          </cell>
          <cell r="B743">
            <v>45</v>
          </cell>
          <cell r="C743">
            <v>22</v>
          </cell>
          <cell r="D743" t="str">
            <v>DURATURN</v>
          </cell>
          <cell r="E743" t="str">
            <v>MOZZO STX HT</v>
          </cell>
          <cell r="N743">
            <v>5035.95</v>
          </cell>
        </row>
        <row r="744">
          <cell r="A744" t="str">
            <v>235</v>
          </cell>
          <cell r="B744">
            <v>65</v>
          </cell>
          <cell r="C744" t="str">
            <v>16C</v>
          </cell>
          <cell r="D744" t="str">
            <v>FALKEN</v>
          </cell>
          <cell r="E744" t="str">
            <v>LINAM VAN01</v>
          </cell>
          <cell r="N744">
            <v>8100</v>
          </cell>
        </row>
        <row r="745">
          <cell r="A745" t="str">
            <v>275</v>
          </cell>
          <cell r="B745">
            <v>70</v>
          </cell>
          <cell r="C745">
            <v>17</v>
          </cell>
          <cell r="D745" t="str">
            <v>FALKEN</v>
          </cell>
          <cell r="E745" t="str">
            <v>AT4W</v>
          </cell>
          <cell r="N745">
            <v>14400</v>
          </cell>
        </row>
        <row r="746">
          <cell r="A746" t="str">
            <v>235</v>
          </cell>
          <cell r="B746">
            <v>50</v>
          </cell>
          <cell r="C746">
            <v>18</v>
          </cell>
          <cell r="D746" t="str">
            <v>FALKEN</v>
          </cell>
          <cell r="E746" t="str">
            <v>ZE310</v>
          </cell>
          <cell r="N746">
            <v>8200</v>
          </cell>
        </row>
        <row r="747">
          <cell r="A747">
            <v>205</v>
          </cell>
          <cell r="B747">
            <v>70</v>
          </cell>
          <cell r="C747">
            <v>15</v>
          </cell>
          <cell r="D747" t="str">
            <v>FEDERAL</v>
          </cell>
          <cell r="E747" t="str">
            <v>COURAGIA A/T</v>
          </cell>
          <cell r="N747">
            <v>3593.98</v>
          </cell>
        </row>
        <row r="748">
          <cell r="A748">
            <v>205</v>
          </cell>
          <cell r="B748">
            <v>70</v>
          </cell>
          <cell r="C748">
            <v>15</v>
          </cell>
          <cell r="D748" t="str">
            <v>FEDERAL</v>
          </cell>
          <cell r="E748" t="str">
            <v xml:space="preserve">ECOVAN </v>
          </cell>
          <cell r="N748">
            <v>3338.77</v>
          </cell>
        </row>
        <row r="749">
          <cell r="A749" t="str">
            <v>205</v>
          </cell>
          <cell r="B749">
            <v>80</v>
          </cell>
          <cell r="C749">
            <v>16</v>
          </cell>
          <cell r="D749" t="str">
            <v>FEDERAL</v>
          </cell>
          <cell r="E749" t="str">
            <v>COURAGIA AT</v>
          </cell>
          <cell r="N749">
            <v>4891</v>
          </cell>
        </row>
        <row r="750">
          <cell r="A750" t="str">
            <v>265</v>
          </cell>
          <cell r="B750">
            <v>70</v>
          </cell>
          <cell r="C750">
            <v>17</v>
          </cell>
          <cell r="D750" t="str">
            <v>FEDERAL</v>
          </cell>
          <cell r="E750" t="str">
            <v>COURAGIA XUV</v>
          </cell>
          <cell r="N750">
            <v>6076.62</v>
          </cell>
        </row>
        <row r="751">
          <cell r="A751" t="str">
            <v>275</v>
          </cell>
          <cell r="B751">
            <v>55</v>
          </cell>
          <cell r="C751">
            <v>20</v>
          </cell>
          <cell r="D751" t="str">
            <v>FEDERAL</v>
          </cell>
          <cell r="E751" t="str">
            <v>COURAGIA F/X</v>
          </cell>
          <cell r="N751">
            <v>6844.84</v>
          </cell>
        </row>
        <row r="752">
          <cell r="A752">
            <v>175</v>
          </cell>
          <cell r="B752">
            <v>65</v>
          </cell>
          <cell r="C752">
            <v>14</v>
          </cell>
          <cell r="D752" t="str">
            <v>FIRESTONE(THAI)</v>
          </cell>
          <cell r="E752" t="str">
            <v>FS100</v>
          </cell>
          <cell r="N752">
            <v>2160</v>
          </cell>
        </row>
        <row r="753">
          <cell r="A753">
            <v>185</v>
          </cell>
          <cell r="C753" t="str">
            <v>14C</v>
          </cell>
          <cell r="D753" t="str">
            <v>FIRESTONE(THAI)</v>
          </cell>
          <cell r="E753" t="str">
            <v>8PR CV4000</v>
          </cell>
          <cell r="N753">
            <v>3440</v>
          </cell>
        </row>
        <row r="754">
          <cell r="A754">
            <v>185</v>
          </cell>
          <cell r="B754">
            <v>65</v>
          </cell>
          <cell r="C754">
            <v>14</v>
          </cell>
          <cell r="D754" t="str">
            <v>FIRESTONE(THAI)</v>
          </cell>
          <cell r="E754" t="str">
            <v>FS100</v>
          </cell>
          <cell r="N754">
            <v>2945.62</v>
          </cell>
        </row>
        <row r="755">
          <cell r="A755">
            <v>185</v>
          </cell>
          <cell r="B755">
            <v>70</v>
          </cell>
          <cell r="C755">
            <v>14</v>
          </cell>
          <cell r="D755" t="str">
            <v>FIRESTONE(THAI)</v>
          </cell>
          <cell r="E755" t="str">
            <v>FS100</v>
          </cell>
          <cell r="N755">
            <v>2763.96</v>
          </cell>
        </row>
        <row r="756">
          <cell r="A756">
            <v>185</v>
          </cell>
          <cell r="B756">
            <v>60</v>
          </cell>
          <cell r="C756">
            <v>15</v>
          </cell>
          <cell r="D756" t="str">
            <v>FIRESTONE(THAI)</v>
          </cell>
          <cell r="E756" t="str">
            <v>FS100</v>
          </cell>
          <cell r="N756">
            <v>2637</v>
          </cell>
        </row>
        <row r="757">
          <cell r="A757">
            <v>195</v>
          </cell>
          <cell r="C757" t="str">
            <v>15C</v>
          </cell>
          <cell r="D757" t="str">
            <v>FIRESTONE(THAI)</v>
          </cell>
          <cell r="E757" t="str">
            <v>8PR CV4000</v>
          </cell>
          <cell r="N757">
            <v>3500</v>
          </cell>
        </row>
        <row r="758">
          <cell r="A758">
            <v>175</v>
          </cell>
          <cell r="B758">
            <v>65</v>
          </cell>
          <cell r="C758">
            <v>15</v>
          </cell>
          <cell r="D758" t="str">
            <v>FIRESTONE(THAI)</v>
          </cell>
          <cell r="E758" t="str">
            <v>FS100</v>
          </cell>
          <cell r="N758">
            <v>2303</v>
          </cell>
        </row>
        <row r="759">
          <cell r="A759">
            <v>195</v>
          </cell>
          <cell r="B759">
            <v>65</v>
          </cell>
          <cell r="C759">
            <v>15</v>
          </cell>
          <cell r="D759" t="str">
            <v>FIRESTONE(THAI)</v>
          </cell>
          <cell r="E759" t="str">
            <v>FS100</v>
          </cell>
          <cell r="N759">
            <v>3349.86</v>
          </cell>
        </row>
        <row r="760">
          <cell r="A760">
            <v>205</v>
          </cell>
          <cell r="B760">
            <v>65</v>
          </cell>
          <cell r="C760">
            <v>15</v>
          </cell>
          <cell r="D760" t="str">
            <v>FIRESTONE(THAI)</v>
          </cell>
          <cell r="E760" t="str">
            <v>FS100</v>
          </cell>
          <cell r="N760">
            <v>3006</v>
          </cell>
        </row>
        <row r="761">
          <cell r="A761">
            <v>215</v>
          </cell>
          <cell r="B761">
            <v>70</v>
          </cell>
          <cell r="C761" t="str">
            <v>16C</v>
          </cell>
          <cell r="D761" t="str">
            <v>FIRESTONE(THAI)</v>
          </cell>
          <cell r="E761" t="str">
            <v>CV4000</v>
          </cell>
          <cell r="N761">
            <v>5120</v>
          </cell>
        </row>
        <row r="762">
          <cell r="A762">
            <v>185</v>
          </cell>
          <cell r="B762">
            <v>55</v>
          </cell>
          <cell r="C762">
            <v>16</v>
          </cell>
          <cell r="D762" t="str">
            <v>FIRESTONE(THAI)</v>
          </cell>
          <cell r="E762" t="str">
            <v>FS100</v>
          </cell>
          <cell r="N762">
            <v>2940</v>
          </cell>
        </row>
        <row r="763">
          <cell r="A763">
            <v>265</v>
          </cell>
          <cell r="B763">
            <v>60</v>
          </cell>
          <cell r="C763">
            <v>18</v>
          </cell>
          <cell r="D763" t="str">
            <v>FIRESTONE(INDO)</v>
          </cell>
          <cell r="E763" t="str">
            <v>DESTINATION LE02</v>
          </cell>
          <cell r="N763">
            <v>7860.96</v>
          </cell>
        </row>
        <row r="764">
          <cell r="A764" t="str">
            <v>165</v>
          </cell>
          <cell r="B764">
            <v>65</v>
          </cell>
          <cell r="C764">
            <v>13</v>
          </cell>
          <cell r="D764" t="str">
            <v>FORCEUM(INDO)</v>
          </cell>
          <cell r="E764" t="str">
            <v>TRIDEKA</v>
          </cell>
          <cell r="N764">
            <v>1730</v>
          </cell>
        </row>
        <row r="765">
          <cell r="A765" t="str">
            <v>165</v>
          </cell>
          <cell r="B765">
            <v>80</v>
          </cell>
          <cell r="C765">
            <v>13</v>
          </cell>
          <cell r="D765" t="str">
            <v>FORCEUM (INDO)</v>
          </cell>
          <cell r="E765" t="str">
            <v>ECOSA</v>
          </cell>
          <cell r="N765">
            <v>1610</v>
          </cell>
        </row>
        <row r="766">
          <cell r="A766" t="str">
            <v>27</v>
          </cell>
          <cell r="B766">
            <v>8.5</v>
          </cell>
          <cell r="C766">
            <v>14</v>
          </cell>
          <cell r="D766" t="str">
            <v>FORCEUM (INDO)</v>
          </cell>
          <cell r="E766" t="str">
            <v>MT PLUS</v>
          </cell>
          <cell r="N766">
            <v>4130</v>
          </cell>
        </row>
        <row r="767">
          <cell r="A767" t="str">
            <v>175</v>
          </cell>
          <cell r="B767">
            <v>65</v>
          </cell>
          <cell r="C767">
            <v>14</v>
          </cell>
          <cell r="D767" t="str">
            <v>FORCEUM (INDO)</v>
          </cell>
          <cell r="E767" t="str">
            <v>ECOSA</v>
          </cell>
          <cell r="N767">
            <v>1970</v>
          </cell>
        </row>
        <row r="768">
          <cell r="A768" t="str">
            <v>185</v>
          </cell>
          <cell r="B768">
            <v>65</v>
          </cell>
          <cell r="C768">
            <v>14</v>
          </cell>
          <cell r="D768" t="str">
            <v>FORCEUM (INDO)</v>
          </cell>
          <cell r="E768" t="str">
            <v>TRIDEKA</v>
          </cell>
          <cell r="N768">
            <v>1980</v>
          </cell>
        </row>
        <row r="769">
          <cell r="A769" t="str">
            <v>175</v>
          </cell>
          <cell r="B769">
            <v>70</v>
          </cell>
          <cell r="C769">
            <v>14</v>
          </cell>
          <cell r="D769" t="str">
            <v>FORCEUM (INDO)</v>
          </cell>
          <cell r="E769" t="str">
            <v>ECOSA</v>
          </cell>
          <cell r="N769">
            <v>1880</v>
          </cell>
        </row>
        <row r="770">
          <cell r="A770" t="str">
            <v>185</v>
          </cell>
          <cell r="B770">
            <v>70</v>
          </cell>
          <cell r="C770">
            <v>14</v>
          </cell>
          <cell r="D770" t="str">
            <v>FORCEUM (INDO)</v>
          </cell>
          <cell r="E770" t="str">
            <v>ECOSA</v>
          </cell>
          <cell r="N770">
            <v>2140</v>
          </cell>
        </row>
        <row r="771">
          <cell r="A771" t="str">
            <v>185</v>
          </cell>
          <cell r="C771" t="str">
            <v>14C</v>
          </cell>
          <cell r="D771" t="str">
            <v>FORCEUM (INDO)</v>
          </cell>
          <cell r="E771" t="str">
            <v>ULTRA2</v>
          </cell>
          <cell r="N771">
            <v>2480</v>
          </cell>
        </row>
        <row r="772">
          <cell r="A772" t="str">
            <v>195</v>
          </cell>
          <cell r="C772" t="str">
            <v>14C</v>
          </cell>
          <cell r="D772" t="str">
            <v>FORCEUM (INDO)</v>
          </cell>
          <cell r="E772" t="str">
            <v>8PR DIGON LT</v>
          </cell>
          <cell r="N772">
            <v>2850</v>
          </cell>
        </row>
        <row r="773">
          <cell r="A773" t="str">
            <v>31</v>
          </cell>
          <cell r="B773">
            <v>10.5</v>
          </cell>
          <cell r="C773">
            <v>15</v>
          </cell>
          <cell r="D773" t="str">
            <v>FORCEUM (INDO)</v>
          </cell>
          <cell r="E773" t="str">
            <v>ATZ-R</v>
          </cell>
          <cell r="N773">
            <v>6200</v>
          </cell>
        </row>
        <row r="774">
          <cell r="A774" t="str">
            <v>195</v>
          </cell>
          <cell r="B774">
            <v>50</v>
          </cell>
          <cell r="C774">
            <v>15</v>
          </cell>
          <cell r="D774" t="str">
            <v>FORCEUM (INDO)</v>
          </cell>
          <cell r="E774" t="str">
            <v>HENA</v>
          </cell>
          <cell r="N774">
            <v>1800</v>
          </cell>
        </row>
        <row r="775">
          <cell r="A775" t="str">
            <v>185</v>
          </cell>
          <cell r="B775">
            <v>55</v>
          </cell>
          <cell r="C775">
            <v>15</v>
          </cell>
          <cell r="D775" t="str">
            <v>FORCEUM (INDO)</v>
          </cell>
          <cell r="E775" t="str">
            <v>D800</v>
          </cell>
          <cell r="N775">
            <v>2305</v>
          </cell>
        </row>
        <row r="776">
          <cell r="A776" t="str">
            <v>195</v>
          </cell>
          <cell r="B776">
            <v>55</v>
          </cell>
          <cell r="C776">
            <v>15</v>
          </cell>
          <cell r="D776" t="str">
            <v>FORCEUM (INDO)</v>
          </cell>
          <cell r="E776" t="str">
            <v>XL ECOSA</v>
          </cell>
          <cell r="N776">
            <v>2210</v>
          </cell>
        </row>
        <row r="777">
          <cell r="A777" t="str">
            <v>185</v>
          </cell>
          <cell r="B777">
            <v>60</v>
          </cell>
          <cell r="C777">
            <v>15</v>
          </cell>
          <cell r="D777" t="str">
            <v>FORCEUM (INDO)</v>
          </cell>
          <cell r="E777" t="str">
            <v>HENA</v>
          </cell>
          <cell r="N777">
            <v>2120</v>
          </cell>
        </row>
        <row r="778">
          <cell r="A778" t="str">
            <v>185</v>
          </cell>
          <cell r="B778">
            <v>65</v>
          </cell>
          <cell r="C778">
            <v>15</v>
          </cell>
          <cell r="D778" t="str">
            <v>FORCEUM (INDO)</v>
          </cell>
          <cell r="E778" t="str">
            <v>ECOSA</v>
          </cell>
          <cell r="N778">
            <v>2300</v>
          </cell>
        </row>
        <row r="779">
          <cell r="A779" t="str">
            <v>195</v>
          </cell>
          <cell r="B779">
            <v>60</v>
          </cell>
          <cell r="C779">
            <v>15</v>
          </cell>
          <cell r="D779" t="str">
            <v>FORCEUM (INDO)</v>
          </cell>
          <cell r="E779" t="str">
            <v>D600</v>
          </cell>
          <cell r="N779">
            <v>2480</v>
          </cell>
        </row>
        <row r="780">
          <cell r="A780" t="str">
            <v>195</v>
          </cell>
          <cell r="B780">
            <v>65</v>
          </cell>
          <cell r="C780">
            <v>15</v>
          </cell>
          <cell r="D780" t="str">
            <v>FORCEUM (INDO)</v>
          </cell>
          <cell r="E780" t="str">
            <v>ECOSA</v>
          </cell>
          <cell r="N780">
            <v>2500</v>
          </cell>
        </row>
        <row r="781">
          <cell r="A781" t="str">
            <v>205</v>
          </cell>
          <cell r="B781">
            <v>65</v>
          </cell>
          <cell r="C781">
            <v>15</v>
          </cell>
          <cell r="D781" t="str">
            <v>FORCEUM (INDO)</v>
          </cell>
          <cell r="E781" t="str">
            <v>ECOSA</v>
          </cell>
          <cell r="N781">
            <v>2680</v>
          </cell>
        </row>
        <row r="782">
          <cell r="A782" t="str">
            <v>205</v>
          </cell>
          <cell r="B782">
            <v>70</v>
          </cell>
          <cell r="C782">
            <v>15</v>
          </cell>
          <cell r="D782" t="str">
            <v>FORCEUM (INDO)</v>
          </cell>
          <cell r="E782" t="str">
            <v xml:space="preserve">EXP 70 </v>
          </cell>
          <cell r="N782">
            <v>3190</v>
          </cell>
        </row>
        <row r="783">
          <cell r="A783" t="str">
            <v>235</v>
          </cell>
          <cell r="B783">
            <v>70</v>
          </cell>
          <cell r="C783">
            <v>15</v>
          </cell>
          <cell r="D783" t="str">
            <v>FORCEUM (INDO)</v>
          </cell>
          <cell r="E783" t="str">
            <v>103S ATZ</v>
          </cell>
          <cell r="N783">
            <v>4210</v>
          </cell>
        </row>
        <row r="784">
          <cell r="A784" t="str">
            <v>235</v>
          </cell>
          <cell r="B784">
            <v>75</v>
          </cell>
          <cell r="C784">
            <v>15</v>
          </cell>
          <cell r="D784" t="str">
            <v>FORCEUM (INDO)</v>
          </cell>
          <cell r="E784" t="str">
            <v>ATZ</v>
          </cell>
          <cell r="N784">
            <v>4550</v>
          </cell>
        </row>
        <row r="785">
          <cell r="A785" t="str">
            <v>195</v>
          </cell>
          <cell r="C785" t="str">
            <v>15C</v>
          </cell>
          <cell r="D785" t="str">
            <v>FORCEUM (INDO)</v>
          </cell>
          <cell r="E785" t="str">
            <v>DIGON</v>
          </cell>
          <cell r="N785">
            <v>3130</v>
          </cell>
        </row>
        <row r="786">
          <cell r="A786" t="str">
            <v>195</v>
          </cell>
          <cell r="B786">
            <v>50</v>
          </cell>
          <cell r="C786">
            <v>16</v>
          </cell>
          <cell r="D786" t="str">
            <v>FORCEUM (INDO)</v>
          </cell>
          <cell r="E786" t="str">
            <v>XL OCTA</v>
          </cell>
          <cell r="N786">
            <v>2630</v>
          </cell>
        </row>
        <row r="787">
          <cell r="A787" t="str">
            <v>185</v>
          </cell>
          <cell r="B787">
            <v>55</v>
          </cell>
          <cell r="C787">
            <v>16</v>
          </cell>
          <cell r="D787" t="str">
            <v>FORCEUM (INDO)</v>
          </cell>
          <cell r="E787" t="str">
            <v>HEXA-R</v>
          </cell>
          <cell r="N787">
            <v>2640</v>
          </cell>
        </row>
        <row r="788">
          <cell r="A788" t="str">
            <v>195</v>
          </cell>
          <cell r="B788">
            <v>55</v>
          </cell>
          <cell r="C788">
            <v>16</v>
          </cell>
          <cell r="D788" t="str">
            <v>FORCEUM (INDO)</v>
          </cell>
          <cell r="E788" t="str">
            <v>XL OCTA</v>
          </cell>
          <cell r="N788">
            <v>2630</v>
          </cell>
        </row>
        <row r="789">
          <cell r="A789" t="str">
            <v>205</v>
          </cell>
          <cell r="B789">
            <v>55</v>
          </cell>
          <cell r="C789">
            <v>16</v>
          </cell>
          <cell r="D789" t="str">
            <v>FORCEUM (INDO)</v>
          </cell>
          <cell r="E789" t="str">
            <v>OCTA</v>
          </cell>
          <cell r="N789">
            <v>2730</v>
          </cell>
        </row>
        <row r="790">
          <cell r="A790" t="str">
            <v>195</v>
          </cell>
          <cell r="B790">
            <v>60</v>
          </cell>
          <cell r="C790">
            <v>16</v>
          </cell>
          <cell r="D790" t="str">
            <v>FORCEUM (INDO)</v>
          </cell>
          <cell r="E790" t="str">
            <v>ECOSA</v>
          </cell>
          <cell r="N790">
            <v>2993.58</v>
          </cell>
        </row>
        <row r="791">
          <cell r="A791" t="str">
            <v>205</v>
          </cell>
          <cell r="B791">
            <v>60</v>
          </cell>
          <cell r="C791">
            <v>16</v>
          </cell>
          <cell r="D791" t="str">
            <v>FORCEUM (INDO)</v>
          </cell>
          <cell r="E791" t="str">
            <v>OCTA</v>
          </cell>
          <cell r="N791">
            <v>2850</v>
          </cell>
        </row>
        <row r="792">
          <cell r="A792" t="str">
            <v>215</v>
          </cell>
          <cell r="B792">
            <v>60</v>
          </cell>
          <cell r="C792">
            <v>16</v>
          </cell>
          <cell r="D792" t="str">
            <v>FORCEUM (INDO)</v>
          </cell>
          <cell r="E792" t="str">
            <v>OCTA</v>
          </cell>
          <cell r="N792">
            <v>3168.4</v>
          </cell>
        </row>
        <row r="793">
          <cell r="A793" t="str">
            <v>215</v>
          </cell>
          <cell r="B793">
            <v>70</v>
          </cell>
          <cell r="C793">
            <v>16</v>
          </cell>
          <cell r="D793" t="str">
            <v>FORCEUM (INDO)</v>
          </cell>
          <cell r="E793" t="str">
            <v>HEPTAGON HT</v>
          </cell>
          <cell r="N793">
            <v>3698.03</v>
          </cell>
        </row>
        <row r="794">
          <cell r="A794" t="str">
            <v>265</v>
          </cell>
          <cell r="B794">
            <v>70</v>
          </cell>
          <cell r="C794">
            <v>16</v>
          </cell>
          <cell r="D794" t="str">
            <v>FORCEUM (INDO)</v>
          </cell>
          <cell r="E794" t="str">
            <v>XL PENTA</v>
          </cell>
          <cell r="N794">
            <v>4980</v>
          </cell>
        </row>
        <row r="795">
          <cell r="A795" t="str">
            <v>265</v>
          </cell>
          <cell r="B795">
            <v>75</v>
          </cell>
          <cell r="C795">
            <v>16</v>
          </cell>
          <cell r="D795" t="str">
            <v>FORCEUM (INDO)</v>
          </cell>
          <cell r="E795" t="str">
            <v>MT-08 PLUS 10</v>
          </cell>
          <cell r="N795">
            <v>5025.51</v>
          </cell>
        </row>
        <row r="796">
          <cell r="A796" t="str">
            <v>205</v>
          </cell>
          <cell r="B796">
            <v>40</v>
          </cell>
          <cell r="C796">
            <v>17</v>
          </cell>
          <cell r="D796" t="str">
            <v>FORCEUM (INDO)</v>
          </cell>
          <cell r="E796" t="str">
            <v>HENA</v>
          </cell>
          <cell r="N796">
            <v>2900</v>
          </cell>
        </row>
        <row r="797">
          <cell r="A797" t="str">
            <v>205</v>
          </cell>
          <cell r="B797">
            <v>45</v>
          </cell>
          <cell r="C797">
            <v>17</v>
          </cell>
          <cell r="D797" t="str">
            <v>FORCEUM (INDO)</v>
          </cell>
          <cell r="E797" t="str">
            <v>OCTA</v>
          </cell>
          <cell r="N797">
            <v>2770</v>
          </cell>
        </row>
        <row r="798">
          <cell r="A798" t="str">
            <v>215</v>
          </cell>
          <cell r="B798">
            <v>45</v>
          </cell>
          <cell r="C798">
            <v>17</v>
          </cell>
          <cell r="D798" t="str">
            <v>FORCEUM (INDO)</v>
          </cell>
          <cell r="E798" t="str">
            <v>HENA</v>
          </cell>
          <cell r="N798">
            <v>3050</v>
          </cell>
        </row>
        <row r="799">
          <cell r="A799" t="str">
            <v>215</v>
          </cell>
          <cell r="B799">
            <v>50</v>
          </cell>
          <cell r="C799">
            <v>17</v>
          </cell>
          <cell r="D799" t="str">
            <v>FORCEUM (INDO)</v>
          </cell>
          <cell r="E799" t="str">
            <v>HENA</v>
          </cell>
          <cell r="N799">
            <v>3640</v>
          </cell>
        </row>
        <row r="800">
          <cell r="A800" t="str">
            <v>215</v>
          </cell>
          <cell r="B800">
            <v>55</v>
          </cell>
          <cell r="C800">
            <v>17</v>
          </cell>
          <cell r="D800" t="str">
            <v>FORCEUM (INDO)</v>
          </cell>
          <cell r="E800" t="str">
            <v>OCTA</v>
          </cell>
          <cell r="N800">
            <v>3320</v>
          </cell>
        </row>
        <row r="801">
          <cell r="A801" t="str">
            <v>225</v>
          </cell>
          <cell r="B801">
            <v>55</v>
          </cell>
          <cell r="C801">
            <v>17</v>
          </cell>
          <cell r="D801" t="str">
            <v>FORCEUM (INDO)</v>
          </cell>
          <cell r="E801" t="str">
            <v>XL OCTA</v>
          </cell>
          <cell r="N801">
            <v>3900</v>
          </cell>
        </row>
        <row r="802">
          <cell r="A802" t="str">
            <v>215</v>
          </cell>
          <cell r="B802">
            <v>60</v>
          </cell>
          <cell r="C802">
            <v>17</v>
          </cell>
          <cell r="D802" t="str">
            <v>FORCEUM (INDO)</v>
          </cell>
          <cell r="E802" t="str">
            <v>HEPTAGON</v>
          </cell>
          <cell r="N802">
            <v>4520</v>
          </cell>
        </row>
        <row r="803">
          <cell r="A803" t="str">
            <v>225</v>
          </cell>
          <cell r="B803">
            <v>65</v>
          </cell>
          <cell r="C803">
            <v>17</v>
          </cell>
          <cell r="D803" t="str">
            <v>FORCEUM (INDO)</v>
          </cell>
          <cell r="E803" t="str">
            <v>XL PENTA</v>
          </cell>
          <cell r="N803">
            <v>4650</v>
          </cell>
        </row>
        <row r="804">
          <cell r="A804" t="str">
            <v>265</v>
          </cell>
          <cell r="B804">
            <v>65</v>
          </cell>
          <cell r="C804">
            <v>17</v>
          </cell>
          <cell r="D804" t="str">
            <v>FORCEUM (INDO)</v>
          </cell>
          <cell r="E804" t="str">
            <v>112T ATZ-R</v>
          </cell>
          <cell r="N804">
            <v>6730</v>
          </cell>
        </row>
        <row r="805">
          <cell r="A805" t="str">
            <v>265</v>
          </cell>
          <cell r="B805">
            <v>65</v>
          </cell>
          <cell r="C805">
            <v>17</v>
          </cell>
          <cell r="D805" t="str">
            <v>FORCEUM (INDO)</v>
          </cell>
          <cell r="E805" t="str">
            <v>PENTA</v>
          </cell>
          <cell r="N805">
            <v>5070</v>
          </cell>
        </row>
        <row r="806">
          <cell r="A806" t="str">
            <v>265</v>
          </cell>
          <cell r="B806">
            <v>70</v>
          </cell>
          <cell r="C806">
            <v>17</v>
          </cell>
          <cell r="D806" t="str">
            <v>FORCEUM (INDO)</v>
          </cell>
          <cell r="E806" t="str">
            <v>MT-08</v>
          </cell>
          <cell r="N806">
            <v>7729.41</v>
          </cell>
        </row>
        <row r="807">
          <cell r="A807" t="str">
            <v>225</v>
          </cell>
          <cell r="B807">
            <v>40</v>
          </cell>
          <cell r="C807">
            <v>18</v>
          </cell>
          <cell r="D807" t="str">
            <v>FORCEUM (INDO)</v>
          </cell>
          <cell r="E807" t="str">
            <v>OCTA</v>
          </cell>
          <cell r="N807">
            <v>3650</v>
          </cell>
        </row>
        <row r="808">
          <cell r="A808" t="str">
            <v>235</v>
          </cell>
          <cell r="B808">
            <v>40</v>
          </cell>
          <cell r="C808">
            <v>18</v>
          </cell>
          <cell r="D808" t="str">
            <v>FORCEUM (INDO)</v>
          </cell>
          <cell r="E808" t="str">
            <v>HEXA-R</v>
          </cell>
          <cell r="N808">
            <v>3630</v>
          </cell>
        </row>
        <row r="809">
          <cell r="A809" t="str">
            <v>235</v>
          </cell>
          <cell r="B809">
            <v>50</v>
          </cell>
          <cell r="C809">
            <v>18</v>
          </cell>
          <cell r="D809" t="str">
            <v>FORCEUM (INDO)</v>
          </cell>
          <cell r="E809" t="str">
            <v>OCTA</v>
          </cell>
          <cell r="N809">
            <v>3810</v>
          </cell>
        </row>
        <row r="810">
          <cell r="A810" t="str">
            <v>235</v>
          </cell>
          <cell r="B810">
            <v>55</v>
          </cell>
          <cell r="C810">
            <v>18</v>
          </cell>
          <cell r="D810" t="str">
            <v>FORCEUM (INDO)</v>
          </cell>
          <cell r="E810" t="str">
            <v>HEPTAGON</v>
          </cell>
          <cell r="N810">
            <v>5099.09</v>
          </cell>
        </row>
        <row r="811">
          <cell r="A811" t="str">
            <v>235</v>
          </cell>
          <cell r="B811">
            <v>60</v>
          </cell>
          <cell r="C811">
            <v>18</v>
          </cell>
          <cell r="D811" t="str">
            <v>FORCEUM (INDO)</v>
          </cell>
          <cell r="E811" t="str">
            <v>PENTA</v>
          </cell>
          <cell r="N811">
            <v>5340</v>
          </cell>
        </row>
        <row r="812">
          <cell r="A812" t="str">
            <v>265</v>
          </cell>
          <cell r="B812">
            <v>60</v>
          </cell>
          <cell r="C812">
            <v>18</v>
          </cell>
          <cell r="D812" t="str">
            <v>FORCEUM (INDO)</v>
          </cell>
          <cell r="E812" t="str">
            <v>PENTA</v>
          </cell>
          <cell r="N812">
            <v>6070</v>
          </cell>
        </row>
        <row r="813">
          <cell r="A813" t="str">
            <v>265</v>
          </cell>
          <cell r="B813">
            <v>60</v>
          </cell>
          <cell r="C813">
            <v>18</v>
          </cell>
          <cell r="D813" t="str">
            <v>FORCEUM (INDO)</v>
          </cell>
          <cell r="E813" t="str">
            <v>110H ATZ-R</v>
          </cell>
          <cell r="N813">
            <v>7660.57</v>
          </cell>
        </row>
        <row r="814">
          <cell r="A814" t="str">
            <v>265</v>
          </cell>
          <cell r="B814">
            <v>50</v>
          </cell>
          <cell r="C814">
            <v>20</v>
          </cell>
          <cell r="D814" t="str">
            <v>FORCEUM (INDO)</v>
          </cell>
          <cell r="E814" t="str">
            <v>PENTA</v>
          </cell>
          <cell r="N814">
            <v>5561.71</v>
          </cell>
        </row>
        <row r="815">
          <cell r="A815" t="str">
            <v>275</v>
          </cell>
          <cell r="B815">
            <v>55</v>
          </cell>
          <cell r="C815">
            <v>20</v>
          </cell>
          <cell r="D815" t="str">
            <v>FORCEUM (INDO)</v>
          </cell>
          <cell r="E815" t="str">
            <v>PENTA</v>
          </cell>
          <cell r="N815">
            <v>6300</v>
          </cell>
        </row>
        <row r="816">
          <cell r="A816" t="str">
            <v>155</v>
          </cell>
          <cell r="C816">
            <v>12</v>
          </cell>
          <cell r="D816" t="str">
            <v xml:space="preserve">GAJAH TUNGGAL </v>
          </cell>
          <cell r="E816" t="str">
            <v>MAXMILER PRO</v>
          </cell>
          <cell r="N816">
            <v>2700</v>
          </cell>
        </row>
        <row r="817">
          <cell r="A817" t="str">
            <v>175</v>
          </cell>
          <cell r="C817">
            <v>13</v>
          </cell>
          <cell r="D817" t="str">
            <v xml:space="preserve">GAJAH TUNGGAL </v>
          </cell>
          <cell r="E817" t="str">
            <v>MAXMILLER</v>
          </cell>
          <cell r="N817">
            <v>3500</v>
          </cell>
        </row>
        <row r="818">
          <cell r="A818" t="str">
            <v>175</v>
          </cell>
          <cell r="C818">
            <v>14</v>
          </cell>
          <cell r="D818" t="str">
            <v xml:space="preserve">GAJAH TUNGGAL </v>
          </cell>
          <cell r="E818" t="str">
            <v>MAXMILLER PRO</v>
          </cell>
          <cell r="N818">
            <v>3420</v>
          </cell>
        </row>
        <row r="819">
          <cell r="A819" t="str">
            <v>195</v>
          </cell>
          <cell r="C819" t="str">
            <v>14C</v>
          </cell>
          <cell r="D819" t="str">
            <v xml:space="preserve">GAJAH TUNGGAL </v>
          </cell>
          <cell r="E819" t="str">
            <v>MAXMILER PRO</v>
          </cell>
          <cell r="N819">
            <v>4100</v>
          </cell>
        </row>
        <row r="820">
          <cell r="A820" t="str">
            <v>31</v>
          </cell>
          <cell r="B820">
            <v>10.5</v>
          </cell>
          <cell r="C820">
            <v>15</v>
          </cell>
          <cell r="D820" t="str">
            <v xml:space="preserve">GAJAH TUNGGAL </v>
          </cell>
          <cell r="E820" t="str">
            <v>SAVERO AT PLUS</v>
          </cell>
          <cell r="N820">
            <v>6424</v>
          </cell>
        </row>
        <row r="821">
          <cell r="A821" t="str">
            <v>225</v>
          </cell>
          <cell r="B821">
            <v>70</v>
          </cell>
          <cell r="C821">
            <v>15</v>
          </cell>
          <cell r="D821" t="str">
            <v xml:space="preserve">GAJAH TUNGGAL </v>
          </cell>
          <cell r="E821" t="str">
            <v>MAXMILER  PRO</v>
          </cell>
          <cell r="N821">
            <v>5415</v>
          </cell>
        </row>
        <row r="822">
          <cell r="A822" t="str">
            <v>205</v>
          </cell>
          <cell r="B822">
            <v>45</v>
          </cell>
          <cell r="C822">
            <v>16</v>
          </cell>
          <cell r="D822" t="str">
            <v xml:space="preserve">GAJAH TUNGGAL </v>
          </cell>
          <cell r="E822" t="str">
            <v>CHAMPIRO HPX</v>
          </cell>
          <cell r="N822">
            <v>3720</v>
          </cell>
        </row>
        <row r="823">
          <cell r="A823" t="str">
            <v>215</v>
          </cell>
          <cell r="B823">
            <v>50</v>
          </cell>
          <cell r="C823">
            <v>16</v>
          </cell>
          <cell r="D823" t="str">
            <v xml:space="preserve">GAJAH TUNGGAL </v>
          </cell>
          <cell r="E823" t="str">
            <v>CHAMPIRO GTX PRO</v>
          </cell>
          <cell r="N823">
            <v>3995</v>
          </cell>
        </row>
        <row r="824">
          <cell r="A824" t="str">
            <v>205</v>
          </cell>
          <cell r="B824">
            <v>50</v>
          </cell>
          <cell r="C824">
            <v>16</v>
          </cell>
          <cell r="D824" t="str">
            <v xml:space="preserve">GAJAH TUNGGAL </v>
          </cell>
          <cell r="E824" t="str">
            <v>GTX PRO</v>
          </cell>
          <cell r="N824">
            <v>5000</v>
          </cell>
        </row>
        <row r="825">
          <cell r="A825" t="str">
            <v>215</v>
          </cell>
          <cell r="B825">
            <v>65</v>
          </cell>
          <cell r="C825">
            <v>16</v>
          </cell>
          <cell r="D825" t="str">
            <v xml:space="preserve">GAJAH TUNGGAL </v>
          </cell>
          <cell r="E825" t="str">
            <v>MAXIMILER PRO GT</v>
          </cell>
          <cell r="N825">
            <v>5568</v>
          </cell>
        </row>
        <row r="826">
          <cell r="A826" t="str">
            <v>215</v>
          </cell>
          <cell r="B826">
            <v>70</v>
          </cell>
          <cell r="C826" t="str">
            <v>16C</v>
          </cell>
          <cell r="D826" t="str">
            <v xml:space="preserve">GAJAH TUNGGAL </v>
          </cell>
          <cell r="E826" t="str">
            <v>MAXMILER PRO</v>
          </cell>
          <cell r="N826">
            <v>5000</v>
          </cell>
        </row>
        <row r="827">
          <cell r="A827">
            <v>275</v>
          </cell>
          <cell r="B827">
            <v>70</v>
          </cell>
          <cell r="C827">
            <v>16</v>
          </cell>
          <cell r="D827" t="str">
            <v xml:space="preserve">GAJAH TUNGGAL </v>
          </cell>
          <cell r="E827" t="str">
            <v>SAVERO AT PLUS</v>
          </cell>
          <cell r="N827">
            <v>6030</v>
          </cell>
        </row>
        <row r="828">
          <cell r="A828" t="str">
            <v>225</v>
          </cell>
          <cell r="B828">
            <v>75</v>
          </cell>
          <cell r="C828">
            <v>16</v>
          </cell>
          <cell r="D828" t="str">
            <v xml:space="preserve">GAJAH TUNGGAL </v>
          </cell>
          <cell r="E828" t="str">
            <v>MAXMILER PRO</v>
          </cell>
          <cell r="N828">
            <v>5310</v>
          </cell>
        </row>
        <row r="829">
          <cell r="A829" t="str">
            <v>265</v>
          </cell>
          <cell r="B829">
            <v>65</v>
          </cell>
          <cell r="C829">
            <v>17</v>
          </cell>
          <cell r="D829" t="str">
            <v xml:space="preserve">GAJAH TUNGGAL </v>
          </cell>
          <cell r="E829" t="str">
            <v>SAVERO AT PLUS</v>
          </cell>
          <cell r="N829">
            <v>6655</v>
          </cell>
        </row>
        <row r="830">
          <cell r="A830" t="str">
            <v>245</v>
          </cell>
          <cell r="B830">
            <v>40</v>
          </cell>
          <cell r="C830">
            <v>18</v>
          </cell>
          <cell r="D830" t="str">
            <v xml:space="preserve">GAJAH TUNGGAL </v>
          </cell>
          <cell r="E830" t="str">
            <v>CHAMPIRO SX2</v>
          </cell>
          <cell r="N830">
            <v>7010</v>
          </cell>
        </row>
        <row r="831">
          <cell r="A831" t="str">
            <v>215</v>
          </cell>
          <cell r="B831">
            <v>45</v>
          </cell>
          <cell r="C831">
            <v>17</v>
          </cell>
          <cell r="D831" t="str">
            <v>GOODRIDE</v>
          </cell>
          <cell r="E831" t="str">
            <v>SU308/SA57</v>
          </cell>
          <cell r="N831">
            <v>2560</v>
          </cell>
        </row>
        <row r="832">
          <cell r="A832" t="str">
            <v>155</v>
          </cell>
          <cell r="B832">
            <v>80</v>
          </cell>
          <cell r="C832">
            <v>12</v>
          </cell>
          <cell r="D832" t="str">
            <v>GOODYEAR</v>
          </cell>
          <cell r="E832" t="str">
            <v>DURAPLUS</v>
          </cell>
          <cell r="N832">
            <v>2399.1999999999998</v>
          </cell>
        </row>
        <row r="833">
          <cell r="A833">
            <v>185</v>
          </cell>
          <cell r="B833">
            <v>70</v>
          </cell>
          <cell r="C833">
            <v>13</v>
          </cell>
          <cell r="D833" t="str">
            <v>GOODYEAR</v>
          </cell>
          <cell r="N833">
            <v>3330</v>
          </cell>
        </row>
        <row r="834">
          <cell r="A834" t="str">
            <v>165</v>
          </cell>
          <cell r="B834">
            <v>80</v>
          </cell>
          <cell r="C834">
            <v>13</v>
          </cell>
          <cell r="D834" t="str">
            <v>GOODYEAR</v>
          </cell>
          <cell r="E834" t="str">
            <v>DURAPLUS</v>
          </cell>
          <cell r="N834">
            <v>2992</v>
          </cell>
        </row>
        <row r="835">
          <cell r="A835" t="str">
            <v>175</v>
          </cell>
          <cell r="C835">
            <v>13</v>
          </cell>
          <cell r="D835" t="str">
            <v>GOODYEAR</v>
          </cell>
          <cell r="E835" t="str">
            <v>WRANGLER DT</v>
          </cell>
          <cell r="N835">
            <v>4000</v>
          </cell>
        </row>
        <row r="836">
          <cell r="A836">
            <v>175</v>
          </cell>
          <cell r="B836">
            <v>65</v>
          </cell>
          <cell r="C836">
            <v>14</v>
          </cell>
          <cell r="D836" t="str">
            <v>GOODYEAR</v>
          </cell>
          <cell r="E836" t="str">
            <v>ASSURANCE DURAPLUS 2</v>
          </cell>
          <cell r="N836">
            <v>3196</v>
          </cell>
        </row>
        <row r="837">
          <cell r="A837" t="str">
            <v>185</v>
          </cell>
          <cell r="B837">
            <v>65</v>
          </cell>
          <cell r="C837">
            <v>14</v>
          </cell>
          <cell r="D837" t="str">
            <v>GOODYEAR</v>
          </cell>
          <cell r="E837" t="str">
            <v>ASSURANCE DURAPLUS</v>
          </cell>
          <cell r="N837">
            <v>2625</v>
          </cell>
        </row>
        <row r="838">
          <cell r="A838" t="str">
            <v>185</v>
          </cell>
          <cell r="B838">
            <v>65</v>
          </cell>
          <cell r="C838">
            <v>14</v>
          </cell>
          <cell r="D838" t="str">
            <v>GOODYEAR</v>
          </cell>
          <cell r="E838" t="str">
            <v>ASSURANCE DURAPLUS 2</v>
          </cell>
          <cell r="N838">
            <v>4105.5</v>
          </cell>
        </row>
        <row r="839">
          <cell r="A839" t="str">
            <v>185</v>
          </cell>
          <cell r="B839">
            <v>65</v>
          </cell>
          <cell r="C839">
            <v>14</v>
          </cell>
          <cell r="D839" t="str">
            <v>GOODYEAR</v>
          </cell>
          <cell r="E839" t="str">
            <v>EAGLE NCT3</v>
          </cell>
          <cell r="N839">
            <v>3210.89</v>
          </cell>
        </row>
        <row r="840">
          <cell r="A840" t="str">
            <v>175</v>
          </cell>
          <cell r="B840">
            <v>70</v>
          </cell>
          <cell r="C840">
            <v>14</v>
          </cell>
          <cell r="D840" t="str">
            <v>GOODYEAR</v>
          </cell>
          <cell r="E840" t="str">
            <v>ASSURANCE DURAPLUS 2</v>
          </cell>
          <cell r="N840">
            <v>3180</v>
          </cell>
        </row>
        <row r="841">
          <cell r="A841">
            <v>185</v>
          </cell>
          <cell r="B841">
            <v>70</v>
          </cell>
          <cell r="C841">
            <v>14</v>
          </cell>
          <cell r="D841" t="str">
            <v>GOODYEAR</v>
          </cell>
          <cell r="E841" t="str">
            <v>DURAPLUS</v>
          </cell>
          <cell r="N841">
            <v>2761.99</v>
          </cell>
        </row>
        <row r="842">
          <cell r="A842">
            <v>185</v>
          </cell>
          <cell r="B842">
            <v>80</v>
          </cell>
          <cell r="C842">
            <v>14</v>
          </cell>
          <cell r="D842" t="str">
            <v>GOODYEAR</v>
          </cell>
          <cell r="E842" t="str">
            <v>ASSURANCE DURAPLUS</v>
          </cell>
          <cell r="N842">
            <v>3510.5</v>
          </cell>
        </row>
        <row r="843">
          <cell r="A843">
            <v>185</v>
          </cell>
          <cell r="C843" t="str">
            <v>14C</v>
          </cell>
          <cell r="D843" t="str">
            <v>GOODYEAR</v>
          </cell>
          <cell r="E843" t="str">
            <v>CARGO G26</v>
          </cell>
          <cell r="N843">
            <v>4250</v>
          </cell>
        </row>
        <row r="844">
          <cell r="A844" t="str">
            <v>185</v>
          </cell>
          <cell r="C844" t="str">
            <v>14C</v>
          </cell>
          <cell r="D844" t="str">
            <v>GOODYEAR</v>
          </cell>
          <cell r="E844" t="str">
            <v>CARGO MARATHON 2</v>
          </cell>
          <cell r="N844">
            <v>4370</v>
          </cell>
        </row>
        <row r="845">
          <cell r="A845" t="str">
            <v>195</v>
          </cell>
          <cell r="C845" t="str">
            <v>14C</v>
          </cell>
          <cell r="D845" t="str">
            <v>GOODYEAR</v>
          </cell>
          <cell r="E845" t="str">
            <v>8 PR CARGO G26</v>
          </cell>
          <cell r="N845">
            <v>4160</v>
          </cell>
        </row>
        <row r="846">
          <cell r="A846" t="str">
            <v>195</v>
          </cell>
          <cell r="C846" t="str">
            <v>14C</v>
          </cell>
          <cell r="D846" t="str">
            <v>GOODYEAR</v>
          </cell>
          <cell r="E846" t="str">
            <v>8 PR CARGO MARATHON</v>
          </cell>
          <cell r="N846">
            <v>4330</v>
          </cell>
        </row>
        <row r="847">
          <cell r="A847">
            <v>195</v>
          </cell>
          <cell r="B847">
            <v>55</v>
          </cell>
          <cell r="C847">
            <v>15</v>
          </cell>
          <cell r="D847" t="str">
            <v>GOODYEAR</v>
          </cell>
          <cell r="E847" t="str">
            <v>EAGLE F1 DIRECTIONAL 5</v>
          </cell>
          <cell r="N847">
            <v>3000</v>
          </cell>
        </row>
        <row r="848">
          <cell r="A848" t="str">
            <v>185</v>
          </cell>
          <cell r="B848">
            <v>60</v>
          </cell>
          <cell r="C848">
            <v>15</v>
          </cell>
          <cell r="D848" t="str">
            <v>GOODYEAR</v>
          </cell>
          <cell r="E848" t="str">
            <v>ASSURANCE TRIPLEMAX</v>
          </cell>
          <cell r="N848">
            <v>3944</v>
          </cell>
        </row>
        <row r="849">
          <cell r="A849" t="str">
            <v>185</v>
          </cell>
          <cell r="B849">
            <v>60</v>
          </cell>
          <cell r="C849">
            <v>15</v>
          </cell>
          <cell r="D849" t="str">
            <v>GOODYEAR</v>
          </cell>
          <cell r="E849" t="str">
            <v>ASSURANCE MAXGUARD</v>
          </cell>
          <cell r="N849">
            <v>4097</v>
          </cell>
        </row>
        <row r="850">
          <cell r="A850" t="str">
            <v>195</v>
          </cell>
          <cell r="B850">
            <v>60</v>
          </cell>
          <cell r="C850">
            <v>15</v>
          </cell>
          <cell r="D850" t="str">
            <v>GOODYEAR</v>
          </cell>
          <cell r="E850" t="str">
            <v>ASSURANCE TRIPLEMAX</v>
          </cell>
          <cell r="N850">
            <v>4910</v>
          </cell>
        </row>
        <row r="851">
          <cell r="A851">
            <v>175</v>
          </cell>
          <cell r="B851">
            <v>65</v>
          </cell>
          <cell r="C851">
            <v>15</v>
          </cell>
          <cell r="D851" t="str">
            <v>GOODYEAR</v>
          </cell>
          <cell r="E851" t="str">
            <v>ASSURANCE DURAPLUS 2</v>
          </cell>
          <cell r="N851">
            <v>3799.5</v>
          </cell>
        </row>
        <row r="852">
          <cell r="A852" t="str">
            <v>185</v>
          </cell>
          <cell r="B852">
            <v>65</v>
          </cell>
          <cell r="C852">
            <v>15</v>
          </cell>
          <cell r="D852" t="str">
            <v>GOODYEAR</v>
          </cell>
          <cell r="E852" t="str">
            <v>ASSURANCE TRIPLEMAX 2</v>
          </cell>
          <cell r="N852">
            <v>4224.5</v>
          </cell>
        </row>
        <row r="853">
          <cell r="A853" t="str">
            <v>185</v>
          </cell>
          <cell r="B853">
            <v>65</v>
          </cell>
          <cell r="C853">
            <v>15</v>
          </cell>
          <cell r="D853" t="str">
            <v>GOODYEAR</v>
          </cell>
          <cell r="E853" t="str">
            <v>ASSURANCE MAXGUARD</v>
          </cell>
          <cell r="N853">
            <v>4581.5</v>
          </cell>
        </row>
        <row r="854">
          <cell r="A854">
            <v>195</v>
          </cell>
          <cell r="B854">
            <v>65</v>
          </cell>
          <cell r="C854">
            <v>15</v>
          </cell>
          <cell r="D854" t="str">
            <v>GOODYEAR</v>
          </cell>
          <cell r="E854" t="str">
            <v xml:space="preserve"> DURAPLUS</v>
          </cell>
          <cell r="N854">
            <v>3385.12</v>
          </cell>
        </row>
        <row r="855">
          <cell r="A855">
            <v>195</v>
          </cell>
          <cell r="B855">
            <v>65</v>
          </cell>
          <cell r="C855">
            <v>15</v>
          </cell>
          <cell r="D855" t="str">
            <v>GOODYEAR</v>
          </cell>
          <cell r="E855" t="str">
            <v>ASSURANCE TRIPLEMAX</v>
          </cell>
          <cell r="N855">
            <v>4343</v>
          </cell>
        </row>
        <row r="856">
          <cell r="A856">
            <v>195</v>
          </cell>
          <cell r="B856">
            <v>65</v>
          </cell>
          <cell r="C856">
            <v>15</v>
          </cell>
          <cell r="D856" t="str">
            <v>GOODYEAR</v>
          </cell>
          <cell r="E856" t="str">
            <v>ASSURANCE MAXGUARD</v>
          </cell>
          <cell r="N856">
            <v>4989.5</v>
          </cell>
        </row>
        <row r="857">
          <cell r="A857" t="str">
            <v>205</v>
          </cell>
          <cell r="B857">
            <v>65</v>
          </cell>
          <cell r="C857">
            <v>15</v>
          </cell>
          <cell r="D857" t="str">
            <v>GOODYEAR</v>
          </cell>
          <cell r="E857" t="str">
            <v>ASSURANCE TRIPLEMAX 2</v>
          </cell>
          <cell r="N857">
            <v>4369</v>
          </cell>
        </row>
        <row r="858">
          <cell r="A858" t="str">
            <v>205</v>
          </cell>
          <cell r="B858">
            <v>65</v>
          </cell>
          <cell r="C858">
            <v>15</v>
          </cell>
          <cell r="D858" t="str">
            <v>GOODYEAR</v>
          </cell>
          <cell r="E858" t="str">
            <v>ASSURANCE MAXGUARD</v>
          </cell>
          <cell r="N858">
            <v>4896</v>
          </cell>
        </row>
        <row r="859">
          <cell r="A859" t="str">
            <v>175</v>
          </cell>
          <cell r="B859">
            <v>50</v>
          </cell>
          <cell r="C859">
            <v>15</v>
          </cell>
          <cell r="D859" t="str">
            <v>GOODYEAR</v>
          </cell>
          <cell r="E859" t="str">
            <v>ASSURANCE DURAPLUS</v>
          </cell>
          <cell r="N859">
            <v>3172</v>
          </cell>
        </row>
        <row r="860">
          <cell r="A860" t="str">
            <v>205</v>
          </cell>
          <cell r="B860">
            <v>70</v>
          </cell>
          <cell r="C860">
            <v>15</v>
          </cell>
          <cell r="D860" t="str">
            <v>GOODYEAR</v>
          </cell>
          <cell r="E860" t="str">
            <v>ASSURANCE MAXGUARD</v>
          </cell>
          <cell r="N860">
            <v>4766.1899999999996</v>
          </cell>
        </row>
        <row r="861">
          <cell r="A861" t="str">
            <v>205</v>
          </cell>
          <cell r="B861">
            <v>70</v>
          </cell>
          <cell r="C861">
            <v>15</v>
          </cell>
          <cell r="D861" t="str">
            <v>GOODYEAR</v>
          </cell>
          <cell r="E861" t="str">
            <v>WRANGLER HP</v>
          </cell>
          <cell r="N861">
            <v>4128</v>
          </cell>
        </row>
        <row r="862">
          <cell r="A862" t="str">
            <v>225</v>
          </cell>
          <cell r="B862">
            <v>70</v>
          </cell>
          <cell r="C862" t="str">
            <v>15C</v>
          </cell>
          <cell r="D862" t="str">
            <v>GOODYEAR</v>
          </cell>
          <cell r="E862" t="str">
            <v>CARGO MARATHON 2</v>
          </cell>
          <cell r="N862">
            <v>7650</v>
          </cell>
        </row>
        <row r="863">
          <cell r="A863">
            <v>235</v>
          </cell>
          <cell r="B863">
            <v>70</v>
          </cell>
          <cell r="C863">
            <v>15</v>
          </cell>
          <cell r="D863" t="str">
            <v>GOODYEAR</v>
          </cell>
          <cell r="E863" t="str">
            <v>WRANGLER HP</v>
          </cell>
          <cell r="N863">
            <v>5358</v>
          </cell>
        </row>
        <row r="864">
          <cell r="A864">
            <v>235</v>
          </cell>
          <cell r="B864">
            <v>70</v>
          </cell>
          <cell r="C864">
            <v>15</v>
          </cell>
          <cell r="D864" t="str">
            <v>GOODYEAR</v>
          </cell>
          <cell r="E864" t="str">
            <v>WRANGLER TRIPLEMAX</v>
          </cell>
          <cell r="N864">
            <v>5678.2</v>
          </cell>
        </row>
        <row r="865">
          <cell r="A865" t="str">
            <v>235</v>
          </cell>
          <cell r="B865">
            <v>70</v>
          </cell>
          <cell r="C865">
            <v>15</v>
          </cell>
          <cell r="D865" t="str">
            <v>GOODYEAR</v>
          </cell>
          <cell r="E865" t="str">
            <v>ASSURANCE MAXGUARD</v>
          </cell>
          <cell r="N865">
            <v>6196.5</v>
          </cell>
        </row>
        <row r="866">
          <cell r="A866" t="str">
            <v>195</v>
          </cell>
          <cell r="C866" t="str">
            <v>15C</v>
          </cell>
          <cell r="D866" t="str">
            <v xml:space="preserve">GOODYEAR </v>
          </cell>
          <cell r="E866" t="str">
            <v>CARGO MARATHON 2</v>
          </cell>
          <cell r="N866">
            <v>5924.5</v>
          </cell>
        </row>
        <row r="867">
          <cell r="A867" t="str">
            <v>195</v>
          </cell>
          <cell r="B867">
            <v>50</v>
          </cell>
          <cell r="C867">
            <v>16</v>
          </cell>
          <cell r="D867" t="str">
            <v>GOODYEAR</v>
          </cell>
          <cell r="E867" t="str">
            <v>ASSURANCE MAXGUARD</v>
          </cell>
          <cell r="N867">
            <v>4674.26</v>
          </cell>
        </row>
        <row r="868">
          <cell r="A868">
            <v>205</v>
          </cell>
          <cell r="B868">
            <v>55</v>
          </cell>
          <cell r="C868">
            <v>16</v>
          </cell>
          <cell r="D868" t="str">
            <v>GOODYEAR</v>
          </cell>
          <cell r="E868" t="str">
            <v>EAGLE F1 DIRECTIONAL 5</v>
          </cell>
          <cell r="N868">
            <v>6220</v>
          </cell>
        </row>
        <row r="869">
          <cell r="A869" t="str">
            <v>205</v>
          </cell>
          <cell r="B869">
            <v>55</v>
          </cell>
          <cell r="C869">
            <v>16</v>
          </cell>
          <cell r="D869" t="str">
            <v>GOODYEAR</v>
          </cell>
          <cell r="E869" t="str">
            <v>ASSURANCE TRIPLEMAX 2</v>
          </cell>
          <cell r="N869">
            <v>4530.5</v>
          </cell>
        </row>
        <row r="870">
          <cell r="A870" t="str">
            <v>205</v>
          </cell>
          <cell r="B870">
            <v>55</v>
          </cell>
          <cell r="C870">
            <v>16</v>
          </cell>
          <cell r="D870" t="str">
            <v>GOODYEAR</v>
          </cell>
          <cell r="E870" t="str">
            <v>ASSURANCE MAXGUARD</v>
          </cell>
          <cell r="N870">
            <v>4904.5</v>
          </cell>
        </row>
        <row r="871">
          <cell r="A871" t="str">
            <v>195</v>
          </cell>
          <cell r="B871">
            <v>60</v>
          </cell>
          <cell r="C871">
            <v>16</v>
          </cell>
          <cell r="D871" t="str">
            <v>GOODYEAR</v>
          </cell>
          <cell r="E871" t="str">
            <v>ASSURANCE MAXGUARD</v>
          </cell>
          <cell r="N871">
            <v>5210.5</v>
          </cell>
        </row>
        <row r="872">
          <cell r="A872" t="str">
            <v>205</v>
          </cell>
          <cell r="B872">
            <v>60</v>
          </cell>
          <cell r="C872">
            <v>16</v>
          </cell>
          <cell r="D872" t="str">
            <v xml:space="preserve">GOODYEAR </v>
          </cell>
          <cell r="E872" t="str">
            <v>ASSURANCE TRIPLEMAX 2</v>
          </cell>
          <cell r="N872">
            <v>5567.5</v>
          </cell>
        </row>
        <row r="873">
          <cell r="A873" t="str">
            <v>205</v>
          </cell>
          <cell r="B873">
            <v>60</v>
          </cell>
          <cell r="C873">
            <v>16</v>
          </cell>
          <cell r="D873" t="str">
            <v>GOODYEAR</v>
          </cell>
          <cell r="E873" t="str">
            <v>ASSURANCE MAXGUARD</v>
          </cell>
          <cell r="N873">
            <v>5805.5</v>
          </cell>
        </row>
        <row r="874">
          <cell r="A874" t="str">
            <v>235</v>
          </cell>
          <cell r="B874">
            <v>60</v>
          </cell>
          <cell r="C874">
            <v>16</v>
          </cell>
          <cell r="D874" t="str">
            <v>GOODYEAR</v>
          </cell>
          <cell r="E874" t="str">
            <v>ASSURANCE MAXGUARD</v>
          </cell>
          <cell r="N874">
            <v>7535.73</v>
          </cell>
        </row>
        <row r="875">
          <cell r="A875" t="str">
            <v>205</v>
          </cell>
          <cell r="B875">
            <v>65</v>
          </cell>
          <cell r="C875">
            <v>16</v>
          </cell>
          <cell r="D875" t="str">
            <v>GOODYEAR</v>
          </cell>
          <cell r="E875" t="str">
            <v>ASSURANCE MAXGUARD</v>
          </cell>
          <cell r="N875">
            <v>5809.32</v>
          </cell>
        </row>
        <row r="876">
          <cell r="A876">
            <v>215</v>
          </cell>
          <cell r="B876">
            <v>65</v>
          </cell>
          <cell r="C876">
            <v>16</v>
          </cell>
          <cell r="D876" t="str">
            <v>GOODYEAR</v>
          </cell>
          <cell r="E876" t="str">
            <v>WRANGLER H/P</v>
          </cell>
          <cell r="N876">
            <v>5170</v>
          </cell>
        </row>
        <row r="877">
          <cell r="A877">
            <v>215</v>
          </cell>
          <cell r="B877">
            <v>65</v>
          </cell>
          <cell r="C877">
            <v>16</v>
          </cell>
          <cell r="D877" t="str">
            <v>GOODYEAR</v>
          </cell>
          <cell r="E877" t="str">
            <v>WRANGLER TRIPLEMAX</v>
          </cell>
          <cell r="N877">
            <v>6190</v>
          </cell>
        </row>
        <row r="878">
          <cell r="A878">
            <v>215</v>
          </cell>
          <cell r="B878">
            <v>65</v>
          </cell>
          <cell r="C878">
            <v>16</v>
          </cell>
          <cell r="D878" t="str">
            <v>GOODYEAR</v>
          </cell>
          <cell r="E878" t="str">
            <v>ASSURANCE MAXGUARD</v>
          </cell>
          <cell r="N878">
            <v>6162.5</v>
          </cell>
        </row>
        <row r="879">
          <cell r="A879" t="str">
            <v>235</v>
          </cell>
          <cell r="B879">
            <v>65</v>
          </cell>
          <cell r="C879" t="str">
            <v>16C</v>
          </cell>
          <cell r="D879" t="str">
            <v>GOODYEAR</v>
          </cell>
          <cell r="E879" t="str">
            <v>CARGO MARATHON 2</v>
          </cell>
          <cell r="N879">
            <v>8480</v>
          </cell>
        </row>
        <row r="880">
          <cell r="A880">
            <v>215</v>
          </cell>
          <cell r="B880">
            <v>70</v>
          </cell>
          <cell r="C880">
            <v>16</v>
          </cell>
          <cell r="D880" t="str">
            <v>GOODYEAR</v>
          </cell>
          <cell r="E880" t="str">
            <v>WRANGLER TRIPLEMAX</v>
          </cell>
          <cell r="N880">
            <v>6897.5</v>
          </cell>
        </row>
        <row r="881">
          <cell r="A881" t="str">
            <v>225</v>
          </cell>
          <cell r="B881">
            <v>70</v>
          </cell>
          <cell r="C881">
            <v>16</v>
          </cell>
          <cell r="D881" t="str">
            <v>GOODYEAR</v>
          </cell>
          <cell r="E881" t="str">
            <v>EFFICIENT GRIP</v>
          </cell>
          <cell r="N881">
            <v>3069</v>
          </cell>
        </row>
        <row r="882">
          <cell r="A882">
            <v>245</v>
          </cell>
          <cell r="B882">
            <v>70</v>
          </cell>
          <cell r="C882">
            <v>16</v>
          </cell>
          <cell r="D882" t="str">
            <v>GOODYEAR</v>
          </cell>
          <cell r="E882" t="str">
            <v>WRANGLER H/P</v>
          </cell>
          <cell r="N882">
            <v>5373</v>
          </cell>
        </row>
        <row r="883">
          <cell r="A883">
            <v>245</v>
          </cell>
          <cell r="B883">
            <v>70</v>
          </cell>
          <cell r="C883">
            <v>16</v>
          </cell>
          <cell r="D883" t="str">
            <v>GOODYEAR</v>
          </cell>
          <cell r="E883" t="str">
            <v>WRANGLER TRIPLEMAX</v>
          </cell>
          <cell r="N883">
            <v>7230</v>
          </cell>
        </row>
        <row r="884">
          <cell r="A884">
            <v>245</v>
          </cell>
          <cell r="B884">
            <v>70</v>
          </cell>
          <cell r="C884">
            <v>16</v>
          </cell>
          <cell r="D884" t="str">
            <v>GOODYEAR</v>
          </cell>
          <cell r="E884" t="str">
            <v>ASSURANCE MAXGUARD</v>
          </cell>
          <cell r="N884">
            <v>7141.45</v>
          </cell>
        </row>
        <row r="885">
          <cell r="A885">
            <v>265</v>
          </cell>
          <cell r="B885">
            <v>70</v>
          </cell>
          <cell r="C885">
            <v>16</v>
          </cell>
          <cell r="D885" t="str">
            <v>GOODYEAR</v>
          </cell>
          <cell r="E885" t="str">
            <v>WRANGLER H/P</v>
          </cell>
          <cell r="N885">
            <v>8604.9</v>
          </cell>
        </row>
        <row r="886">
          <cell r="A886" t="str">
            <v>265</v>
          </cell>
          <cell r="B886">
            <v>70</v>
          </cell>
          <cell r="C886">
            <v>16</v>
          </cell>
          <cell r="D886" t="str">
            <v>GOODYEAR</v>
          </cell>
          <cell r="E886" t="str">
            <v>WRANGLER TRIPLEMAX</v>
          </cell>
          <cell r="N886">
            <v>8600</v>
          </cell>
        </row>
        <row r="887">
          <cell r="A887" t="str">
            <v>265</v>
          </cell>
          <cell r="B887">
            <v>70</v>
          </cell>
          <cell r="C887">
            <v>16</v>
          </cell>
          <cell r="D887" t="str">
            <v>GOODYEAR</v>
          </cell>
          <cell r="E887" t="str">
            <v>ASSURANCE MAXGUARD SUV</v>
          </cell>
          <cell r="N887">
            <v>9673</v>
          </cell>
        </row>
        <row r="888">
          <cell r="A888" t="str">
            <v>205</v>
          </cell>
          <cell r="B888">
            <v>45</v>
          </cell>
          <cell r="C888">
            <v>17</v>
          </cell>
          <cell r="D888" t="str">
            <v>GOODYEAR</v>
          </cell>
          <cell r="E888" t="str">
            <v>EAGLE F1 SPORT</v>
          </cell>
          <cell r="N888">
            <v>6964.11</v>
          </cell>
        </row>
        <row r="889">
          <cell r="A889" t="str">
            <v>215</v>
          </cell>
          <cell r="B889">
            <v>45</v>
          </cell>
          <cell r="C889">
            <v>17</v>
          </cell>
          <cell r="D889" t="str">
            <v>GOODYEAR</v>
          </cell>
          <cell r="E889" t="str">
            <v>91Y EAGLE F1 SPORT XL FP</v>
          </cell>
          <cell r="N889">
            <v>5923.24</v>
          </cell>
        </row>
        <row r="890">
          <cell r="A890" t="str">
            <v>205</v>
          </cell>
          <cell r="B890">
            <v>55</v>
          </cell>
          <cell r="C890">
            <v>17</v>
          </cell>
          <cell r="D890" t="str">
            <v>GOODYEAR</v>
          </cell>
          <cell r="E890" t="str">
            <v>ASSURANCE COMFORT TRED</v>
          </cell>
          <cell r="N890">
            <v>7036.57</v>
          </cell>
        </row>
        <row r="891">
          <cell r="A891" t="str">
            <v>205</v>
          </cell>
          <cell r="B891">
            <v>55</v>
          </cell>
          <cell r="C891">
            <v>17</v>
          </cell>
          <cell r="D891" t="str">
            <v>GOODYEAR</v>
          </cell>
          <cell r="E891" t="str">
            <v>ASSURANCE MAXGUARD</v>
          </cell>
          <cell r="N891">
            <v>6681</v>
          </cell>
        </row>
        <row r="892">
          <cell r="A892" t="str">
            <v>215</v>
          </cell>
          <cell r="B892">
            <v>55</v>
          </cell>
          <cell r="C892">
            <v>17</v>
          </cell>
          <cell r="D892" t="str">
            <v>GOODYEAR</v>
          </cell>
          <cell r="E892" t="str">
            <v>ASSURANCE MAXGUARD</v>
          </cell>
          <cell r="N892">
            <v>7080</v>
          </cell>
        </row>
        <row r="893">
          <cell r="A893" t="str">
            <v>215</v>
          </cell>
          <cell r="B893">
            <v>55</v>
          </cell>
          <cell r="C893">
            <v>17</v>
          </cell>
          <cell r="D893" t="str">
            <v xml:space="preserve">GOODYEAR </v>
          </cell>
          <cell r="E893" t="str">
            <v>ASS TRIPLEMAX 2</v>
          </cell>
          <cell r="N893">
            <v>6791.5</v>
          </cell>
        </row>
        <row r="894">
          <cell r="A894" t="str">
            <v>265</v>
          </cell>
          <cell r="B894">
            <v>65</v>
          </cell>
          <cell r="C894">
            <v>17</v>
          </cell>
          <cell r="D894" t="str">
            <v xml:space="preserve">GOODYEAR </v>
          </cell>
          <cell r="E894" t="str">
            <v>ASSURANCE MAX GUARD SUV</v>
          </cell>
          <cell r="N894">
            <v>7900</v>
          </cell>
        </row>
        <row r="895">
          <cell r="A895">
            <v>265</v>
          </cell>
          <cell r="B895">
            <v>65</v>
          </cell>
          <cell r="C895">
            <v>17</v>
          </cell>
          <cell r="D895" t="str">
            <v>GOODYEAR</v>
          </cell>
          <cell r="E895" t="str">
            <v>WRANGLER TRIPLEMAX</v>
          </cell>
          <cell r="N895">
            <v>6900</v>
          </cell>
        </row>
        <row r="896">
          <cell r="A896" t="str">
            <v>265</v>
          </cell>
          <cell r="B896">
            <v>65</v>
          </cell>
          <cell r="C896">
            <v>17</v>
          </cell>
          <cell r="D896" t="str">
            <v>GOODYEAR</v>
          </cell>
          <cell r="E896" t="str">
            <v>WRANGLER HP</v>
          </cell>
          <cell r="N896">
            <v>8748</v>
          </cell>
        </row>
        <row r="897">
          <cell r="A897" t="str">
            <v>265</v>
          </cell>
          <cell r="B897">
            <v>65</v>
          </cell>
          <cell r="C897">
            <v>17</v>
          </cell>
          <cell r="D897" t="str">
            <v>GOODYEAR</v>
          </cell>
          <cell r="E897" t="str">
            <v>WRANGLER AT SILENTTRAC</v>
          </cell>
          <cell r="N897">
            <v>8507.89</v>
          </cell>
        </row>
        <row r="898">
          <cell r="A898" t="str">
            <v>265</v>
          </cell>
          <cell r="B898">
            <v>70</v>
          </cell>
          <cell r="C898">
            <v>17</v>
          </cell>
          <cell r="D898" t="str">
            <v>GOODYEAR</v>
          </cell>
          <cell r="E898" t="str">
            <v>WRL DURATRAC</v>
          </cell>
          <cell r="N898">
            <v>15791.96</v>
          </cell>
        </row>
        <row r="899">
          <cell r="A899" t="str">
            <v>285</v>
          </cell>
          <cell r="B899">
            <v>70</v>
          </cell>
          <cell r="C899">
            <v>17</v>
          </cell>
          <cell r="D899" t="str">
            <v>GOODYEAR</v>
          </cell>
          <cell r="E899" t="str">
            <v>WRANGLER DURATRAC</v>
          </cell>
          <cell r="N899">
            <v>17919.560000000001</v>
          </cell>
        </row>
        <row r="900">
          <cell r="A900" t="str">
            <v>285</v>
          </cell>
          <cell r="B900">
            <v>70</v>
          </cell>
          <cell r="C900">
            <v>17</v>
          </cell>
          <cell r="D900" t="str">
            <v>GOODYEAR</v>
          </cell>
          <cell r="E900" t="str">
            <v>WRL DURATRAC RT</v>
          </cell>
          <cell r="N900">
            <v>13886.36</v>
          </cell>
        </row>
        <row r="901">
          <cell r="A901" t="str">
            <v>235</v>
          </cell>
          <cell r="B901">
            <v>50</v>
          </cell>
          <cell r="C901">
            <v>18</v>
          </cell>
          <cell r="D901" t="str">
            <v>GOODYEAR</v>
          </cell>
          <cell r="E901" t="str">
            <v>ASSURANCE MAXGUARD</v>
          </cell>
          <cell r="N901">
            <v>9200</v>
          </cell>
        </row>
        <row r="902">
          <cell r="A902" t="str">
            <v>235</v>
          </cell>
          <cell r="B902">
            <v>40</v>
          </cell>
          <cell r="C902">
            <v>18</v>
          </cell>
          <cell r="D902" t="str">
            <v>GOODYEAR</v>
          </cell>
          <cell r="E902" t="str">
            <v>EAGLE F1 ASYMMETRIC 6</v>
          </cell>
          <cell r="N902">
            <v>9355.26</v>
          </cell>
        </row>
        <row r="903">
          <cell r="A903" t="str">
            <v>245</v>
          </cell>
          <cell r="B903">
            <v>45</v>
          </cell>
          <cell r="C903">
            <v>18</v>
          </cell>
          <cell r="D903" t="str">
            <v>GOODYEAR</v>
          </cell>
          <cell r="E903" t="str">
            <v>EAGLE F1</v>
          </cell>
          <cell r="N903">
            <v>8155.66</v>
          </cell>
        </row>
        <row r="904">
          <cell r="A904" t="str">
            <v>215</v>
          </cell>
          <cell r="B904">
            <v>55</v>
          </cell>
          <cell r="C904">
            <v>18</v>
          </cell>
          <cell r="D904" t="str">
            <v>GOODYEAR</v>
          </cell>
          <cell r="E904" t="str">
            <v>ASSURANCE MAXGUARD</v>
          </cell>
          <cell r="N904">
            <v>10144.25</v>
          </cell>
        </row>
        <row r="905">
          <cell r="A905" t="str">
            <v>225</v>
          </cell>
          <cell r="B905">
            <v>55</v>
          </cell>
          <cell r="C905">
            <v>18</v>
          </cell>
          <cell r="D905" t="str">
            <v>GOODYEAR</v>
          </cell>
          <cell r="E905" t="str">
            <v>ASSURANCE MAXGUARD</v>
          </cell>
          <cell r="N905">
            <v>11247.25</v>
          </cell>
        </row>
        <row r="906">
          <cell r="A906" t="str">
            <v>265</v>
          </cell>
          <cell r="B906">
            <v>60</v>
          </cell>
          <cell r="C906">
            <v>18</v>
          </cell>
          <cell r="D906" t="str">
            <v>GOODYEAR</v>
          </cell>
          <cell r="E906" t="str">
            <v>ASSU MAXGUARD</v>
          </cell>
          <cell r="N906">
            <v>8959.15</v>
          </cell>
        </row>
        <row r="907">
          <cell r="A907" t="str">
            <v>265</v>
          </cell>
          <cell r="B907">
            <v>60</v>
          </cell>
          <cell r="C907">
            <v>18</v>
          </cell>
          <cell r="D907" t="str">
            <v>GOODYEAR</v>
          </cell>
          <cell r="E907" t="str">
            <v>EFFICIENT GRIP</v>
          </cell>
          <cell r="N907">
            <v>10375.620000000001</v>
          </cell>
        </row>
        <row r="908">
          <cell r="A908" t="str">
            <v>265</v>
          </cell>
          <cell r="B908">
            <v>60</v>
          </cell>
          <cell r="C908">
            <v>18</v>
          </cell>
          <cell r="D908" t="str">
            <v>GOODYEAR</v>
          </cell>
          <cell r="E908" t="str">
            <v>WRANGLER AT SILENTTRAC</v>
          </cell>
          <cell r="N908">
            <v>9545.27</v>
          </cell>
        </row>
        <row r="909">
          <cell r="A909" t="str">
            <v>255</v>
          </cell>
          <cell r="B909">
            <v>65</v>
          </cell>
          <cell r="C909">
            <v>18</v>
          </cell>
          <cell r="D909" t="str">
            <v>GOODYEAR</v>
          </cell>
          <cell r="E909" t="str">
            <v>TERRITORY HT</v>
          </cell>
          <cell r="N909">
            <v>11110.38</v>
          </cell>
        </row>
        <row r="910">
          <cell r="A910" t="str">
            <v>235</v>
          </cell>
          <cell r="B910">
            <v>50</v>
          </cell>
          <cell r="C910">
            <v>19</v>
          </cell>
          <cell r="D910" t="str">
            <v>GOODYEAR</v>
          </cell>
          <cell r="E910" t="str">
            <v>EFFIGRIP PERFORMANCE SUV</v>
          </cell>
          <cell r="N910">
            <v>14227.44</v>
          </cell>
        </row>
        <row r="911">
          <cell r="A911" t="str">
            <v>225</v>
          </cell>
          <cell r="B911">
            <v>55</v>
          </cell>
          <cell r="C911">
            <v>19</v>
          </cell>
          <cell r="D911" t="str">
            <v>GOODYEAR</v>
          </cell>
          <cell r="E911" t="str">
            <v>EFFIGRIP PERFORMANCE SUV</v>
          </cell>
          <cell r="N911">
            <v>8895.6299999999992</v>
          </cell>
        </row>
        <row r="912">
          <cell r="A912" t="str">
            <v>235</v>
          </cell>
          <cell r="B912">
            <v>50</v>
          </cell>
          <cell r="C912">
            <v>20</v>
          </cell>
          <cell r="D912" t="str">
            <v>GOODYEAR</v>
          </cell>
          <cell r="E912" t="str">
            <v>EFFIGRIP PERFORMANCE SUV</v>
          </cell>
          <cell r="N912">
            <v>12140.91</v>
          </cell>
        </row>
        <row r="913">
          <cell r="A913">
            <v>265</v>
          </cell>
          <cell r="B913">
            <v>50</v>
          </cell>
          <cell r="C913">
            <v>20</v>
          </cell>
          <cell r="D913" t="str">
            <v>GOODYEAR</v>
          </cell>
          <cell r="E913" t="str">
            <v>EFFICIENT GRIP</v>
          </cell>
          <cell r="N913">
            <v>11200</v>
          </cell>
        </row>
        <row r="914">
          <cell r="A914">
            <v>265</v>
          </cell>
          <cell r="B914">
            <v>50</v>
          </cell>
          <cell r="C914">
            <v>20</v>
          </cell>
          <cell r="D914" t="str">
            <v>GOODYEAR</v>
          </cell>
          <cell r="E914" t="str">
            <v>ASSURANCE MAXGUARD</v>
          </cell>
          <cell r="N914">
            <v>9703.4599999999991</v>
          </cell>
        </row>
        <row r="915">
          <cell r="A915">
            <v>255</v>
          </cell>
          <cell r="B915">
            <v>55</v>
          </cell>
          <cell r="C915">
            <v>20</v>
          </cell>
          <cell r="D915" t="str">
            <v>GOODYEAR</v>
          </cell>
          <cell r="E915" t="str">
            <v>WRANGLER TERRITORY</v>
          </cell>
          <cell r="N915">
            <v>13912.12</v>
          </cell>
        </row>
        <row r="916">
          <cell r="A916">
            <v>165</v>
          </cell>
          <cell r="B916">
            <v>65</v>
          </cell>
          <cell r="C916">
            <v>13</v>
          </cell>
          <cell r="D916" t="str">
            <v>GREMAX (CH)</v>
          </cell>
          <cell r="E916" t="str">
            <v>CF1 77T</v>
          </cell>
          <cell r="N916">
            <v>1280</v>
          </cell>
        </row>
        <row r="917">
          <cell r="A917">
            <v>175</v>
          </cell>
          <cell r="B917">
            <v>70</v>
          </cell>
          <cell r="C917">
            <v>13</v>
          </cell>
          <cell r="D917" t="str">
            <v>GREMAX (CH)</v>
          </cell>
          <cell r="E917" t="str">
            <v>CF1 82T</v>
          </cell>
          <cell r="N917">
            <v>1410</v>
          </cell>
        </row>
        <row r="918">
          <cell r="A918">
            <v>165</v>
          </cell>
          <cell r="B918">
            <v>80</v>
          </cell>
          <cell r="C918">
            <v>13</v>
          </cell>
          <cell r="D918" t="str">
            <v>GREMAX (CH)</v>
          </cell>
          <cell r="E918" t="str">
            <v>CF1 83T</v>
          </cell>
          <cell r="N918">
            <v>1400</v>
          </cell>
        </row>
        <row r="919">
          <cell r="A919">
            <v>185</v>
          </cell>
          <cell r="B919">
            <v>65</v>
          </cell>
          <cell r="C919">
            <v>14</v>
          </cell>
          <cell r="D919" t="str">
            <v>GREMAX (CH)</v>
          </cell>
          <cell r="E919" t="str">
            <v>86H</v>
          </cell>
          <cell r="N919">
            <v>1610</v>
          </cell>
        </row>
        <row r="920">
          <cell r="A920">
            <v>185</v>
          </cell>
          <cell r="B920">
            <v>65</v>
          </cell>
          <cell r="C920">
            <v>14</v>
          </cell>
          <cell r="D920" t="str">
            <v>GREMAX (CH)</v>
          </cell>
          <cell r="E920" t="str">
            <v>CF1</v>
          </cell>
          <cell r="N920">
            <v>1610</v>
          </cell>
        </row>
        <row r="921">
          <cell r="A921">
            <v>185</v>
          </cell>
          <cell r="B921">
            <v>70</v>
          </cell>
          <cell r="C921">
            <v>14</v>
          </cell>
          <cell r="D921" t="str">
            <v>GREMAX (CH)</v>
          </cell>
          <cell r="E921" t="str">
            <v>88H</v>
          </cell>
          <cell r="N921">
            <v>1650</v>
          </cell>
        </row>
        <row r="922">
          <cell r="A922">
            <v>195</v>
          </cell>
          <cell r="C922" t="str">
            <v>14C</v>
          </cell>
          <cell r="D922" t="str">
            <v>GREMAX (CH)</v>
          </cell>
          <cell r="E922" t="str">
            <v>106/104Q</v>
          </cell>
          <cell r="N922">
            <v>2420</v>
          </cell>
        </row>
        <row r="923">
          <cell r="A923">
            <v>195</v>
          </cell>
          <cell r="B923">
            <v>50</v>
          </cell>
          <cell r="C923">
            <v>15</v>
          </cell>
          <cell r="D923" t="str">
            <v>GREMAX (CH)</v>
          </cell>
          <cell r="E923" t="str">
            <v>82V CF1</v>
          </cell>
          <cell r="N923">
            <v>1810</v>
          </cell>
        </row>
        <row r="924">
          <cell r="A924">
            <v>195</v>
          </cell>
          <cell r="B924">
            <v>60</v>
          </cell>
          <cell r="C924">
            <v>15</v>
          </cell>
          <cell r="D924" t="str">
            <v>GREMAX (CH)</v>
          </cell>
          <cell r="E924" t="str">
            <v>88H CAPT CF1</v>
          </cell>
          <cell r="N924">
            <v>1840</v>
          </cell>
        </row>
        <row r="925">
          <cell r="A925">
            <v>185</v>
          </cell>
          <cell r="B925">
            <v>65</v>
          </cell>
          <cell r="C925">
            <v>15</v>
          </cell>
          <cell r="D925" t="str">
            <v>GREMAX (CH)</v>
          </cell>
          <cell r="E925" t="str">
            <v>88H CF1</v>
          </cell>
          <cell r="N925">
            <v>1760</v>
          </cell>
        </row>
        <row r="926">
          <cell r="A926">
            <v>205</v>
          </cell>
          <cell r="B926">
            <v>65</v>
          </cell>
          <cell r="C926">
            <v>15</v>
          </cell>
          <cell r="D926" t="str">
            <v>GREMAX (CH)</v>
          </cell>
          <cell r="E926" t="str">
            <v>94H CF1</v>
          </cell>
          <cell r="N926">
            <v>2020</v>
          </cell>
        </row>
        <row r="927">
          <cell r="A927">
            <v>215</v>
          </cell>
          <cell r="B927">
            <v>70</v>
          </cell>
          <cell r="C927" t="str">
            <v>15C</v>
          </cell>
          <cell r="D927" t="str">
            <v>GREMAX (CH)</v>
          </cell>
          <cell r="E927" t="str">
            <v>109/107R CF12</v>
          </cell>
          <cell r="N927">
            <v>2900</v>
          </cell>
        </row>
        <row r="928">
          <cell r="A928">
            <v>225</v>
          </cell>
          <cell r="B928">
            <v>70</v>
          </cell>
          <cell r="C928">
            <v>15</v>
          </cell>
          <cell r="D928" t="str">
            <v>GREMAX (CH)</v>
          </cell>
          <cell r="E928" t="str">
            <v>112/110R CF12</v>
          </cell>
          <cell r="N928">
            <v>3230</v>
          </cell>
        </row>
        <row r="929">
          <cell r="A929">
            <v>31</v>
          </cell>
          <cell r="B929">
            <v>10.5</v>
          </cell>
          <cell r="C929">
            <v>15</v>
          </cell>
          <cell r="D929" t="str">
            <v>GREMAX (CH)</v>
          </cell>
          <cell r="E929" t="str">
            <v>CF5 6PR</v>
          </cell>
          <cell r="N929">
            <v>4512.5</v>
          </cell>
        </row>
        <row r="930">
          <cell r="A930">
            <v>205</v>
          </cell>
          <cell r="B930">
            <v>45</v>
          </cell>
          <cell r="C930">
            <v>16</v>
          </cell>
          <cell r="D930" t="str">
            <v>GREMAX (CH)</v>
          </cell>
          <cell r="E930" t="str">
            <v>CF19</v>
          </cell>
          <cell r="N930">
            <v>1850</v>
          </cell>
        </row>
        <row r="931">
          <cell r="A931">
            <v>195</v>
          </cell>
          <cell r="B931">
            <v>55</v>
          </cell>
          <cell r="C931">
            <v>16</v>
          </cell>
          <cell r="D931" t="str">
            <v>GREMAX (CH)</v>
          </cell>
          <cell r="E931" t="str">
            <v>CF19</v>
          </cell>
          <cell r="N931">
            <v>1870</v>
          </cell>
        </row>
        <row r="932">
          <cell r="A932">
            <v>205</v>
          </cell>
          <cell r="B932">
            <v>65</v>
          </cell>
          <cell r="C932">
            <v>16</v>
          </cell>
          <cell r="D932" t="str">
            <v>GREMAX (CH)</v>
          </cell>
          <cell r="E932" t="str">
            <v>CF1</v>
          </cell>
          <cell r="N932">
            <v>2210</v>
          </cell>
        </row>
        <row r="933">
          <cell r="A933">
            <v>265</v>
          </cell>
          <cell r="B933">
            <v>70</v>
          </cell>
          <cell r="C933">
            <v>16</v>
          </cell>
          <cell r="D933" t="str">
            <v>GREMAX (CH)</v>
          </cell>
          <cell r="E933" t="str">
            <v>MAX AT</v>
          </cell>
          <cell r="N933">
            <v>4070</v>
          </cell>
        </row>
        <row r="934">
          <cell r="A934">
            <v>205</v>
          </cell>
          <cell r="B934">
            <v>45</v>
          </cell>
          <cell r="C934">
            <v>17</v>
          </cell>
          <cell r="D934" t="str">
            <v>GREMAX (CH)</v>
          </cell>
          <cell r="E934" t="str">
            <v>CF19</v>
          </cell>
          <cell r="N934">
            <v>2160</v>
          </cell>
        </row>
        <row r="935">
          <cell r="A935">
            <v>215</v>
          </cell>
          <cell r="B935">
            <v>45</v>
          </cell>
          <cell r="C935">
            <v>17</v>
          </cell>
          <cell r="D935" t="str">
            <v>GREMAX (CH)</v>
          </cell>
          <cell r="E935" t="str">
            <v>CF19</v>
          </cell>
          <cell r="N935">
            <v>2165</v>
          </cell>
        </row>
        <row r="936">
          <cell r="A936">
            <v>215</v>
          </cell>
          <cell r="B936">
            <v>55</v>
          </cell>
          <cell r="C936">
            <v>17</v>
          </cell>
          <cell r="D936" t="str">
            <v>GREMAX (CH)</v>
          </cell>
          <cell r="E936" t="str">
            <v>CF19</v>
          </cell>
          <cell r="N936">
            <v>2590</v>
          </cell>
        </row>
        <row r="937">
          <cell r="A937">
            <v>265</v>
          </cell>
          <cell r="B937">
            <v>70</v>
          </cell>
          <cell r="C937">
            <v>17</v>
          </cell>
          <cell r="D937" t="str">
            <v>GREMAX (CH)</v>
          </cell>
          <cell r="E937" t="str">
            <v>MAX A/T</v>
          </cell>
          <cell r="N937">
            <v>3775</v>
          </cell>
        </row>
        <row r="938">
          <cell r="A938">
            <v>285</v>
          </cell>
          <cell r="B938">
            <v>70</v>
          </cell>
          <cell r="C938">
            <v>17</v>
          </cell>
          <cell r="D938" t="str">
            <v>GREMAX (CH)</v>
          </cell>
          <cell r="E938" t="str">
            <v>CF5</v>
          </cell>
          <cell r="N938">
            <v>6510</v>
          </cell>
        </row>
        <row r="939">
          <cell r="A939">
            <v>285</v>
          </cell>
          <cell r="B939">
            <v>70</v>
          </cell>
          <cell r="C939">
            <v>17</v>
          </cell>
          <cell r="D939" t="str">
            <v>GREMAX (CH)</v>
          </cell>
          <cell r="E939" t="str">
            <v>LT 121/118S MAX AT</v>
          </cell>
          <cell r="N939">
            <v>5460</v>
          </cell>
        </row>
        <row r="940">
          <cell r="A940">
            <v>265</v>
          </cell>
          <cell r="B940">
            <v>60</v>
          </cell>
          <cell r="C940">
            <v>18</v>
          </cell>
          <cell r="D940" t="str">
            <v>GREMAX (CH)</v>
          </cell>
          <cell r="E940" t="str">
            <v>110T MAX AT</v>
          </cell>
          <cell r="N940">
            <v>4350</v>
          </cell>
        </row>
        <row r="941">
          <cell r="A941">
            <v>235</v>
          </cell>
          <cell r="B941">
            <v>75</v>
          </cell>
          <cell r="C941">
            <v>15</v>
          </cell>
          <cell r="D941" t="str">
            <v>HEAD WAY</v>
          </cell>
          <cell r="E941" t="str">
            <v>HR802</v>
          </cell>
          <cell r="N941">
            <v>5238</v>
          </cell>
        </row>
        <row r="942">
          <cell r="A942">
            <v>175</v>
          </cell>
          <cell r="B942">
            <v>65</v>
          </cell>
          <cell r="C942">
            <v>14</v>
          </cell>
          <cell r="D942" t="str">
            <v>HORIZON</v>
          </cell>
          <cell r="E942" t="str">
            <v>HH301</v>
          </cell>
          <cell r="N942">
            <v>1638.75</v>
          </cell>
        </row>
        <row r="943">
          <cell r="A943">
            <v>185</v>
          </cell>
          <cell r="B943">
            <v>60</v>
          </cell>
          <cell r="C943">
            <v>15</v>
          </cell>
          <cell r="D943" t="str">
            <v>HORIZON</v>
          </cell>
          <cell r="E943" t="str">
            <v>HH301</v>
          </cell>
          <cell r="N943">
            <v>1788.37</v>
          </cell>
        </row>
        <row r="944">
          <cell r="A944">
            <v>205</v>
          </cell>
          <cell r="B944">
            <v>55</v>
          </cell>
          <cell r="C944">
            <v>16</v>
          </cell>
          <cell r="D944" t="str">
            <v>HORIZON</v>
          </cell>
          <cell r="E944" t="str">
            <v>HH301</v>
          </cell>
          <cell r="N944">
            <v>2337</v>
          </cell>
        </row>
        <row r="945">
          <cell r="A945">
            <v>205</v>
          </cell>
          <cell r="B945">
            <v>65</v>
          </cell>
          <cell r="C945">
            <v>16</v>
          </cell>
          <cell r="D945" t="str">
            <v>HORIZON</v>
          </cell>
          <cell r="E945" t="str">
            <v>HH301</v>
          </cell>
          <cell r="N945">
            <v>2671.87</v>
          </cell>
        </row>
        <row r="946">
          <cell r="A946">
            <v>265</v>
          </cell>
          <cell r="B946">
            <v>65</v>
          </cell>
          <cell r="C946">
            <v>17</v>
          </cell>
          <cell r="D946" t="str">
            <v>HORIZON</v>
          </cell>
          <cell r="E946" t="str">
            <v>HR805</v>
          </cell>
          <cell r="N946">
            <v>4431.75</v>
          </cell>
        </row>
        <row r="947">
          <cell r="A947">
            <v>265</v>
          </cell>
          <cell r="B947">
            <v>60</v>
          </cell>
          <cell r="C947">
            <v>18</v>
          </cell>
          <cell r="D947" t="str">
            <v>HORIZON</v>
          </cell>
          <cell r="E947" t="str">
            <v>HR802</v>
          </cell>
          <cell r="N947">
            <v>4538.62</v>
          </cell>
        </row>
        <row r="948">
          <cell r="A948">
            <v>265</v>
          </cell>
          <cell r="B948">
            <v>50</v>
          </cell>
          <cell r="C948">
            <v>20</v>
          </cell>
          <cell r="D948" t="str">
            <v>HORIZON</v>
          </cell>
          <cell r="E948" t="str">
            <v>HU901</v>
          </cell>
          <cell r="N948">
            <v>4709.62</v>
          </cell>
        </row>
        <row r="949">
          <cell r="A949" t="str">
            <v>5.00</v>
          </cell>
          <cell r="C949">
            <v>12</v>
          </cell>
          <cell r="D949" t="str">
            <v>KINTO</v>
          </cell>
          <cell r="N949">
            <v>1677.5</v>
          </cell>
        </row>
        <row r="950">
          <cell r="A950">
            <v>165</v>
          </cell>
          <cell r="B950">
            <v>65</v>
          </cell>
          <cell r="C950">
            <v>13</v>
          </cell>
          <cell r="D950" t="str">
            <v>KINTO</v>
          </cell>
          <cell r="E950" t="str">
            <v>SC-901</v>
          </cell>
          <cell r="N950">
            <v>1567.5</v>
          </cell>
        </row>
        <row r="951">
          <cell r="A951">
            <v>175</v>
          </cell>
          <cell r="B951">
            <v>70</v>
          </cell>
          <cell r="C951">
            <v>13</v>
          </cell>
          <cell r="D951" t="str">
            <v>KINTO</v>
          </cell>
          <cell r="E951" t="str">
            <v>SC-901</v>
          </cell>
          <cell r="N951">
            <v>1698.6</v>
          </cell>
        </row>
        <row r="952">
          <cell r="A952">
            <v>165</v>
          </cell>
          <cell r="B952">
            <v>60</v>
          </cell>
          <cell r="C952">
            <v>14</v>
          </cell>
          <cell r="D952" t="str">
            <v>KINTO</v>
          </cell>
          <cell r="E952" t="str">
            <v>SC-901</v>
          </cell>
          <cell r="N952">
            <v>1630.2</v>
          </cell>
        </row>
        <row r="953">
          <cell r="A953">
            <v>165</v>
          </cell>
          <cell r="B953">
            <v>65</v>
          </cell>
          <cell r="C953">
            <v>14</v>
          </cell>
          <cell r="D953" t="str">
            <v>KINTO</v>
          </cell>
          <cell r="E953" t="str">
            <v>SC-901</v>
          </cell>
          <cell r="N953">
            <v>1641.6</v>
          </cell>
        </row>
        <row r="954">
          <cell r="A954">
            <v>175</v>
          </cell>
          <cell r="B954">
            <v>65</v>
          </cell>
          <cell r="C954">
            <v>14</v>
          </cell>
          <cell r="D954" t="str">
            <v>KINTO</v>
          </cell>
          <cell r="E954" t="str">
            <v>SC-901</v>
          </cell>
          <cell r="N954">
            <v>1795.5</v>
          </cell>
        </row>
        <row r="955">
          <cell r="A955">
            <v>185</v>
          </cell>
          <cell r="B955">
            <v>65</v>
          </cell>
          <cell r="C955">
            <v>14</v>
          </cell>
          <cell r="D955" t="str">
            <v>KINTO</v>
          </cell>
          <cell r="E955" t="str">
            <v>SC-901</v>
          </cell>
          <cell r="N955">
            <v>2052</v>
          </cell>
        </row>
        <row r="956">
          <cell r="A956">
            <v>185</v>
          </cell>
          <cell r="B956">
            <v>65</v>
          </cell>
          <cell r="C956">
            <v>14</v>
          </cell>
          <cell r="D956" t="str">
            <v>KINTO</v>
          </cell>
          <cell r="E956" t="str">
            <v>PRESTIGE P07</v>
          </cell>
          <cell r="N956">
            <v>2090</v>
          </cell>
        </row>
        <row r="957">
          <cell r="A957">
            <v>185</v>
          </cell>
          <cell r="B957">
            <v>70</v>
          </cell>
          <cell r="C957">
            <v>14</v>
          </cell>
          <cell r="D957" t="str">
            <v>KINTO</v>
          </cell>
          <cell r="E957" t="str">
            <v>SC-901</v>
          </cell>
          <cell r="N957">
            <v>1925</v>
          </cell>
        </row>
        <row r="958">
          <cell r="A958">
            <v>185</v>
          </cell>
          <cell r="C958" t="str">
            <v>14C</v>
          </cell>
          <cell r="D958" t="str">
            <v>KINTO</v>
          </cell>
          <cell r="E958" t="str">
            <v>SM1</v>
          </cell>
          <cell r="N958">
            <v>2964</v>
          </cell>
        </row>
        <row r="959">
          <cell r="A959">
            <v>195</v>
          </cell>
          <cell r="C959" t="str">
            <v>14C</v>
          </cell>
          <cell r="D959" t="str">
            <v>KINTO</v>
          </cell>
          <cell r="E959" t="str">
            <v>SM1</v>
          </cell>
          <cell r="N959">
            <v>3163.6</v>
          </cell>
        </row>
        <row r="960">
          <cell r="A960">
            <v>195</v>
          </cell>
          <cell r="B960">
            <v>50</v>
          </cell>
          <cell r="C960">
            <v>15</v>
          </cell>
          <cell r="D960" t="str">
            <v>KINTO</v>
          </cell>
          <cell r="E960" t="str">
            <v>V36</v>
          </cell>
          <cell r="N960">
            <v>2508</v>
          </cell>
        </row>
        <row r="961">
          <cell r="A961">
            <v>195</v>
          </cell>
          <cell r="B961">
            <v>50</v>
          </cell>
          <cell r="C961">
            <v>15</v>
          </cell>
          <cell r="D961" t="str">
            <v>KINTO</v>
          </cell>
          <cell r="E961" t="str">
            <v>FORZA 001</v>
          </cell>
          <cell r="N961">
            <v>2508</v>
          </cell>
        </row>
        <row r="962">
          <cell r="A962">
            <v>185</v>
          </cell>
          <cell r="B962">
            <v>55</v>
          </cell>
          <cell r="C962">
            <v>15</v>
          </cell>
          <cell r="D962" t="str">
            <v>KINTO</v>
          </cell>
          <cell r="E962" t="str">
            <v>SC-901</v>
          </cell>
          <cell r="N962">
            <v>2109</v>
          </cell>
        </row>
        <row r="963">
          <cell r="A963">
            <v>195</v>
          </cell>
          <cell r="B963">
            <v>55</v>
          </cell>
          <cell r="C963">
            <v>15</v>
          </cell>
          <cell r="D963" t="str">
            <v>KINTO</v>
          </cell>
          <cell r="E963" t="str">
            <v>FORZA 001</v>
          </cell>
          <cell r="N963">
            <v>2565</v>
          </cell>
        </row>
        <row r="964">
          <cell r="A964">
            <v>195</v>
          </cell>
          <cell r="B964">
            <v>55</v>
          </cell>
          <cell r="C964">
            <v>15</v>
          </cell>
          <cell r="D964" t="str">
            <v>KINTO</v>
          </cell>
          <cell r="E964" t="str">
            <v>V36</v>
          </cell>
          <cell r="N964">
            <v>2475</v>
          </cell>
        </row>
        <row r="965">
          <cell r="A965">
            <v>185</v>
          </cell>
          <cell r="B965">
            <v>60</v>
          </cell>
          <cell r="C965">
            <v>15</v>
          </cell>
          <cell r="D965" t="str">
            <v>KINTO</v>
          </cell>
          <cell r="E965" t="str">
            <v>SC-901</v>
          </cell>
          <cell r="N965">
            <v>2109</v>
          </cell>
        </row>
        <row r="966">
          <cell r="A966">
            <v>185</v>
          </cell>
          <cell r="B966">
            <v>60</v>
          </cell>
          <cell r="C966">
            <v>15</v>
          </cell>
          <cell r="D966" t="str">
            <v>KINTO</v>
          </cell>
          <cell r="E966" t="str">
            <v>PRESTIGE P07</v>
          </cell>
          <cell r="N966">
            <v>2194.5</v>
          </cell>
        </row>
        <row r="967">
          <cell r="A967">
            <v>195</v>
          </cell>
          <cell r="B967">
            <v>60</v>
          </cell>
          <cell r="C967">
            <v>15</v>
          </cell>
          <cell r="D967" t="str">
            <v>KINTO</v>
          </cell>
          <cell r="E967" t="str">
            <v>SC-901</v>
          </cell>
          <cell r="N967">
            <v>2223</v>
          </cell>
        </row>
        <row r="968">
          <cell r="A968">
            <v>175</v>
          </cell>
          <cell r="B968">
            <v>65</v>
          </cell>
          <cell r="C968">
            <v>15</v>
          </cell>
          <cell r="D968" t="str">
            <v>KINTO</v>
          </cell>
          <cell r="E968" t="str">
            <v>SC-901</v>
          </cell>
          <cell r="N968">
            <v>1952.5</v>
          </cell>
        </row>
        <row r="969">
          <cell r="A969">
            <v>185</v>
          </cell>
          <cell r="B969">
            <v>65</v>
          </cell>
          <cell r="C969">
            <v>15</v>
          </cell>
          <cell r="D969" t="str">
            <v>KINTO</v>
          </cell>
          <cell r="E969" t="str">
            <v>SC-901</v>
          </cell>
          <cell r="N969">
            <v>2194.5</v>
          </cell>
        </row>
        <row r="970">
          <cell r="A970">
            <v>185</v>
          </cell>
          <cell r="B970">
            <v>65</v>
          </cell>
          <cell r="C970">
            <v>15</v>
          </cell>
          <cell r="D970" t="str">
            <v>KINTO</v>
          </cell>
          <cell r="E970" t="str">
            <v>PRESTIGE P07</v>
          </cell>
          <cell r="N970">
            <v>2255</v>
          </cell>
        </row>
        <row r="971">
          <cell r="A971">
            <v>195</v>
          </cell>
          <cell r="B971">
            <v>65</v>
          </cell>
          <cell r="C971">
            <v>15</v>
          </cell>
          <cell r="D971" t="str">
            <v>KINTO</v>
          </cell>
          <cell r="E971" t="str">
            <v>SC-901</v>
          </cell>
          <cell r="N971">
            <v>2365.5</v>
          </cell>
        </row>
        <row r="972">
          <cell r="A972">
            <v>205</v>
          </cell>
          <cell r="B972">
            <v>65</v>
          </cell>
          <cell r="C972">
            <v>15</v>
          </cell>
          <cell r="D972" t="str">
            <v>KINTO</v>
          </cell>
          <cell r="E972" t="str">
            <v>SC-901</v>
          </cell>
          <cell r="N972">
            <v>2622</v>
          </cell>
        </row>
        <row r="973">
          <cell r="A973">
            <v>195</v>
          </cell>
          <cell r="B973">
            <v>70</v>
          </cell>
          <cell r="C973" t="str">
            <v>15C</v>
          </cell>
          <cell r="D973" t="str">
            <v>KINTO</v>
          </cell>
          <cell r="E973" t="str">
            <v>SM1</v>
          </cell>
          <cell r="N973">
            <v>3078</v>
          </cell>
        </row>
        <row r="974">
          <cell r="A974">
            <v>205</v>
          </cell>
          <cell r="B974">
            <v>70</v>
          </cell>
          <cell r="C974" t="str">
            <v>15C</v>
          </cell>
          <cell r="D974" t="str">
            <v>KINTO</v>
          </cell>
          <cell r="E974" t="str">
            <v>SM1</v>
          </cell>
          <cell r="N974">
            <v>2990.03</v>
          </cell>
        </row>
        <row r="975">
          <cell r="A975">
            <v>205</v>
          </cell>
          <cell r="B975">
            <v>70</v>
          </cell>
          <cell r="C975" t="str">
            <v>15C</v>
          </cell>
          <cell r="D975" t="str">
            <v>KINTO</v>
          </cell>
          <cell r="E975" t="str">
            <v>8PR FUERTE K99</v>
          </cell>
          <cell r="N975">
            <v>3289</v>
          </cell>
        </row>
        <row r="976">
          <cell r="A976">
            <v>215</v>
          </cell>
          <cell r="B976">
            <v>70</v>
          </cell>
          <cell r="C976" t="str">
            <v>15C</v>
          </cell>
          <cell r="D976" t="str">
            <v>KINTO</v>
          </cell>
          <cell r="E976" t="str">
            <v>8PR FUERTE K99</v>
          </cell>
          <cell r="N976">
            <v>3591</v>
          </cell>
        </row>
        <row r="977">
          <cell r="A977">
            <v>235</v>
          </cell>
          <cell r="B977">
            <v>75</v>
          </cell>
          <cell r="C977">
            <v>15</v>
          </cell>
          <cell r="D977" t="str">
            <v>KINTO</v>
          </cell>
          <cell r="E977" t="str">
            <v>ST-51</v>
          </cell>
          <cell r="N977">
            <v>3575</v>
          </cell>
        </row>
        <row r="978">
          <cell r="A978">
            <v>195</v>
          </cell>
          <cell r="C978" t="str">
            <v>15C</v>
          </cell>
          <cell r="D978" t="str">
            <v>KINTO</v>
          </cell>
          <cell r="E978" t="str">
            <v>SM1</v>
          </cell>
          <cell r="N978">
            <v>3414.3</v>
          </cell>
        </row>
        <row r="979">
          <cell r="A979">
            <v>205</v>
          </cell>
          <cell r="B979">
            <v>45</v>
          </cell>
          <cell r="C979">
            <v>16</v>
          </cell>
          <cell r="D979" t="str">
            <v>KINTO</v>
          </cell>
          <cell r="E979" t="str">
            <v>SC-900</v>
          </cell>
          <cell r="N979">
            <v>2337</v>
          </cell>
        </row>
        <row r="980">
          <cell r="A980">
            <v>195</v>
          </cell>
          <cell r="B980">
            <v>50</v>
          </cell>
          <cell r="C980">
            <v>16</v>
          </cell>
          <cell r="D980" t="str">
            <v>KINTO</v>
          </cell>
          <cell r="E980" t="str">
            <v>FORZA 001</v>
          </cell>
          <cell r="N980">
            <v>2850</v>
          </cell>
        </row>
        <row r="981">
          <cell r="A981">
            <v>205</v>
          </cell>
          <cell r="B981">
            <v>50</v>
          </cell>
          <cell r="C981">
            <v>16</v>
          </cell>
          <cell r="D981" t="str">
            <v>KINTO</v>
          </cell>
          <cell r="E981" t="str">
            <v>FORZA 001</v>
          </cell>
          <cell r="N981">
            <v>2722.5</v>
          </cell>
        </row>
        <row r="982">
          <cell r="A982">
            <v>185</v>
          </cell>
          <cell r="B982">
            <v>55</v>
          </cell>
          <cell r="C982">
            <v>16</v>
          </cell>
          <cell r="D982" t="str">
            <v>KINTO</v>
          </cell>
          <cell r="E982" t="str">
            <v>SC-900</v>
          </cell>
          <cell r="N982">
            <v>2194.5</v>
          </cell>
        </row>
        <row r="983">
          <cell r="A983">
            <v>185</v>
          </cell>
          <cell r="B983">
            <v>55</v>
          </cell>
          <cell r="C983">
            <v>16</v>
          </cell>
          <cell r="D983" t="str">
            <v>KINTO</v>
          </cell>
          <cell r="E983" t="str">
            <v>PRESTIGE P07</v>
          </cell>
          <cell r="N983">
            <v>2593.5</v>
          </cell>
        </row>
        <row r="984">
          <cell r="A984">
            <v>205</v>
          </cell>
          <cell r="B984">
            <v>55</v>
          </cell>
          <cell r="C984">
            <v>16</v>
          </cell>
          <cell r="D984" t="str">
            <v>KINTO</v>
          </cell>
          <cell r="E984" t="str">
            <v>SC-900</v>
          </cell>
          <cell r="N984">
            <v>2565</v>
          </cell>
        </row>
        <row r="985">
          <cell r="A985">
            <v>215</v>
          </cell>
          <cell r="B985">
            <v>55</v>
          </cell>
          <cell r="C985">
            <v>16</v>
          </cell>
          <cell r="D985" t="str">
            <v>KINTO</v>
          </cell>
          <cell r="E985" t="str">
            <v>SC-900</v>
          </cell>
          <cell r="N985">
            <v>2838.6</v>
          </cell>
        </row>
        <row r="986">
          <cell r="A986">
            <v>195</v>
          </cell>
          <cell r="B986">
            <v>60</v>
          </cell>
          <cell r="C986">
            <v>16</v>
          </cell>
          <cell r="D986" t="str">
            <v>KINTO</v>
          </cell>
          <cell r="E986" t="str">
            <v>PRESTIGE P07</v>
          </cell>
          <cell r="N986">
            <v>2730.3</v>
          </cell>
        </row>
        <row r="987">
          <cell r="A987">
            <v>215</v>
          </cell>
          <cell r="B987">
            <v>60</v>
          </cell>
          <cell r="C987">
            <v>16</v>
          </cell>
          <cell r="D987" t="str">
            <v>KINTO</v>
          </cell>
          <cell r="E987" t="str">
            <v>SC-900</v>
          </cell>
          <cell r="N987">
            <v>2821.5</v>
          </cell>
        </row>
        <row r="988">
          <cell r="A988">
            <v>245</v>
          </cell>
          <cell r="B988">
            <v>70</v>
          </cell>
          <cell r="C988">
            <v>16</v>
          </cell>
          <cell r="D988" t="str">
            <v>KINTO</v>
          </cell>
          <cell r="E988" t="str">
            <v>ST-51</v>
          </cell>
          <cell r="N988">
            <v>4104</v>
          </cell>
        </row>
        <row r="989">
          <cell r="A989">
            <v>265</v>
          </cell>
          <cell r="B989">
            <v>70</v>
          </cell>
          <cell r="C989">
            <v>16</v>
          </cell>
          <cell r="D989" t="str">
            <v>KINTO</v>
          </cell>
          <cell r="E989" t="str">
            <v>ST-51</v>
          </cell>
          <cell r="N989">
            <v>4731</v>
          </cell>
        </row>
        <row r="990">
          <cell r="A990">
            <v>265</v>
          </cell>
          <cell r="B990">
            <v>70</v>
          </cell>
          <cell r="C990">
            <v>16</v>
          </cell>
          <cell r="D990" t="str">
            <v>KINTO</v>
          </cell>
          <cell r="E990" t="str">
            <v>KAIJU 2</v>
          </cell>
          <cell r="N990">
            <v>6070.5</v>
          </cell>
        </row>
        <row r="991">
          <cell r="A991">
            <v>265</v>
          </cell>
          <cell r="B991">
            <v>75</v>
          </cell>
          <cell r="C991">
            <v>16</v>
          </cell>
          <cell r="D991" t="str">
            <v>KINTO</v>
          </cell>
          <cell r="E991" t="str">
            <v>KAIJU 2</v>
          </cell>
          <cell r="N991">
            <v>6384</v>
          </cell>
        </row>
        <row r="992">
          <cell r="A992">
            <v>205</v>
          </cell>
          <cell r="B992">
            <v>40</v>
          </cell>
          <cell r="C992">
            <v>17</v>
          </cell>
          <cell r="D992" t="str">
            <v>KINTO</v>
          </cell>
          <cell r="E992" t="str">
            <v>SC-900</v>
          </cell>
          <cell r="N992">
            <v>2451</v>
          </cell>
        </row>
        <row r="993">
          <cell r="A993">
            <v>205</v>
          </cell>
          <cell r="B993">
            <v>45</v>
          </cell>
          <cell r="C993">
            <v>17</v>
          </cell>
          <cell r="D993" t="str">
            <v>KINTO</v>
          </cell>
          <cell r="E993" t="str">
            <v>FORZA 001</v>
          </cell>
          <cell r="N993">
            <v>2964</v>
          </cell>
        </row>
        <row r="994">
          <cell r="A994">
            <v>215</v>
          </cell>
          <cell r="B994">
            <v>45</v>
          </cell>
          <cell r="C994">
            <v>17</v>
          </cell>
          <cell r="D994" t="str">
            <v>KINTO</v>
          </cell>
          <cell r="E994" t="str">
            <v>FORZA 001</v>
          </cell>
          <cell r="N994">
            <v>3135</v>
          </cell>
        </row>
        <row r="995">
          <cell r="A995">
            <v>215</v>
          </cell>
          <cell r="B995">
            <v>50</v>
          </cell>
          <cell r="C995">
            <v>17</v>
          </cell>
          <cell r="D995" t="str">
            <v>KINTO</v>
          </cell>
          <cell r="E995" t="str">
            <v>SC-900</v>
          </cell>
          <cell r="N995">
            <v>2838.6</v>
          </cell>
        </row>
        <row r="996">
          <cell r="A996">
            <v>215</v>
          </cell>
          <cell r="B996">
            <v>55</v>
          </cell>
          <cell r="C996">
            <v>17</v>
          </cell>
          <cell r="D996" t="str">
            <v>KINTO</v>
          </cell>
          <cell r="E996" t="str">
            <v>SC-900</v>
          </cell>
          <cell r="N996">
            <v>3192</v>
          </cell>
        </row>
        <row r="997">
          <cell r="A997">
            <v>225</v>
          </cell>
          <cell r="B997">
            <v>55</v>
          </cell>
          <cell r="C997">
            <v>17</v>
          </cell>
          <cell r="D997" t="str">
            <v>KINTO</v>
          </cell>
          <cell r="E997" t="str">
            <v>SC-900</v>
          </cell>
          <cell r="N997">
            <v>3135</v>
          </cell>
        </row>
        <row r="998">
          <cell r="A998">
            <v>225</v>
          </cell>
          <cell r="B998">
            <v>55</v>
          </cell>
          <cell r="C998">
            <v>17</v>
          </cell>
          <cell r="D998" t="str">
            <v>KINTO</v>
          </cell>
          <cell r="E998" t="str">
            <v>PRESTIGE P07</v>
          </cell>
          <cell r="N998">
            <v>3520</v>
          </cell>
        </row>
        <row r="999">
          <cell r="A999">
            <v>225</v>
          </cell>
          <cell r="B999">
            <v>65</v>
          </cell>
          <cell r="C999">
            <v>17</v>
          </cell>
          <cell r="D999" t="str">
            <v>KINTO</v>
          </cell>
          <cell r="E999" t="str">
            <v>ST-51</v>
          </cell>
          <cell r="N999">
            <v>3534</v>
          </cell>
        </row>
        <row r="1000">
          <cell r="A1000">
            <v>265</v>
          </cell>
          <cell r="B1000">
            <v>65</v>
          </cell>
          <cell r="C1000">
            <v>17</v>
          </cell>
          <cell r="D1000" t="str">
            <v>KINTO</v>
          </cell>
          <cell r="E1000" t="str">
            <v>KAIJU 2</v>
          </cell>
          <cell r="N1000">
            <v>6270</v>
          </cell>
        </row>
        <row r="1001">
          <cell r="A1001">
            <v>265</v>
          </cell>
          <cell r="B1001">
            <v>65</v>
          </cell>
          <cell r="C1001">
            <v>17</v>
          </cell>
          <cell r="D1001" t="str">
            <v>KINTO</v>
          </cell>
          <cell r="E1001" t="str">
            <v>SM-5</v>
          </cell>
          <cell r="N1001">
            <v>4730</v>
          </cell>
        </row>
        <row r="1002">
          <cell r="A1002">
            <v>265</v>
          </cell>
          <cell r="B1002">
            <v>65</v>
          </cell>
          <cell r="C1002">
            <v>17</v>
          </cell>
          <cell r="D1002" t="str">
            <v>KINTO</v>
          </cell>
          <cell r="E1002" t="str">
            <v>ST-51</v>
          </cell>
          <cell r="N1002">
            <v>4873.5</v>
          </cell>
        </row>
        <row r="1003">
          <cell r="A1003">
            <v>225</v>
          </cell>
          <cell r="B1003">
            <v>40</v>
          </cell>
          <cell r="C1003">
            <v>18</v>
          </cell>
          <cell r="D1003" t="str">
            <v>KINTO</v>
          </cell>
          <cell r="E1003" t="str">
            <v>SC-900</v>
          </cell>
          <cell r="N1003">
            <v>2736</v>
          </cell>
        </row>
        <row r="1004">
          <cell r="A1004">
            <v>225</v>
          </cell>
          <cell r="B1004">
            <v>45</v>
          </cell>
          <cell r="C1004">
            <v>18</v>
          </cell>
          <cell r="D1004" t="str">
            <v>KINTO</v>
          </cell>
          <cell r="E1004" t="str">
            <v>FORZA 001</v>
          </cell>
          <cell r="N1004">
            <v>3534</v>
          </cell>
        </row>
        <row r="1005">
          <cell r="A1005">
            <v>235</v>
          </cell>
          <cell r="B1005">
            <v>40</v>
          </cell>
          <cell r="C1005">
            <v>18</v>
          </cell>
          <cell r="D1005" t="str">
            <v>KINTO</v>
          </cell>
          <cell r="E1005" t="str">
            <v>SC-900</v>
          </cell>
          <cell r="N1005">
            <v>3192</v>
          </cell>
        </row>
        <row r="1006">
          <cell r="A1006">
            <v>235</v>
          </cell>
          <cell r="B1006">
            <v>40</v>
          </cell>
          <cell r="C1006">
            <v>18</v>
          </cell>
          <cell r="D1006" t="str">
            <v>KINTO</v>
          </cell>
          <cell r="E1006" t="str">
            <v>FORZA 001</v>
          </cell>
          <cell r="N1006">
            <v>3591</v>
          </cell>
        </row>
        <row r="1007">
          <cell r="A1007">
            <v>275</v>
          </cell>
          <cell r="B1007">
            <v>40</v>
          </cell>
          <cell r="C1007">
            <v>18</v>
          </cell>
          <cell r="D1007" t="str">
            <v>KINTO</v>
          </cell>
          <cell r="E1007" t="str">
            <v>V36</v>
          </cell>
          <cell r="N1007">
            <v>4446</v>
          </cell>
        </row>
        <row r="1008">
          <cell r="A1008">
            <v>285</v>
          </cell>
          <cell r="B1008">
            <v>40</v>
          </cell>
          <cell r="C1008">
            <v>18</v>
          </cell>
          <cell r="D1008" t="str">
            <v>KINTO</v>
          </cell>
          <cell r="E1008" t="str">
            <v>X68+</v>
          </cell>
          <cell r="N1008">
            <v>4845</v>
          </cell>
        </row>
        <row r="1009">
          <cell r="A1009">
            <v>235</v>
          </cell>
          <cell r="B1009">
            <v>45</v>
          </cell>
          <cell r="C1009">
            <v>18</v>
          </cell>
          <cell r="D1009" t="str">
            <v>KINTO</v>
          </cell>
          <cell r="E1009" t="str">
            <v>SC-900</v>
          </cell>
          <cell r="N1009">
            <v>3334.5</v>
          </cell>
        </row>
        <row r="1010">
          <cell r="A1010">
            <v>245</v>
          </cell>
          <cell r="B1010">
            <v>45</v>
          </cell>
          <cell r="C1010">
            <v>18</v>
          </cell>
          <cell r="D1010" t="str">
            <v>KINTO</v>
          </cell>
          <cell r="E1010" t="str">
            <v>X68+</v>
          </cell>
          <cell r="N1010">
            <v>3990</v>
          </cell>
        </row>
        <row r="1011">
          <cell r="A1011">
            <v>245</v>
          </cell>
          <cell r="B1011">
            <v>45</v>
          </cell>
          <cell r="C1011">
            <v>18</v>
          </cell>
          <cell r="D1011" t="str">
            <v>KINTO</v>
          </cell>
          <cell r="E1011" t="str">
            <v>V36</v>
          </cell>
          <cell r="N1011">
            <v>3740</v>
          </cell>
        </row>
        <row r="1012">
          <cell r="A1012">
            <v>235</v>
          </cell>
          <cell r="B1012">
            <v>50</v>
          </cell>
          <cell r="C1012">
            <v>18</v>
          </cell>
          <cell r="D1012" t="str">
            <v>KINTO</v>
          </cell>
          <cell r="E1012" t="str">
            <v>PRESTIGE P07</v>
          </cell>
          <cell r="N1012">
            <v>3960</v>
          </cell>
        </row>
        <row r="1013">
          <cell r="A1013">
            <v>255</v>
          </cell>
          <cell r="B1013">
            <v>50</v>
          </cell>
          <cell r="C1013">
            <v>18</v>
          </cell>
          <cell r="D1013" t="str">
            <v>KINTO</v>
          </cell>
          <cell r="E1013" t="str">
            <v>X68+</v>
          </cell>
          <cell r="N1013">
            <v>4674</v>
          </cell>
        </row>
        <row r="1014">
          <cell r="A1014">
            <v>255</v>
          </cell>
          <cell r="B1014">
            <v>55</v>
          </cell>
          <cell r="C1014">
            <v>18</v>
          </cell>
          <cell r="D1014" t="str">
            <v>KINTO</v>
          </cell>
          <cell r="E1014" t="str">
            <v>V36</v>
          </cell>
          <cell r="N1014">
            <v>5060</v>
          </cell>
        </row>
        <row r="1015">
          <cell r="A1015">
            <v>235</v>
          </cell>
          <cell r="B1015">
            <v>60</v>
          </cell>
          <cell r="C1015">
            <v>18</v>
          </cell>
          <cell r="D1015" t="str">
            <v>KINTO</v>
          </cell>
          <cell r="E1015" t="str">
            <v>ST51</v>
          </cell>
          <cell r="N1015">
            <v>3990</v>
          </cell>
        </row>
        <row r="1016">
          <cell r="A1016">
            <v>265</v>
          </cell>
          <cell r="B1016">
            <v>60</v>
          </cell>
          <cell r="C1016">
            <v>18</v>
          </cell>
          <cell r="D1016" t="str">
            <v>KINTO</v>
          </cell>
          <cell r="E1016" t="str">
            <v>V36</v>
          </cell>
          <cell r="N1016">
            <v>4840</v>
          </cell>
        </row>
        <row r="1017">
          <cell r="A1017">
            <v>265</v>
          </cell>
          <cell r="B1017">
            <v>60</v>
          </cell>
          <cell r="C1017">
            <v>18</v>
          </cell>
          <cell r="D1017" t="str">
            <v>KINTO</v>
          </cell>
          <cell r="E1017" t="str">
            <v>ST-51</v>
          </cell>
          <cell r="N1017">
            <v>5016</v>
          </cell>
        </row>
        <row r="1018">
          <cell r="A1018">
            <v>265</v>
          </cell>
          <cell r="B1018">
            <v>60</v>
          </cell>
          <cell r="C1018">
            <v>18</v>
          </cell>
          <cell r="D1018" t="str">
            <v>KINTO</v>
          </cell>
          <cell r="E1018" t="str">
            <v>KAIJU 2</v>
          </cell>
          <cell r="N1018">
            <v>6555</v>
          </cell>
        </row>
        <row r="1019">
          <cell r="A1019">
            <v>275</v>
          </cell>
          <cell r="B1019">
            <v>65</v>
          </cell>
          <cell r="C1019">
            <v>18</v>
          </cell>
          <cell r="D1019" t="str">
            <v>KINTO</v>
          </cell>
          <cell r="E1019" t="str">
            <v>KAIJU 2</v>
          </cell>
          <cell r="N1019">
            <v>6840</v>
          </cell>
        </row>
        <row r="1020">
          <cell r="A1020">
            <v>245</v>
          </cell>
          <cell r="B1020">
            <v>35</v>
          </cell>
          <cell r="C1020">
            <v>19</v>
          </cell>
          <cell r="D1020" t="str">
            <v>KINTO</v>
          </cell>
          <cell r="E1020" t="str">
            <v>SC-900</v>
          </cell>
          <cell r="N1020">
            <v>3078</v>
          </cell>
        </row>
        <row r="1021">
          <cell r="A1021">
            <v>265</v>
          </cell>
          <cell r="B1021">
            <v>50</v>
          </cell>
          <cell r="C1021">
            <v>20</v>
          </cell>
          <cell r="D1021" t="str">
            <v>KINTO</v>
          </cell>
          <cell r="E1021" t="str">
            <v>V36</v>
          </cell>
          <cell r="N1021">
            <v>5187</v>
          </cell>
        </row>
        <row r="1022">
          <cell r="A1022">
            <v>265</v>
          </cell>
          <cell r="B1022">
            <v>50</v>
          </cell>
          <cell r="C1022">
            <v>20</v>
          </cell>
          <cell r="D1022" t="str">
            <v>KINTO</v>
          </cell>
          <cell r="E1022" t="str">
            <v>KAIJU 2</v>
          </cell>
          <cell r="N1022">
            <v>6783</v>
          </cell>
        </row>
        <row r="1023">
          <cell r="A1023">
            <v>275</v>
          </cell>
          <cell r="B1023">
            <v>55</v>
          </cell>
          <cell r="C1023">
            <v>20</v>
          </cell>
          <cell r="D1023" t="str">
            <v>KINTO</v>
          </cell>
          <cell r="E1023" t="str">
            <v>KAIJU 2</v>
          </cell>
          <cell r="N1023">
            <v>7125</v>
          </cell>
        </row>
        <row r="1024">
          <cell r="A1024">
            <v>265</v>
          </cell>
          <cell r="B1024">
            <v>65</v>
          </cell>
          <cell r="C1024">
            <v>17</v>
          </cell>
          <cell r="D1024" t="str">
            <v>KUMHO</v>
          </cell>
          <cell r="E1024" t="str">
            <v>HP17</v>
          </cell>
          <cell r="N1024">
            <v>7500</v>
          </cell>
        </row>
        <row r="1025">
          <cell r="A1025">
            <v>265</v>
          </cell>
          <cell r="B1025">
            <v>60</v>
          </cell>
          <cell r="C1025">
            <v>18</v>
          </cell>
          <cell r="D1025" t="str">
            <v xml:space="preserve">LAND SPIDER </v>
          </cell>
          <cell r="E1025" t="str">
            <v>WILDTRAXX TH</v>
          </cell>
          <cell r="N1025">
            <v>5399</v>
          </cell>
        </row>
        <row r="1026">
          <cell r="A1026">
            <v>215</v>
          </cell>
          <cell r="B1026">
            <v>70</v>
          </cell>
          <cell r="C1026">
            <v>16</v>
          </cell>
          <cell r="D1026" t="str">
            <v>LAUFENN</v>
          </cell>
          <cell r="E1026" t="str">
            <v>FIT VAN8 6PR</v>
          </cell>
          <cell r="N1026">
            <v>4292</v>
          </cell>
        </row>
        <row r="1027">
          <cell r="A1027">
            <v>235</v>
          </cell>
          <cell r="B1027">
            <v>55</v>
          </cell>
          <cell r="C1027">
            <v>19</v>
          </cell>
          <cell r="D1027" t="str">
            <v>LAUFENN</v>
          </cell>
          <cell r="E1027" t="str">
            <v>S FIT A6</v>
          </cell>
          <cell r="N1027">
            <v>6920</v>
          </cell>
        </row>
        <row r="1028">
          <cell r="A1028">
            <v>145</v>
          </cell>
          <cell r="C1028">
            <v>12</v>
          </cell>
          <cell r="D1028" t="str">
            <v>LEAO</v>
          </cell>
          <cell r="E1028" t="str">
            <v>LMA1 8PR</v>
          </cell>
          <cell r="N1028">
            <v>1707.2</v>
          </cell>
        </row>
        <row r="1029">
          <cell r="A1029">
            <v>175</v>
          </cell>
          <cell r="C1029">
            <v>13</v>
          </cell>
          <cell r="D1029" t="str">
            <v>LEAO</v>
          </cell>
          <cell r="N1029">
            <v>2181</v>
          </cell>
        </row>
        <row r="1030">
          <cell r="A1030">
            <v>165</v>
          </cell>
          <cell r="B1030">
            <v>70</v>
          </cell>
          <cell r="C1030">
            <v>13</v>
          </cell>
          <cell r="D1030" t="str">
            <v>LEAO</v>
          </cell>
          <cell r="N1030">
            <v>1416.2</v>
          </cell>
        </row>
        <row r="1031">
          <cell r="A1031">
            <v>245</v>
          </cell>
          <cell r="B1031">
            <v>40</v>
          </cell>
          <cell r="C1031">
            <v>18</v>
          </cell>
          <cell r="D1031" t="str">
            <v>LEAO</v>
          </cell>
          <cell r="E1031" t="str">
            <v>LION SPORT 3 XL</v>
          </cell>
          <cell r="N1031">
            <v>4035.2</v>
          </cell>
        </row>
        <row r="1032">
          <cell r="A1032">
            <v>225</v>
          </cell>
          <cell r="B1032">
            <v>50</v>
          </cell>
          <cell r="C1032">
            <v>18</v>
          </cell>
          <cell r="D1032" t="str">
            <v>LEXANI</v>
          </cell>
          <cell r="E1032" t="str">
            <v>LX207</v>
          </cell>
          <cell r="N1032">
            <v>6500</v>
          </cell>
        </row>
        <row r="1033">
          <cell r="A1033">
            <v>255</v>
          </cell>
          <cell r="B1033">
            <v>35</v>
          </cell>
          <cell r="C1033">
            <v>20</v>
          </cell>
          <cell r="D1033" t="str">
            <v>LEXANI</v>
          </cell>
          <cell r="E1033" t="str">
            <v>LX207</v>
          </cell>
          <cell r="N1033">
            <v>17400</v>
          </cell>
        </row>
        <row r="1034">
          <cell r="A1034">
            <v>285</v>
          </cell>
          <cell r="B1034">
            <v>40</v>
          </cell>
          <cell r="C1034">
            <v>22</v>
          </cell>
          <cell r="D1034" t="str">
            <v>LEXANI</v>
          </cell>
          <cell r="E1034" t="str">
            <v>LX20</v>
          </cell>
          <cell r="N1034">
            <v>12800</v>
          </cell>
        </row>
        <row r="1035">
          <cell r="A1035">
            <v>285</v>
          </cell>
          <cell r="B1035">
            <v>45</v>
          </cell>
          <cell r="C1035">
            <v>22</v>
          </cell>
          <cell r="D1035" t="str">
            <v>LEXANI</v>
          </cell>
          <cell r="N1035">
            <v>11000</v>
          </cell>
        </row>
        <row r="1036">
          <cell r="A1036">
            <v>175</v>
          </cell>
          <cell r="C1036">
            <v>13</v>
          </cell>
          <cell r="D1036" t="str">
            <v>LINGLONG</v>
          </cell>
          <cell r="E1036" t="str">
            <v>R666</v>
          </cell>
          <cell r="N1036">
            <v>2181</v>
          </cell>
        </row>
        <row r="1037">
          <cell r="A1037">
            <v>205</v>
          </cell>
          <cell r="B1037">
            <v>85</v>
          </cell>
          <cell r="C1037">
            <v>16</v>
          </cell>
          <cell r="D1037" t="str">
            <v>LINGLONG</v>
          </cell>
          <cell r="E1037" t="str">
            <v>12PR LAL812</v>
          </cell>
          <cell r="N1037">
            <v>5868.5</v>
          </cell>
        </row>
        <row r="1038">
          <cell r="A1038">
            <v>265</v>
          </cell>
          <cell r="B1038">
            <v>40</v>
          </cell>
          <cell r="C1038">
            <v>22</v>
          </cell>
          <cell r="D1038" t="str">
            <v>LINGLONG</v>
          </cell>
          <cell r="E1038" t="str">
            <v>GREEN-MAX</v>
          </cell>
          <cell r="N1038">
            <v>5155.08</v>
          </cell>
        </row>
        <row r="1039">
          <cell r="A1039">
            <v>155</v>
          </cell>
          <cell r="C1039">
            <v>12</v>
          </cell>
          <cell r="D1039" t="str">
            <v>MRF</v>
          </cell>
          <cell r="E1039" t="str">
            <v>STEEL MASTER M154</v>
          </cell>
          <cell r="N1039">
            <v>2300</v>
          </cell>
        </row>
        <row r="1040">
          <cell r="A1040">
            <v>185</v>
          </cell>
          <cell r="C1040" t="str">
            <v>14C</v>
          </cell>
          <cell r="D1040" t="str">
            <v>MRF</v>
          </cell>
          <cell r="E1040" t="str">
            <v>8PR STEEL MUSCLE/ MASTER</v>
          </cell>
          <cell r="N1040">
            <v>5868.5</v>
          </cell>
        </row>
        <row r="1041">
          <cell r="A1041">
            <v>195</v>
          </cell>
          <cell r="C1041" t="str">
            <v>14C</v>
          </cell>
          <cell r="D1041" t="str">
            <v>MRF</v>
          </cell>
          <cell r="E1041" t="str">
            <v>8PR M151</v>
          </cell>
          <cell r="N1041">
            <v>3136.25</v>
          </cell>
        </row>
        <row r="1042">
          <cell r="A1042">
            <v>37</v>
          </cell>
          <cell r="B1042">
            <v>13.5</v>
          </cell>
          <cell r="C1042">
            <v>20</v>
          </cell>
          <cell r="D1042" t="str">
            <v>MASTERCRAFT</v>
          </cell>
          <cell r="E1042" t="str">
            <v>MXT</v>
          </cell>
          <cell r="N1042">
            <v>23420</v>
          </cell>
        </row>
        <row r="1043">
          <cell r="A1043">
            <v>175</v>
          </cell>
          <cell r="B1043">
            <v>65</v>
          </cell>
          <cell r="C1043">
            <v>14</v>
          </cell>
          <cell r="D1043" t="str">
            <v>MASSIMO</v>
          </cell>
          <cell r="E1043" t="str">
            <v>OTTIMA</v>
          </cell>
          <cell r="N1043">
            <v>1628.23</v>
          </cell>
        </row>
        <row r="1044">
          <cell r="A1044">
            <v>185</v>
          </cell>
          <cell r="B1044">
            <v>55</v>
          </cell>
          <cell r="C1044">
            <v>15</v>
          </cell>
          <cell r="D1044" t="str">
            <v>MASSIMO</v>
          </cell>
          <cell r="E1044" t="str">
            <v>OTTIMA</v>
          </cell>
          <cell r="N1044">
            <v>1894.46</v>
          </cell>
        </row>
        <row r="1045">
          <cell r="A1045">
            <v>185</v>
          </cell>
          <cell r="B1045">
            <v>60</v>
          </cell>
          <cell r="C1045">
            <v>15</v>
          </cell>
          <cell r="D1045" t="str">
            <v>MASSIMO</v>
          </cell>
          <cell r="E1045" t="str">
            <v>OTTIMA</v>
          </cell>
          <cell r="N1045">
            <v>1870.19</v>
          </cell>
        </row>
        <row r="1046">
          <cell r="A1046">
            <v>195</v>
          </cell>
          <cell r="B1046">
            <v>55</v>
          </cell>
          <cell r="C1046">
            <v>15</v>
          </cell>
          <cell r="D1046" t="str">
            <v>MASSIMO</v>
          </cell>
          <cell r="E1046" t="str">
            <v>OTTIMA</v>
          </cell>
          <cell r="N1046">
            <v>1974.87</v>
          </cell>
        </row>
        <row r="1047">
          <cell r="A1047">
            <v>185</v>
          </cell>
          <cell r="B1047">
            <v>65</v>
          </cell>
          <cell r="C1047">
            <v>15</v>
          </cell>
          <cell r="D1047" t="str">
            <v>MASSIMO</v>
          </cell>
          <cell r="E1047" t="str">
            <v>OTTIMA</v>
          </cell>
          <cell r="N1047">
            <v>1961.48</v>
          </cell>
        </row>
        <row r="1048">
          <cell r="A1048">
            <v>205</v>
          </cell>
          <cell r="B1048">
            <v>65</v>
          </cell>
          <cell r="C1048">
            <v>15</v>
          </cell>
          <cell r="D1048" t="str">
            <v>MASSIMO</v>
          </cell>
          <cell r="E1048" t="str">
            <v>OTTIMA</v>
          </cell>
          <cell r="N1048">
            <v>2449.3000000000002</v>
          </cell>
        </row>
        <row r="1049">
          <cell r="A1049">
            <v>225</v>
          </cell>
          <cell r="B1049">
            <v>70</v>
          </cell>
          <cell r="C1049" t="str">
            <v>15C</v>
          </cell>
          <cell r="D1049" t="str">
            <v>MASSIMO</v>
          </cell>
          <cell r="E1049" t="str">
            <v>DUREVO</v>
          </cell>
          <cell r="N1049">
            <v>3502.54</v>
          </cell>
        </row>
        <row r="1050">
          <cell r="A1050">
            <v>205</v>
          </cell>
          <cell r="B1050">
            <v>55</v>
          </cell>
          <cell r="C1050">
            <v>16</v>
          </cell>
          <cell r="D1050" t="str">
            <v>MASSIMO</v>
          </cell>
          <cell r="E1050" t="str">
            <v>OTTIMA</v>
          </cell>
          <cell r="N1050">
            <v>2187.52</v>
          </cell>
        </row>
        <row r="1051">
          <cell r="A1051">
            <v>215</v>
          </cell>
          <cell r="B1051">
            <v>55</v>
          </cell>
          <cell r="C1051">
            <v>16</v>
          </cell>
          <cell r="D1051" t="str">
            <v>MASSIMO</v>
          </cell>
          <cell r="E1051" t="str">
            <v>OTTIMA</v>
          </cell>
          <cell r="N1051">
            <v>2589.7199999999998</v>
          </cell>
        </row>
        <row r="1052">
          <cell r="A1052">
            <v>215</v>
          </cell>
          <cell r="B1052">
            <v>60</v>
          </cell>
          <cell r="C1052">
            <v>16</v>
          </cell>
          <cell r="D1052" t="str">
            <v>MASSIMO</v>
          </cell>
          <cell r="E1052" t="str">
            <v>AQUILA</v>
          </cell>
          <cell r="N1052">
            <v>2686.05</v>
          </cell>
        </row>
        <row r="1053">
          <cell r="A1053">
            <v>205</v>
          </cell>
          <cell r="B1053">
            <v>65</v>
          </cell>
          <cell r="C1053">
            <v>16</v>
          </cell>
          <cell r="D1053" t="str">
            <v>MASSIMO</v>
          </cell>
          <cell r="E1053" t="str">
            <v>AQUILA</v>
          </cell>
          <cell r="N1053">
            <v>2744.6</v>
          </cell>
        </row>
        <row r="1054">
          <cell r="A1054">
            <v>215</v>
          </cell>
          <cell r="B1054">
            <v>50</v>
          </cell>
          <cell r="C1054">
            <v>17</v>
          </cell>
          <cell r="D1054" t="str">
            <v>MASSIMO</v>
          </cell>
          <cell r="E1054" t="str">
            <v>OTTIMA</v>
          </cell>
          <cell r="N1054">
            <v>2744.88</v>
          </cell>
        </row>
        <row r="1055">
          <cell r="A1055">
            <v>265</v>
          </cell>
          <cell r="B1055">
            <v>65</v>
          </cell>
          <cell r="C1055">
            <v>17</v>
          </cell>
          <cell r="D1055" t="str">
            <v>MASSIMO</v>
          </cell>
          <cell r="E1055" t="str">
            <v>STELLA</v>
          </cell>
          <cell r="N1055">
            <v>4636.05</v>
          </cell>
        </row>
        <row r="1056">
          <cell r="A1056">
            <v>265</v>
          </cell>
          <cell r="B1056">
            <v>65</v>
          </cell>
          <cell r="C1056">
            <v>17</v>
          </cell>
          <cell r="D1056" t="str">
            <v>MASSIMO</v>
          </cell>
          <cell r="E1056" t="str">
            <v>ROCCIA</v>
          </cell>
          <cell r="N1056">
            <v>4814.5</v>
          </cell>
        </row>
        <row r="1057">
          <cell r="A1057">
            <v>265</v>
          </cell>
          <cell r="B1057">
            <v>60</v>
          </cell>
          <cell r="C1057">
            <v>18</v>
          </cell>
          <cell r="D1057" t="str">
            <v>MASSIMO</v>
          </cell>
          <cell r="E1057" t="str">
            <v>STELLA</v>
          </cell>
          <cell r="N1057">
            <v>4792.46</v>
          </cell>
        </row>
        <row r="1058">
          <cell r="A1058">
            <v>265</v>
          </cell>
          <cell r="B1058">
            <v>60</v>
          </cell>
          <cell r="C1058">
            <v>18</v>
          </cell>
          <cell r="D1058" t="str">
            <v>MASSIMO</v>
          </cell>
          <cell r="E1058" t="str">
            <v>ROCCIA</v>
          </cell>
          <cell r="N1058">
            <v>4809.71</v>
          </cell>
        </row>
        <row r="1059">
          <cell r="A1059">
            <v>265</v>
          </cell>
          <cell r="B1059">
            <v>60</v>
          </cell>
          <cell r="C1059">
            <v>18</v>
          </cell>
          <cell r="D1059" t="str">
            <v>MASSIMO</v>
          </cell>
          <cell r="E1059" t="str">
            <v>FORTE A/T</v>
          </cell>
          <cell r="N1059">
            <v>4890.18</v>
          </cell>
        </row>
        <row r="1060">
          <cell r="A1060">
            <v>225</v>
          </cell>
          <cell r="B1060">
            <v>40</v>
          </cell>
          <cell r="C1060">
            <v>18</v>
          </cell>
          <cell r="D1060" t="str">
            <v>MAXTREK</v>
          </cell>
          <cell r="E1060" t="str">
            <v>S-1088</v>
          </cell>
          <cell r="N1060">
            <v>3150</v>
          </cell>
        </row>
        <row r="1061">
          <cell r="A1061">
            <v>265</v>
          </cell>
          <cell r="B1061">
            <v>50</v>
          </cell>
          <cell r="C1061">
            <v>20</v>
          </cell>
          <cell r="D1061" t="str">
            <v>MAXTREK</v>
          </cell>
          <cell r="E1061" t="str">
            <v>FORTIS UHPT5</v>
          </cell>
          <cell r="N1061">
            <v>6097</v>
          </cell>
        </row>
        <row r="1062">
          <cell r="A1062">
            <v>195</v>
          </cell>
          <cell r="B1062">
            <v>50</v>
          </cell>
          <cell r="C1062">
            <v>15</v>
          </cell>
          <cell r="D1062" t="str">
            <v>MAXXIS</v>
          </cell>
          <cell r="E1062" t="str">
            <v>VICTRA Z3</v>
          </cell>
          <cell r="N1062">
            <v>2680.08</v>
          </cell>
        </row>
        <row r="1063">
          <cell r="A1063" t="str">
            <v>38</v>
          </cell>
          <cell r="B1063">
            <v>13</v>
          </cell>
          <cell r="C1063">
            <v>15</v>
          </cell>
          <cell r="D1063" t="str">
            <v>MAXXIS</v>
          </cell>
          <cell r="E1063" t="str">
            <v>CREPPY CRAWLER MT-8</v>
          </cell>
          <cell r="N1063">
            <v>15000</v>
          </cell>
        </row>
        <row r="1064">
          <cell r="A1064" t="str">
            <v>215</v>
          </cell>
          <cell r="B1064">
            <v>45</v>
          </cell>
          <cell r="C1064">
            <v>17</v>
          </cell>
          <cell r="D1064" t="str">
            <v>MAZZINI</v>
          </cell>
          <cell r="E1064" t="str">
            <v>ECO 607</v>
          </cell>
          <cell r="N1064">
            <v>2036.8</v>
          </cell>
        </row>
        <row r="1065">
          <cell r="A1065" t="str">
            <v>265</v>
          </cell>
          <cell r="B1065">
            <v>60</v>
          </cell>
          <cell r="C1065">
            <v>18</v>
          </cell>
          <cell r="D1065" t="str">
            <v>MAZZINI</v>
          </cell>
          <cell r="E1065" t="str">
            <v>SHARK-Z 02</v>
          </cell>
          <cell r="N1065">
            <v>6480</v>
          </cell>
        </row>
        <row r="1066">
          <cell r="A1066" t="str">
            <v>165</v>
          </cell>
          <cell r="B1066">
            <v>65</v>
          </cell>
          <cell r="C1066">
            <v>14</v>
          </cell>
          <cell r="D1066" t="str">
            <v>MICHELIN</v>
          </cell>
          <cell r="E1066" t="str">
            <v>ENERGY XM2+</v>
          </cell>
          <cell r="N1066">
            <v>3435.2</v>
          </cell>
        </row>
        <row r="1067">
          <cell r="A1067" t="str">
            <v>175</v>
          </cell>
          <cell r="B1067">
            <v>65</v>
          </cell>
          <cell r="C1067">
            <v>14</v>
          </cell>
          <cell r="D1067" t="str">
            <v>MICHELIN</v>
          </cell>
          <cell r="E1067" t="str">
            <v>ENERGY XM2+</v>
          </cell>
          <cell r="N1067">
            <v>3420</v>
          </cell>
        </row>
        <row r="1068">
          <cell r="A1068" t="str">
            <v>185</v>
          </cell>
          <cell r="B1068">
            <v>65</v>
          </cell>
          <cell r="C1068">
            <v>14</v>
          </cell>
          <cell r="D1068" t="str">
            <v>MICHELIN</v>
          </cell>
          <cell r="E1068" t="str">
            <v>ENERGY XM2+</v>
          </cell>
          <cell r="N1068">
            <v>4070.78</v>
          </cell>
        </row>
        <row r="1069">
          <cell r="A1069" t="str">
            <v>175</v>
          </cell>
          <cell r="B1069">
            <v>70</v>
          </cell>
          <cell r="C1069">
            <v>14</v>
          </cell>
          <cell r="D1069" t="str">
            <v>MICHELIN</v>
          </cell>
          <cell r="E1069" t="str">
            <v>ENERGY XM2+</v>
          </cell>
          <cell r="N1069">
            <v>4362.3999999999996</v>
          </cell>
        </row>
        <row r="1070">
          <cell r="A1070" t="str">
            <v>185</v>
          </cell>
          <cell r="B1070">
            <v>70</v>
          </cell>
          <cell r="C1070">
            <v>14</v>
          </cell>
          <cell r="D1070" t="str">
            <v>MICHELIN</v>
          </cell>
          <cell r="E1070" t="str">
            <v>ENERGY XM2+</v>
          </cell>
          <cell r="N1070">
            <v>4035.6</v>
          </cell>
        </row>
        <row r="1071">
          <cell r="A1071" t="str">
            <v>185</v>
          </cell>
          <cell r="C1071" t="str">
            <v>14C</v>
          </cell>
          <cell r="D1071" t="str">
            <v>MICHELIN</v>
          </cell>
          <cell r="E1071" t="str">
            <v>AGILIS</v>
          </cell>
          <cell r="N1071">
            <v>5950</v>
          </cell>
        </row>
        <row r="1072">
          <cell r="A1072" t="str">
            <v>185</v>
          </cell>
          <cell r="C1072" t="str">
            <v>14C</v>
          </cell>
          <cell r="D1072" t="str">
            <v>MICHELIN</v>
          </cell>
          <cell r="E1072" t="str">
            <v>AGILIS 3</v>
          </cell>
          <cell r="N1072">
            <v>4696.8</v>
          </cell>
        </row>
        <row r="1073">
          <cell r="A1073" t="str">
            <v>195</v>
          </cell>
          <cell r="B1073">
            <v>80</v>
          </cell>
          <cell r="C1073">
            <v>14</v>
          </cell>
          <cell r="D1073" t="str">
            <v>MICHELIN</v>
          </cell>
          <cell r="E1073" t="str">
            <v>AGILIS 3</v>
          </cell>
          <cell r="N1073">
            <v>5016.8500000000004</v>
          </cell>
        </row>
        <row r="1074">
          <cell r="A1074" t="str">
            <v>195</v>
          </cell>
          <cell r="B1074">
            <v>50</v>
          </cell>
          <cell r="C1074">
            <v>15</v>
          </cell>
          <cell r="D1074" t="str">
            <v>MICHELIN</v>
          </cell>
          <cell r="E1074" t="str">
            <v>PILOT SPORT 3</v>
          </cell>
          <cell r="N1074">
            <v>4385.2</v>
          </cell>
        </row>
        <row r="1075">
          <cell r="A1075" t="str">
            <v>185</v>
          </cell>
          <cell r="B1075">
            <v>55</v>
          </cell>
          <cell r="C1075">
            <v>15</v>
          </cell>
          <cell r="D1075" t="str">
            <v>MICHELIN</v>
          </cell>
          <cell r="E1075" t="str">
            <v>ENERGY XM2+</v>
          </cell>
          <cell r="N1075">
            <v>4316.8</v>
          </cell>
        </row>
        <row r="1076">
          <cell r="A1076">
            <v>195</v>
          </cell>
          <cell r="B1076">
            <v>55</v>
          </cell>
          <cell r="C1076">
            <v>15</v>
          </cell>
          <cell r="D1076" t="str">
            <v>MICHELIN</v>
          </cell>
          <cell r="E1076" t="str">
            <v>PILOT SPORT 3</v>
          </cell>
          <cell r="N1076">
            <v>4630</v>
          </cell>
        </row>
        <row r="1077">
          <cell r="A1077">
            <v>195</v>
          </cell>
          <cell r="B1077">
            <v>55</v>
          </cell>
          <cell r="C1077">
            <v>15</v>
          </cell>
          <cell r="D1077" t="str">
            <v>MICHELIN</v>
          </cell>
          <cell r="E1077" t="str">
            <v>ENERGY XM2+</v>
          </cell>
          <cell r="N1077">
            <v>4613.2</v>
          </cell>
        </row>
        <row r="1078">
          <cell r="A1078" t="str">
            <v>185</v>
          </cell>
          <cell r="B1078">
            <v>60</v>
          </cell>
          <cell r="C1078">
            <v>15</v>
          </cell>
          <cell r="D1078" t="str">
            <v>MICHELIN</v>
          </cell>
          <cell r="E1078" t="str">
            <v>ENERGY XM2+</v>
          </cell>
          <cell r="N1078">
            <v>4157</v>
          </cell>
        </row>
        <row r="1079">
          <cell r="A1079" t="str">
            <v>195</v>
          </cell>
          <cell r="B1079">
            <v>60</v>
          </cell>
          <cell r="C1079">
            <v>15</v>
          </cell>
          <cell r="D1079" t="str">
            <v>MICHELIN</v>
          </cell>
          <cell r="E1079" t="str">
            <v>PRIMACY 4ST</v>
          </cell>
          <cell r="N1079">
            <v>4894.3999999999996</v>
          </cell>
        </row>
        <row r="1080">
          <cell r="A1080" t="str">
            <v>195</v>
          </cell>
          <cell r="B1080">
            <v>60</v>
          </cell>
          <cell r="C1080">
            <v>15</v>
          </cell>
          <cell r="D1080" t="str">
            <v>MICHELIN</v>
          </cell>
          <cell r="E1080" t="str">
            <v>ENERGY XM2+</v>
          </cell>
        </row>
        <row r="1081">
          <cell r="A1081" t="str">
            <v>175</v>
          </cell>
          <cell r="B1081">
            <v>65</v>
          </cell>
          <cell r="C1081">
            <v>15</v>
          </cell>
          <cell r="D1081" t="str">
            <v>MICHELIN</v>
          </cell>
          <cell r="E1081" t="str">
            <v>ENERGY XM2+</v>
          </cell>
          <cell r="N1081">
            <v>3818.37</v>
          </cell>
        </row>
        <row r="1082">
          <cell r="A1082" t="str">
            <v>185</v>
          </cell>
          <cell r="B1082">
            <v>65</v>
          </cell>
          <cell r="C1082">
            <v>15</v>
          </cell>
          <cell r="D1082" t="str">
            <v>MICHELIN</v>
          </cell>
          <cell r="E1082" t="str">
            <v>ENERGY XM2+</v>
          </cell>
          <cell r="N1082">
            <v>4837.22</v>
          </cell>
        </row>
        <row r="1083">
          <cell r="A1083">
            <v>195</v>
          </cell>
          <cell r="B1083">
            <v>65</v>
          </cell>
          <cell r="C1083">
            <v>15</v>
          </cell>
          <cell r="D1083" t="str">
            <v>MICHELIN</v>
          </cell>
          <cell r="E1083" t="str">
            <v>ENERGY XM2+</v>
          </cell>
          <cell r="N1083">
            <v>4573.75</v>
          </cell>
        </row>
        <row r="1084">
          <cell r="A1084" t="str">
            <v>205</v>
          </cell>
          <cell r="B1084">
            <v>65</v>
          </cell>
          <cell r="C1084">
            <v>15</v>
          </cell>
          <cell r="D1084" t="str">
            <v>MICHELIN</v>
          </cell>
          <cell r="E1084" t="str">
            <v>ENERGY XM2</v>
          </cell>
          <cell r="N1084">
            <v>4000</v>
          </cell>
        </row>
        <row r="1085">
          <cell r="A1085" t="str">
            <v>205</v>
          </cell>
          <cell r="B1085">
            <v>65</v>
          </cell>
          <cell r="C1085">
            <v>15</v>
          </cell>
          <cell r="D1085" t="str">
            <v>MICHELIN</v>
          </cell>
          <cell r="E1085" t="str">
            <v>ENERGY XM2+</v>
          </cell>
          <cell r="N1085">
            <v>4327.2700000000004</v>
          </cell>
        </row>
        <row r="1086">
          <cell r="A1086" t="str">
            <v>195</v>
          </cell>
          <cell r="B1086">
            <v>70</v>
          </cell>
          <cell r="C1086" t="str">
            <v>15C</v>
          </cell>
          <cell r="D1086" t="str">
            <v>MICHELIN</v>
          </cell>
          <cell r="E1086" t="str">
            <v>AGILIS 3 104/102S TL MI</v>
          </cell>
          <cell r="N1086">
            <v>4600</v>
          </cell>
        </row>
        <row r="1087">
          <cell r="A1087" t="str">
            <v>205</v>
          </cell>
          <cell r="B1087">
            <v>70</v>
          </cell>
          <cell r="C1087" t="str">
            <v>15C</v>
          </cell>
          <cell r="D1087" t="str">
            <v>MICHELIN</v>
          </cell>
          <cell r="E1087" t="str">
            <v>AGILIS 3</v>
          </cell>
          <cell r="N1087">
            <v>5966.43</v>
          </cell>
        </row>
        <row r="1088">
          <cell r="A1088" t="str">
            <v>205</v>
          </cell>
          <cell r="B1088">
            <v>70</v>
          </cell>
          <cell r="C1088">
            <v>15</v>
          </cell>
          <cell r="D1088" t="str">
            <v>MICHELIN</v>
          </cell>
          <cell r="E1088" t="str">
            <v>PRIMACY SUV+</v>
          </cell>
          <cell r="N1088">
            <v>5114.8</v>
          </cell>
        </row>
        <row r="1089">
          <cell r="A1089" t="str">
            <v>215</v>
          </cell>
          <cell r="B1089">
            <v>70</v>
          </cell>
          <cell r="C1089" t="str">
            <v>15C</v>
          </cell>
          <cell r="D1089" t="str">
            <v>MICHELIN</v>
          </cell>
          <cell r="E1089" t="str">
            <v>AGILIS 3</v>
          </cell>
          <cell r="N1089">
            <v>6572</v>
          </cell>
        </row>
        <row r="1090">
          <cell r="A1090" t="str">
            <v>225</v>
          </cell>
          <cell r="B1090">
            <v>70</v>
          </cell>
          <cell r="C1090" t="str">
            <v>15C</v>
          </cell>
          <cell r="D1090" t="str">
            <v>MICHELIN</v>
          </cell>
          <cell r="E1090" t="str">
            <v>AGILIS 3</v>
          </cell>
          <cell r="N1090">
            <v>6361.2</v>
          </cell>
        </row>
        <row r="1091">
          <cell r="A1091" t="str">
            <v>235</v>
          </cell>
          <cell r="B1091">
            <v>70</v>
          </cell>
          <cell r="C1091">
            <v>15</v>
          </cell>
          <cell r="D1091" t="str">
            <v>MICHELIN</v>
          </cell>
          <cell r="E1091" t="str">
            <v>LTX TRAIL</v>
          </cell>
          <cell r="N1091">
            <v>6948.35</v>
          </cell>
        </row>
        <row r="1092">
          <cell r="A1092" t="str">
            <v>225</v>
          </cell>
          <cell r="B1092">
            <v>75</v>
          </cell>
          <cell r="C1092">
            <v>15</v>
          </cell>
          <cell r="D1092" t="str">
            <v>MICHELIN</v>
          </cell>
          <cell r="E1092" t="str">
            <v>SYNCHRONE</v>
          </cell>
          <cell r="N1092">
            <v>7500</v>
          </cell>
        </row>
        <row r="1093">
          <cell r="A1093" t="str">
            <v>235</v>
          </cell>
          <cell r="B1093">
            <v>75</v>
          </cell>
          <cell r="C1093">
            <v>15</v>
          </cell>
          <cell r="D1093" t="str">
            <v>MICHELIN</v>
          </cell>
          <cell r="E1093" t="str">
            <v>LTX TRAIL</v>
          </cell>
          <cell r="N1093">
            <v>6657.6</v>
          </cell>
        </row>
        <row r="1094">
          <cell r="A1094" t="str">
            <v>195</v>
          </cell>
          <cell r="C1094" t="str">
            <v>15C</v>
          </cell>
          <cell r="D1094" t="str">
            <v>MICHELIN</v>
          </cell>
          <cell r="E1094" t="str">
            <v>AGILIS</v>
          </cell>
          <cell r="N1094">
            <v>4988</v>
          </cell>
        </row>
        <row r="1095">
          <cell r="A1095" t="str">
            <v>195</v>
          </cell>
          <cell r="B1095">
            <v>80</v>
          </cell>
          <cell r="C1095" t="str">
            <v>15C</v>
          </cell>
          <cell r="D1095" t="str">
            <v>MICHELIN</v>
          </cell>
          <cell r="E1095" t="str">
            <v>AGILIS 3</v>
          </cell>
          <cell r="N1095">
            <v>5315.32</v>
          </cell>
        </row>
        <row r="1096">
          <cell r="A1096" t="str">
            <v>195</v>
          </cell>
          <cell r="B1096">
            <v>50</v>
          </cell>
          <cell r="C1096">
            <v>16</v>
          </cell>
          <cell r="D1096" t="str">
            <v>MICHELIN</v>
          </cell>
          <cell r="E1096" t="str">
            <v>ENERGY XM2+</v>
          </cell>
          <cell r="N1096">
            <v>5358</v>
          </cell>
        </row>
        <row r="1097">
          <cell r="A1097" t="str">
            <v>185</v>
          </cell>
          <cell r="B1097">
            <v>55</v>
          </cell>
          <cell r="C1097">
            <v>16</v>
          </cell>
          <cell r="D1097" t="str">
            <v>MICHELIN</v>
          </cell>
          <cell r="E1097" t="str">
            <v>ENERGY XM2+</v>
          </cell>
          <cell r="N1097">
            <v>5042.6499999999996</v>
          </cell>
        </row>
        <row r="1098">
          <cell r="A1098" t="str">
            <v>205</v>
          </cell>
          <cell r="C1098">
            <v>16</v>
          </cell>
          <cell r="D1098" t="str">
            <v>MICHELIN</v>
          </cell>
          <cell r="E1098" t="str">
            <v>ENERGY XM2+</v>
          </cell>
          <cell r="N1098">
            <v>4722.47</v>
          </cell>
        </row>
        <row r="1099">
          <cell r="A1099" t="str">
            <v>215</v>
          </cell>
          <cell r="B1099">
            <v>55</v>
          </cell>
          <cell r="C1099">
            <v>16</v>
          </cell>
          <cell r="D1099" t="str">
            <v>MICHELIN</v>
          </cell>
          <cell r="E1099" t="str">
            <v>PRIMACY 4ST</v>
          </cell>
          <cell r="N1099">
            <v>6665.8</v>
          </cell>
        </row>
        <row r="1100">
          <cell r="A1100" t="str">
            <v>255</v>
          </cell>
          <cell r="B1100">
            <v>55</v>
          </cell>
          <cell r="C1100">
            <v>16</v>
          </cell>
          <cell r="D1100" t="str">
            <v>MICHELIN</v>
          </cell>
          <cell r="E1100" t="str">
            <v>PRIMACY 4ST</v>
          </cell>
          <cell r="N1100">
            <v>7334</v>
          </cell>
        </row>
        <row r="1101">
          <cell r="A1101" t="str">
            <v>195</v>
          </cell>
          <cell r="B1101">
            <v>60</v>
          </cell>
          <cell r="C1101">
            <v>16</v>
          </cell>
          <cell r="D1101" t="str">
            <v>MICHELIN</v>
          </cell>
          <cell r="E1101" t="str">
            <v>ENERGY XM2+</v>
          </cell>
          <cell r="N1101">
            <v>6186.4</v>
          </cell>
        </row>
        <row r="1102">
          <cell r="A1102" t="str">
            <v>195</v>
          </cell>
          <cell r="B1102">
            <v>60</v>
          </cell>
          <cell r="C1102">
            <v>16</v>
          </cell>
          <cell r="D1102" t="str">
            <v>MICHELIN</v>
          </cell>
          <cell r="E1102" t="str">
            <v>PRIMACY 5</v>
          </cell>
          <cell r="N1102">
            <v>5528.01</v>
          </cell>
        </row>
        <row r="1103">
          <cell r="A1103" t="str">
            <v>205</v>
          </cell>
          <cell r="B1103">
            <v>60</v>
          </cell>
          <cell r="C1103">
            <v>16</v>
          </cell>
          <cell r="D1103" t="str">
            <v>MICHELIN</v>
          </cell>
          <cell r="E1103" t="str">
            <v>ENERGY XM2+</v>
          </cell>
          <cell r="N1103">
            <v>5692.4</v>
          </cell>
        </row>
        <row r="1104">
          <cell r="A1104" t="str">
            <v>205</v>
          </cell>
          <cell r="B1104">
            <v>60</v>
          </cell>
          <cell r="C1104">
            <v>16</v>
          </cell>
          <cell r="D1104" t="str">
            <v>MICHELIN</v>
          </cell>
          <cell r="E1104" t="str">
            <v>XM2+</v>
          </cell>
          <cell r="N1104">
            <v>5800</v>
          </cell>
        </row>
        <row r="1105">
          <cell r="A1105" t="str">
            <v>205</v>
          </cell>
          <cell r="B1105">
            <v>60</v>
          </cell>
          <cell r="C1105">
            <v>16</v>
          </cell>
          <cell r="D1105" t="str">
            <v>MICHELIN</v>
          </cell>
          <cell r="E1105" t="str">
            <v>PRIMACY 5</v>
          </cell>
          <cell r="N1105">
            <v>5692.4</v>
          </cell>
        </row>
        <row r="1106">
          <cell r="A1106" t="str">
            <v>235</v>
          </cell>
          <cell r="B1106">
            <v>60</v>
          </cell>
          <cell r="C1106">
            <v>16</v>
          </cell>
          <cell r="D1106" t="str">
            <v>MICHELIN</v>
          </cell>
          <cell r="E1106" t="str">
            <v>PRIMACY SUV+</v>
          </cell>
          <cell r="N1106">
            <v>10800</v>
          </cell>
        </row>
        <row r="1107">
          <cell r="A1107" t="str">
            <v>235</v>
          </cell>
          <cell r="B1107">
            <v>60</v>
          </cell>
          <cell r="C1107">
            <v>16</v>
          </cell>
          <cell r="D1107" t="str">
            <v>MICHELIN</v>
          </cell>
          <cell r="E1107" t="str">
            <v>PRIMACY 4ST</v>
          </cell>
          <cell r="N1107">
            <v>7468.1625000000004</v>
          </cell>
        </row>
        <row r="1108">
          <cell r="A1108" t="str">
            <v>205</v>
          </cell>
          <cell r="B1108">
            <v>65</v>
          </cell>
          <cell r="C1108">
            <v>16</v>
          </cell>
          <cell r="D1108" t="str">
            <v>MICHELIN</v>
          </cell>
          <cell r="E1108" t="str">
            <v>PRIMACY 4ST</v>
          </cell>
          <cell r="N1108">
            <v>4944.08</v>
          </cell>
        </row>
        <row r="1109">
          <cell r="A1109" t="str">
            <v>205</v>
          </cell>
          <cell r="B1109">
            <v>65</v>
          </cell>
          <cell r="C1109">
            <v>16</v>
          </cell>
          <cell r="D1109" t="str">
            <v>MICHELIN</v>
          </cell>
          <cell r="E1109" t="str">
            <v>PRIMACY 5</v>
          </cell>
          <cell r="N1109">
            <v>4970.3999999999996</v>
          </cell>
        </row>
        <row r="1110">
          <cell r="A1110" t="str">
            <v>215</v>
          </cell>
          <cell r="B1110">
            <v>65</v>
          </cell>
          <cell r="C1110">
            <v>16</v>
          </cell>
          <cell r="D1110" t="str">
            <v>MICHELIN</v>
          </cell>
          <cell r="E1110" t="str">
            <v>ENERGY XM2+</v>
          </cell>
          <cell r="N1110">
            <v>5644.5</v>
          </cell>
        </row>
        <row r="1111">
          <cell r="A1111" t="str">
            <v>235</v>
          </cell>
          <cell r="B1111">
            <v>65</v>
          </cell>
          <cell r="C1111" t="str">
            <v>16C</v>
          </cell>
          <cell r="D1111" t="str">
            <v>MICHELIN</v>
          </cell>
          <cell r="E1111" t="str">
            <v>AGILIS 3</v>
          </cell>
          <cell r="N1111">
            <v>8337.2000000000007</v>
          </cell>
        </row>
        <row r="1112">
          <cell r="A1112" t="str">
            <v>215</v>
          </cell>
          <cell r="B1112">
            <v>70</v>
          </cell>
          <cell r="C1112">
            <v>16</v>
          </cell>
          <cell r="D1112" t="str">
            <v>MICHELIN</v>
          </cell>
          <cell r="E1112" t="str">
            <v>PRIMACY SUV+</v>
          </cell>
          <cell r="N1112">
            <v>7410</v>
          </cell>
        </row>
        <row r="1113">
          <cell r="A1113" t="str">
            <v>215</v>
          </cell>
          <cell r="B1113">
            <v>70</v>
          </cell>
          <cell r="C1113" t="str">
            <v>16C</v>
          </cell>
          <cell r="D1113" t="str">
            <v>MICHELIN</v>
          </cell>
          <cell r="E1113" t="str">
            <v>AGILIS 3 TL</v>
          </cell>
          <cell r="N1113">
            <v>6264.16</v>
          </cell>
        </row>
        <row r="1114">
          <cell r="A1114" t="str">
            <v>265</v>
          </cell>
          <cell r="B1114">
            <v>70</v>
          </cell>
          <cell r="C1114">
            <v>16</v>
          </cell>
          <cell r="D1114" t="str">
            <v>MICHELIN</v>
          </cell>
          <cell r="E1114" t="str">
            <v>Latitude CROSS</v>
          </cell>
          <cell r="N1114">
            <v>6780</v>
          </cell>
        </row>
        <row r="1115">
          <cell r="A1115" t="str">
            <v>265</v>
          </cell>
          <cell r="B1115">
            <v>70</v>
          </cell>
          <cell r="C1115">
            <v>16</v>
          </cell>
          <cell r="D1115" t="str">
            <v>MICHELIN</v>
          </cell>
          <cell r="E1115" t="str">
            <v>PRIMACY SUV</v>
          </cell>
          <cell r="N1115">
            <v>8588</v>
          </cell>
        </row>
        <row r="1116">
          <cell r="A1116" t="str">
            <v>265</v>
          </cell>
          <cell r="B1116">
            <v>70</v>
          </cell>
          <cell r="C1116">
            <v>16</v>
          </cell>
          <cell r="D1116" t="str">
            <v>MICHELIN</v>
          </cell>
          <cell r="E1116" t="str">
            <v>LTX TRAIL</v>
          </cell>
          <cell r="N1116">
            <v>7624.77</v>
          </cell>
        </row>
        <row r="1117">
          <cell r="A1117" t="str">
            <v>215</v>
          </cell>
          <cell r="B1117">
            <v>45</v>
          </cell>
          <cell r="C1117">
            <v>17</v>
          </cell>
          <cell r="D1117" t="str">
            <v>MICHELIN</v>
          </cell>
          <cell r="E1117" t="str">
            <v>PS4</v>
          </cell>
          <cell r="N1117">
            <v>6340</v>
          </cell>
        </row>
        <row r="1118">
          <cell r="A1118" t="str">
            <v>215</v>
          </cell>
          <cell r="B1118">
            <v>45</v>
          </cell>
          <cell r="C1118">
            <v>17</v>
          </cell>
          <cell r="D1118" t="str">
            <v>MICHELIN</v>
          </cell>
          <cell r="E1118" t="str">
            <v>PS5</v>
          </cell>
          <cell r="N1118">
            <v>8400</v>
          </cell>
        </row>
        <row r="1119">
          <cell r="A1119" t="str">
            <v>225</v>
          </cell>
          <cell r="B1119">
            <v>45</v>
          </cell>
          <cell r="C1119">
            <v>17</v>
          </cell>
          <cell r="D1119" t="str">
            <v>MICHELIN</v>
          </cell>
          <cell r="E1119" t="str">
            <v>PRIMACY 4ST</v>
          </cell>
          <cell r="N1119">
            <v>7858.4</v>
          </cell>
        </row>
        <row r="1120">
          <cell r="A1120" t="str">
            <v>225</v>
          </cell>
          <cell r="B1120">
            <v>45</v>
          </cell>
          <cell r="C1120">
            <v>17</v>
          </cell>
          <cell r="D1120" t="str">
            <v>MICHELIN</v>
          </cell>
          <cell r="E1120" t="str">
            <v>PRIMACY 5</v>
          </cell>
          <cell r="N1120">
            <v>7486</v>
          </cell>
        </row>
        <row r="1121">
          <cell r="A1121" t="str">
            <v>205</v>
          </cell>
          <cell r="B1121">
            <v>50</v>
          </cell>
          <cell r="C1121">
            <v>17</v>
          </cell>
          <cell r="D1121" t="str">
            <v>MICHELIN</v>
          </cell>
          <cell r="E1121" t="str">
            <v>PRIMACY 4ST</v>
          </cell>
          <cell r="N1121">
            <v>6650</v>
          </cell>
        </row>
        <row r="1122">
          <cell r="A1122" t="str">
            <v>205</v>
          </cell>
          <cell r="B1122">
            <v>50</v>
          </cell>
          <cell r="C1122">
            <v>17</v>
          </cell>
          <cell r="D1122" t="str">
            <v>MICHELIN</v>
          </cell>
          <cell r="E1122" t="str">
            <v>PILOT SPORT 4 ZP</v>
          </cell>
          <cell r="N1122">
            <v>9310</v>
          </cell>
        </row>
        <row r="1123">
          <cell r="A1123" t="str">
            <v>205</v>
          </cell>
          <cell r="B1123">
            <v>50</v>
          </cell>
          <cell r="C1123">
            <v>17</v>
          </cell>
          <cell r="D1123" t="str">
            <v>MICHELIN</v>
          </cell>
          <cell r="E1123" t="str">
            <v>PILOT SPORT 4</v>
          </cell>
          <cell r="N1123">
            <v>6535.98</v>
          </cell>
        </row>
        <row r="1124">
          <cell r="A1124" t="str">
            <v>215</v>
          </cell>
          <cell r="B1124">
            <v>50</v>
          </cell>
          <cell r="C1124">
            <v>17</v>
          </cell>
          <cell r="D1124" t="str">
            <v>MICHELIN</v>
          </cell>
          <cell r="E1124" t="str">
            <v>PRIMACY 4ST</v>
          </cell>
          <cell r="N1124">
            <v>7440.4</v>
          </cell>
        </row>
        <row r="1125">
          <cell r="A1125" t="str">
            <v>215</v>
          </cell>
          <cell r="B1125">
            <v>50</v>
          </cell>
          <cell r="C1125">
            <v>17</v>
          </cell>
          <cell r="D1125" t="str">
            <v>MICHELIN</v>
          </cell>
          <cell r="E1125" t="str">
            <v>PRIMACY 5</v>
          </cell>
          <cell r="N1125">
            <v>7440.4</v>
          </cell>
        </row>
        <row r="1126">
          <cell r="A1126" t="str">
            <v>205</v>
          </cell>
          <cell r="B1126">
            <v>55</v>
          </cell>
          <cell r="C1126">
            <v>17</v>
          </cell>
          <cell r="D1126" t="str">
            <v>MICHELIN</v>
          </cell>
          <cell r="E1126" t="str">
            <v>PRIMACY 4ST</v>
          </cell>
          <cell r="N1126">
            <v>7159.2</v>
          </cell>
        </row>
        <row r="1127">
          <cell r="A1127" t="str">
            <v>205</v>
          </cell>
          <cell r="B1127">
            <v>55</v>
          </cell>
          <cell r="C1127">
            <v>17</v>
          </cell>
          <cell r="D1127" t="str">
            <v>MICHELIN</v>
          </cell>
          <cell r="E1127" t="str">
            <v>PRIMACY 5</v>
          </cell>
          <cell r="N1127">
            <v>7159.2</v>
          </cell>
        </row>
        <row r="1128">
          <cell r="A1128" t="str">
            <v>215</v>
          </cell>
          <cell r="B1128">
            <v>55</v>
          </cell>
          <cell r="C1128">
            <v>17</v>
          </cell>
          <cell r="D1128" t="str">
            <v>MICHELIN</v>
          </cell>
          <cell r="E1128" t="str">
            <v>PRIMACY 4ST</v>
          </cell>
          <cell r="N1128">
            <v>7212.4</v>
          </cell>
        </row>
        <row r="1129">
          <cell r="A1129" t="str">
            <v>215</v>
          </cell>
          <cell r="B1129">
            <v>55</v>
          </cell>
          <cell r="C1129">
            <v>17</v>
          </cell>
          <cell r="D1129" t="str">
            <v>MICHELIN</v>
          </cell>
          <cell r="E1129" t="str">
            <v>PILOST SPORT 5</v>
          </cell>
          <cell r="N1129">
            <v>9147.0300000000007</v>
          </cell>
        </row>
        <row r="1130">
          <cell r="A1130">
            <v>225</v>
          </cell>
          <cell r="B1130">
            <v>55</v>
          </cell>
          <cell r="C1130">
            <v>17</v>
          </cell>
          <cell r="D1130" t="str">
            <v>MICHELIN</v>
          </cell>
          <cell r="E1130" t="str">
            <v>SYNCHRONE</v>
          </cell>
          <cell r="N1130">
            <v>8049.48</v>
          </cell>
        </row>
        <row r="1131">
          <cell r="A1131" t="str">
            <v>225</v>
          </cell>
          <cell r="B1131">
            <v>55</v>
          </cell>
          <cell r="C1131">
            <v>17</v>
          </cell>
          <cell r="D1131" t="str">
            <v>MICHELIN</v>
          </cell>
          <cell r="E1131" t="str">
            <v>PRIMACY 4ST</v>
          </cell>
          <cell r="N1131">
            <v>7774.8</v>
          </cell>
        </row>
        <row r="1132">
          <cell r="A1132" t="str">
            <v>225</v>
          </cell>
          <cell r="B1132">
            <v>55</v>
          </cell>
          <cell r="C1132">
            <v>17</v>
          </cell>
          <cell r="D1132" t="str">
            <v>MICHELIN</v>
          </cell>
          <cell r="E1132" t="str">
            <v>PRIMACY 5</v>
          </cell>
          <cell r="N1132">
            <v>7885.47</v>
          </cell>
        </row>
        <row r="1133">
          <cell r="A1133" t="str">
            <v>235</v>
          </cell>
          <cell r="B1133">
            <v>55</v>
          </cell>
          <cell r="C1133">
            <v>17</v>
          </cell>
          <cell r="D1133" t="str">
            <v>MICHELIN</v>
          </cell>
          <cell r="E1133" t="str">
            <v>PRIMACY 4ST</v>
          </cell>
          <cell r="N1133">
            <v>8276.4</v>
          </cell>
        </row>
        <row r="1134">
          <cell r="A1134" t="str">
            <v>215</v>
          </cell>
          <cell r="B1134">
            <v>60</v>
          </cell>
          <cell r="C1134">
            <v>17</v>
          </cell>
          <cell r="D1134" t="str">
            <v>MICHELIN</v>
          </cell>
          <cell r="E1134" t="str">
            <v>PRIMACY 4ST</v>
          </cell>
          <cell r="N1134">
            <v>6940.92</v>
          </cell>
        </row>
        <row r="1135">
          <cell r="A1135" t="str">
            <v>215</v>
          </cell>
          <cell r="B1135">
            <v>60</v>
          </cell>
          <cell r="C1135">
            <v>17</v>
          </cell>
          <cell r="D1135" t="str">
            <v>MICHELIN</v>
          </cell>
          <cell r="E1135" t="str">
            <v>PRIMACY 5</v>
          </cell>
          <cell r="N1135">
            <v>6480.41</v>
          </cell>
        </row>
        <row r="1136">
          <cell r="A1136" t="str">
            <v>225</v>
          </cell>
          <cell r="B1136">
            <v>60</v>
          </cell>
          <cell r="C1136">
            <v>17</v>
          </cell>
          <cell r="D1136" t="str">
            <v>MICHELIN</v>
          </cell>
          <cell r="E1136" t="str">
            <v>PRIMACY 4ST</v>
          </cell>
          <cell r="N1136">
            <v>7942</v>
          </cell>
        </row>
        <row r="1137">
          <cell r="A1137" t="str">
            <v>235</v>
          </cell>
          <cell r="B1137">
            <v>60</v>
          </cell>
          <cell r="C1137" t="str">
            <v>17C</v>
          </cell>
          <cell r="D1137" t="str">
            <v>MICHELIN</v>
          </cell>
          <cell r="E1137" t="str">
            <v>AGILIS 3</v>
          </cell>
          <cell r="N1137">
            <v>8056</v>
          </cell>
        </row>
        <row r="1138">
          <cell r="A1138" t="str">
            <v>225</v>
          </cell>
          <cell r="B1138">
            <v>65</v>
          </cell>
          <cell r="C1138">
            <v>17</v>
          </cell>
          <cell r="D1138" t="str">
            <v>MICHELIN</v>
          </cell>
          <cell r="E1138" t="str">
            <v>PRIMACY SUV</v>
          </cell>
          <cell r="N1138">
            <v>7584.8</v>
          </cell>
        </row>
        <row r="1139">
          <cell r="A1139" t="str">
            <v>235</v>
          </cell>
          <cell r="B1139">
            <v>65</v>
          </cell>
          <cell r="C1139">
            <v>17</v>
          </cell>
          <cell r="D1139" t="str">
            <v>MICHELIN</v>
          </cell>
          <cell r="E1139" t="str">
            <v>LTX TRAIL</v>
          </cell>
          <cell r="N1139">
            <v>9800</v>
          </cell>
        </row>
        <row r="1140">
          <cell r="A1140" t="str">
            <v>235</v>
          </cell>
          <cell r="B1140">
            <v>65</v>
          </cell>
          <cell r="C1140">
            <v>17</v>
          </cell>
          <cell r="D1140" t="str">
            <v>MICHELIN</v>
          </cell>
          <cell r="E1140" t="str">
            <v>PRIMACY SUV+</v>
          </cell>
          <cell r="N1140">
            <v>9069.2099999999991</v>
          </cell>
        </row>
        <row r="1141">
          <cell r="A1141" t="str">
            <v>265</v>
          </cell>
          <cell r="B1141">
            <v>65</v>
          </cell>
          <cell r="C1141">
            <v>17</v>
          </cell>
          <cell r="D1141" t="str">
            <v>MICHELIN</v>
          </cell>
          <cell r="E1141" t="str">
            <v>CROSS TERRAIN</v>
          </cell>
          <cell r="N1141">
            <v>10430</v>
          </cell>
        </row>
        <row r="1142">
          <cell r="A1142" t="str">
            <v>265</v>
          </cell>
          <cell r="B1142">
            <v>65</v>
          </cell>
          <cell r="C1142">
            <v>17</v>
          </cell>
          <cell r="D1142" t="str">
            <v>MICHELIN</v>
          </cell>
          <cell r="E1142" t="str">
            <v>LTX TRAIL</v>
          </cell>
          <cell r="N1142">
            <v>9695.6299999999992</v>
          </cell>
        </row>
        <row r="1143">
          <cell r="A1143" t="str">
            <v>265</v>
          </cell>
          <cell r="B1143">
            <v>65</v>
          </cell>
          <cell r="C1143">
            <v>17</v>
          </cell>
          <cell r="D1143" t="str">
            <v>MICHELIN</v>
          </cell>
          <cell r="E1143" t="str">
            <v>PRIMACY SUV H/T</v>
          </cell>
          <cell r="N1143">
            <v>7562</v>
          </cell>
        </row>
        <row r="1144">
          <cell r="A1144" t="str">
            <v>265</v>
          </cell>
          <cell r="B1144">
            <v>65</v>
          </cell>
          <cell r="C1144">
            <v>17</v>
          </cell>
          <cell r="D1144" t="str">
            <v>MICHELIN</v>
          </cell>
          <cell r="E1144" t="str">
            <v>PRIMACY SUV+</v>
          </cell>
          <cell r="N1144">
            <v>7790</v>
          </cell>
        </row>
        <row r="1145">
          <cell r="A1145" t="str">
            <v>245</v>
          </cell>
          <cell r="B1145">
            <v>35</v>
          </cell>
          <cell r="C1145">
            <v>18</v>
          </cell>
          <cell r="D1145" t="str">
            <v>MICHELIN</v>
          </cell>
          <cell r="E1145" t="str">
            <v>PILOT SPORT 5</v>
          </cell>
          <cell r="N1145">
            <v>11244</v>
          </cell>
        </row>
        <row r="1146">
          <cell r="A1146" t="str">
            <v>255</v>
          </cell>
          <cell r="B1146">
            <v>35</v>
          </cell>
          <cell r="C1146">
            <v>18</v>
          </cell>
          <cell r="D1146" t="str">
            <v>MICHELIN</v>
          </cell>
          <cell r="E1146" t="str">
            <v>PILOT SPORT 5</v>
          </cell>
          <cell r="N1146">
            <v>10282.799999999999</v>
          </cell>
        </row>
        <row r="1147">
          <cell r="A1147" t="str">
            <v>265</v>
          </cell>
          <cell r="B1147">
            <v>35</v>
          </cell>
          <cell r="C1147">
            <v>18</v>
          </cell>
          <cell r="D1147" t="str">
            <v>MICHELIN</v>
          </cell>
          <cell r="E1147" t="str">
            <v>PILOT SPORT 5</v>
          </cell>
          <cell r="N1147">
            <v>10362</v>
          </cell>
        </row>
        <row r="1148">
          <cell r="A1148" t="str">
            <v>215</v>
          </cell>
          <cell r="B1148">
            <v>40</v>
          </cell>
          <cell r="C1148">
            <v>18</v>
          </cell>
          <cell r="D1148" t="str">
            <v>MICHELIN</v>
          </cell>
          <cell r="E1148" t="str">
            <v>PILOT SPORT 5</v>
          </cell>
          <cell r="N1148">
            <v>9135.2000000000007</v>
          </cell>
        </row>
        <row r="1149">
          <cell r="A1149" t="str">
            <v>225</v>
          </cell>
          <cell r="B1149">
            <v>40</v>
          </cell>
          <cell r="C1149">
            <v>18</v>
          </cell>
          <cell r="D1149" t="str">
            <v>MICHELIN</v>
          </cell>
          <cell r="E1149" t="str">
            <v>PILOT SPORT 5</v>
          </cell>
          <cell r="N1149">
            <v>10997.2</v>
          </cell>
        </row>
        <row r="1150">
          <cell r="A1150" t="str">
            <v>235</v>
          </cell>
          <cell r="B1150">
            <v>40</v>
          </cell>
          <cell r="C1150">
            <v>18</v>
          </cell>
          <cell r="D1150" t="str">
            <v>MICHELIN</v>
          </cell>
          <cell r="E1150" t="str">
            <v>PILOT SPORT 5</v>
          </cell>
          <cell r="N1150">
            <v>9348</v>
          </cell>
        </row>
        <row r="1151">
          <cell r="A1151" t="str">
            <v>245</v>
          </cell>
          <cell r="B1151">
            <v>40</v>
          </cell>
          <cell r="C1151">
            <v>18</v>
          </cell>
          <cell r="D1151" t="str">
            <v>MICHELIN</v>
          </cell>
          <cell r="E1151" t="str">
            <v>PILOT SPORT 5</v>
          </cell>
          <cell r="N1151">
            <v>10510.8</v>
          </cell>
        </row>
        <row r="1152">
          <cell r="A1152" t="str">
            <v>215</v>
          </cell>
          <cell r="B1152">
            <v>45</v>
          </cell>
          <cell r="C1152">
            <v>18</v>
          </cell>
          <cell r="D1152" t="str">
            <v>MICHELIN</v>
          </cell>
          <cell r="E1152" t="str">
            <v>PILOT SPORT 5</v>
          </cell>
          <cell r="N1152">
            <v>11187.2</v>
          </cell>
        </row>
        <row r="1153">
          <cell r="A1153" t="str">
            <v>215</v>
          </cell>
          <cell r="B1153">
            <v>45</v>
          </cell>
          <cell r="C1153">
            <v>18</v>
          </cell>
          <cell r="D1153" t="str">
            <v>MICHELIN</v>
          </cell>
          <cell r="E1153" t="str">
            <v>PRIMACY 4ST</v>
          </cell>
          <cell r="N1153">
            <v>7088.63</v>
          </cell>
        </row>
        <row r="1154">
          <cell r="A1154" t="str">
            <v>225</v>
          </cell>
          <cell r="B1154">
            <v>45</v>
          </cell>
          <cell r="C1154">
            <v>18</v>
          </cell>
          <cell r="D1154" t="str">
            <v>MICHELIN</v>
          </cell>
          <cell r="E1154" t="str">
            <v>PILOT SPORT 5</v>
          </cell>
          <cell r="N1154">
            <v>10313.200000000001</v>
          </cell>
        </row>
        <row r="1155">
          <cell r="A1155" t="str">
            <v>225</v>
          </cell>
          <cell r="B1155">
            <v>45</v>
          </cell>
          <cell r="C1155">
            <v>18</v>
          </cell>
          <cell r="D1155" t="str">
            <v>MICHELIN</v>
          </cell>
          <cell r="E1155" t="str">
            <v>PRIMACY 3 ZP</v>
          </cell>
          <cell r="N1155">
            <v>11286</v>
          </cell>
        </row>
        <row r="1156">
          <cell r="A1156" t="str">
            <v>235</v>
          </cell>
          <cell r="B1156">
            <v>45</v>
          </cell>
          <cell r="C1156">
            <v>18</v>
          </cell>
          <cell r="D1156" t="str">
            <v>MICHELIN</v>
          </cell>
          <cell r="E1156" t="str">
            <v>PILOT SPORT 5</v>
          </cell>
          <cell r="N1156">
            <v>9811.6</v>
          </cell>
        </row>
        <row r="1157">
          <cell r="A1157" t="str">
            <v>245</v>
          </cell>
          <cell r="B1157">
            <v>45</v>
          </cell>
          <cell r="C1157">
            <v>18</v>
          </cell>
          <cell r="D1157" t="str">
            <v>MICHELIN</v>
          </cell>
          <cell r="E1157" t="str">
            <v>PRIMACY 3 ZP</v>
          </cell>
          <cell r="N1157">
            <v>15800</v>
          </cell>
        </row>
        <row r="1158">
          <cell r="A1158" t="str">
            <v>225</v>
          </cell>
          <cell r="B1158">
            <v>50</v>
          </cell>
          <cell r="C1158">
            <v>18</v>
          </cell>
          <cell r="D1158" t="str">
            <v>MICHELIN</v>
          </cell>
          <cell r="E1158" t="str">
            <v>PRIMACY 4ST</v>
          </cell>
          <cell r="N1158">
            <v>7969.61</v>
          </cell>
        </row>
        <row r="1159">
          <cell r="A1159" t="str">
            <v>225</v>
          </cell>
          <cell r="B1159">
            <v>50</v>
          </cell>
          <cell r="C1159">
            <v>18</v>
          </cell>
          <cell r="D1159" t="str">
            <v>MICHELIN</v>
          </cell>
          <cell r="E1159" t="str">
            <v>PRIMACY 5</v>
          </cell>
          <cell r="N1159">
            <v>7790</v>
          </cell>
        </row>
        <row r="1160">
          <cell r="A1160" t="str">
            <v>235</v>
          </cell>
          <cell r="B1160">
            <v>50</v>
          </cell>
          <cell r="C1160">
            <v>18</v>
          </cell>
          <cell r="D1160" t="str">
            <v>MICHELIN</v>
          </cell>
          <cell r="E1160" t="str">
            <v>PRIMACY 4ST</v>
          </cell>
          <cell r="N1160">
            <v>8866.48</v>
          </cell>
        </row>
        <row r="1161">
          <cell r="A1161" t="str">
            <v>235</v>
          </cell>
          <cell r="B1161">
            <v>50</v>
          </cell>
          <cell r="C1161">
            <v>18</v>
          </cell>
          <cell r="D1161" t="str">
            <v>MICHELIN</v>
          </cell>
          <cell r="E1161" t="str">
            <v>PRIMACY 5</v>
          </cell>
          <cell r="N1161">
            <v>8246</v>
          </cell>
        </row>
        <row r="1162">
          <cell r="A1162" t="str">
            <v>215</v>
          </cell>
          <cell r="B1162">
            <v>55</v>
          </cell>
          <cell r="C1162">
            <v>18</v>
          </cell>
          <cell r="D1162" t="str">
            <v>MICHELIN</v>
          </cell>
          <cell r="E1162" t="str">
            <v>PRIMACY 4ST</v>
          </cell>
          <cell r="N1162">
            <v>9264.4</v>
          </cell>
        </row>
        <row r="1163">
          <cell r="A1163" t="str">
            <v>215</v>
          </cell>
          <cell r="B1163">
            <v>55</v>
          </cell>
          <cell r="C1163">
            <v>18</v>
          </cell>
          <cell r="D1163" t="str">
            <v>MICHELIN</v>
          </cell>
          <cell r="E1163" t="str">
            <v>PRIMACY 5</v>
          </cell>
          <cell r="N1163">
            <v>9264.4</v>
          </cell>
        </row>
        <row r="1164">
          <cell r="A1164" t="str">
            <v>225</v>
          </cell>
          <cell r="B1164">
            <v>55</v>
          </cell>
          <cell r="C1164">
            <v>18</v>
          </cell>
          <cell r="D1164" t="str">
            <v>MICHELIN</v>
          </cell>
          <cell r="E1164" t="str">
            <v>PRIMACY 5</v>
          </cell>
          <cell r="N1164">
            <v>7866</v>
          </cell>
        </row>
        <row r="1165">
          <cell r="A1165" t="str">
            <v>235</v>
          </cell>
          <cell r="B1165">
            <v>55</v>
          </cell>
          <cell r="C1165">
            <v>18</v>
          </cell>
          <cell r="D1165" t="str">
            <v>MICHELIN</v>
          </cell>
          <cell r="E1165" t="str">
            <v>PRIMACY SUV+</v>
          </cell>
          <cell r="N1165">
            <v>8112</v>
          </cell>
        </row>
        <row r="1166">
          <cell r="A1166" t="str">
            <v>235</v>
          </cell>
          <cell r="B1166">
            <v>55</v>
          </cell>
          <cell r="C1166">
            <v>18</v>
          </cell>
          <cell r="D1166" t="str">
            <v>MICHELIN</v>
          </cell>
          <cell r="E1166" t="str">
            <v>PRIMACY 5</v>
          </cell>
          <cell r="N1166">
            <v>8056</v>
          </cell>
        </row>
        <row r="1167">
          <cell r="A1167" t="str">
            <v>235</v>
          </cell>
          <cell r="B1167">
            <v>55</v>
          </cell>
          <cell r="C1167">
            <v>18</v>
          </cell>
          <cell r="D1167" t="str">
            <v>MICHELIN</v>
          </cell>
          <cell r="E1167" t="str">
            <v>LATTITUDE SPORT 3</v>
          </cell>
          <cell r="N1167">
            <v>9994</v>
          </cell>
        </row>
        <row r="1168">
          <cell r="A1168" t="str">
            <v>225</v>
          </cell>
          <cell r="B1168">
            <v>60</v>
          </cell>
          <cell r="C1168">
            <v>18</v>
          </cell>
          <cell r="D1168" t="str">
            <v>MICHELIN</v>
          </cell>
          <cell r="E1168" t="str">
            <v>PRIMACY SUV+</v>
          </cell>
          <cell r="N1168">
            <v>8983.2000000000007</v>
          </cell>
        </row>
        <row r="1169">
          <cell r="A1169" t="str">
            <v>235</v>
          </cell>
          <cell r="B1169">
            <v>60</v>
          </cell>
          <cell r="C1169">
            <v>18</v>
          </cell>
          <cell r="D1169" t="str">
            <v>MICHELIN</v>
          </cell>
          <cell r="E1169" t="str">
            <v>PRIMACY 4</v>
          </cell>
          <cell r="N1169">
            <v>8762.7999999999993</v>
          </cell>
        </row>
        <row r="1170">
          <cell r="A1170" t="str">
            <v>235</v>
          </cell>
          <cell r="B1170">
            <v>60</v>
          </cell>
          <cell r="C1170">
            <v>18</v>
          </cell>
          <cell r="D1170" t="str">
            <v>MICHELIN</v>
          </cell>
          <cell r="E1170" t="str">
            <v>PRIMACY SUV+</v>
          </cell>
          <cell r="N1170">
            <v>10800</v>
          </cell>
        </row>
        <row r="1171">
          <cell r="A1171" t="str">
            <v>235</v>
          </cell>
          <cell r="B1171">
            <v>60</v>
          </cell>
          <cell r="C1171">
            <v>18</v>
          </cell>
          <cell r="D1171" t="str">
            <v>MICHELIN</v>
          </cell>
          <cell r="E1171" t="str">
            <v>PRIMACY 3ST</v>
          </cell>
          <cell r="N1171">
            <v>10000</v>
          </cell>
        </row>
        <row r="1172">
          <cell r="A1172" t="str">
            <v>235</v>
          </cell>
          <cell r="B1172">
            <v>60</v>
          </cell>
          <cell r="C1172">
            <v>18</v>
          </cell>
          <cell r="D1172" t="str">
            <v>MICHELIN</v>
          </cell>
          <cell r="E1172" t="str">
            <v>E PRIMACY ST</v>
          </cell>
          <cell r="N1172">
            <v>8170</v>
          </cell>
        </row>
        <row r="1173">
          <cell r="A1173" t="str">
            <v>265</v>
          </cell>
          <cell r="B1173">
            <v>60</v>
          </cell>
          <cell r="C1173">
            <v>18</v>
          </cell>
          <cell r="D1173" t="str">
            <v>MICHELIN</v>
          </cell>
          <cell r="E1173" t="str">
            <v>PRIMACY SUV+</v>
          </cell>
          <cell r="N1173">
            <v>8656.4</v>
          </cell>
        </row>
        <row r="1174">
          <cell r="A1174" t="str">
            <v>265</v>
          </cell>
          <cell r="B1174">
            <v>60</v>
          </cell>
          <cell r="C1174">
            <v>18</v>
          </cell>
          <cell r="E1174" t="str">
            <v>LTX TRAIL</v>
          </cell>
          <cell r="N1174">
            <v>9758.4</v>
          </cell>
        </row>
        <row r="1175">
          <cell r="A1175" t="str">
            <v>285</v>
          </cell>
          <cell r="B1175">
            <v>60</v>
          </cell>
          <cell r="C1175">
            <v>18</v>
          </cell>
          <cell r="E1175" t="str">
            <v>LTX TRAIL</v>
          </cell>
          <cell r="N1175">
            <v>13072</v>
          </cell>
        </row>
        <row r="1176">
          <cell r="A1176" t="str">
            <v>275</v>
          </cell>
          <cell r="B1176">
            <v>35</v>
          </cell>
          <cell r="C1176">
            <v>19</v>
          </cell>
          <cell r="E1176" t="str">
            <v>PRIMACY 3 ZP</v>
          </cell>
          <cell r="N1176">
            <v>23119.200000000001</v>
          </cell>
        </row>
        <row r="1177">
          <cell r="A1177" t="str">
            <v>235</v>
          </cell>
          <cell r="B1177">
            <v>35</v>
          </cell>
          <cell r="C1177">
            <v>19</v>
          </cell>
          <cell r="E1177" t="str">
            <v>PILOT SPORT 5</v>
          </cell>
          <cell r="N1177">
            <v>11445.6</v>
          </cell>
        </row>
        <row r="1178">
          <cell r="A1178" t="str">
            <v>245</v>
          </cell>
          <cell r="B1178">
            <v>40</v>
          </cell>
          <cell r="C1178">
            <v>19</v>
          </cell>
          <cell r="D1178" t="str">
            <v>MICHELIN</v>
          </cell>
          <cell r="E1178" t="str">
            <v>PRIMACY 3 ZP</v>
          </cell>
          <cell r="N1178">
            <v>18399.599999999999</v>
          </cell>
        </row>
        <row r="1179">
          <cell r="A1179" t="str">
            <v>235</v>
          </cell>
          <cell r="B1179">
            <v>45</v>
          </cell>
          <cell r="C1179">
            <v>19</v>
          </cell>
          <cell r="E1179" t="str">
            <v>PILOT SPORT 5</v>
          </cell>
          <cell r="N1179">
            <v>13870</v>
          </cell>
        </row>
        <row r="1180">
          <cell r="A1180" t="str">
            <v>245</v>
          </cell>
          <cell r="B1180">
            <v>45</v>
          </cell>
          <cell r="C1180">
            <v>19</v>
          </cell>
          <cell r="E1180" t="str">
            <v>PILOT SPORT 5</v>
          </cell>
          <cell r="N1180">
            <v>16036</v>
          </cell>
        </row>
        <row r="1181">
          <cell r="A1181" t="str">
            <v>255</v>
          </cell>
          <cell r="B1181">
            <v>40</v>
          </cell>
          <cell r="C1181">
            <v>19</v>
          </cell>
          <cell r="E1181" t="str">
            <v>PILOT SPORT 5</v>
          </cell>
          <cell r="N1181">
            <v>11058</v>
          </cell>
        </row>
        <row r="1182">
          <cell r="A1182" t="str">
            <v>275</v>
          </cell>
          <cell r="B1182">
            <v>40</v>
          </cell>
          <cell r="C1182">
            <v>19</v>
          </cell>
          <cell r="E1182" t="str">
            <v>PRIMACY 3 ZP</v>
          </cell>
          <cell r="N1182">
            <v>22600</v>
          </cell>
        </row>
        <row r="1183">
          <cell r="A1183" t="str">
            <v>275</v>
          </cell>
          <cell r="B1183">
            <v>40</v>
          </cell>
          <cell r="C1183">
            <v>19</v>
          </cell>
          <cell r="E1183" t="str">
            <v>PILOT SPORT 5</v>
          </cell>
          <cell r="N1183">
            <v>12775.6</v>
          </cell>
        </row>
        <row r="1184">
          <cell r="A1184" t="str">
            <v>225</v>
          </cell>
          <cell r="B1184">
            <v>55</v>
          </cell>
          <cell r="C1184">
            <v>19</v>
          </cell>
          <cell r="E1184" t="str">
            <v>PRIMACY SUV+</v>
          </cell>
          <cell r="N1184">
            <v>8398</v>
          </cell>
        </row>
        <row r="1185">
          <cell r="A1185" t="str">
            <v>235</v>
          </cell>
          <cell r="B1185">
            <v>55</v>
          </cell>
          <cell r="C1185">
            <v>19</v>
          </cell>
          <cell r="E1185" t="str">
            <v>PILOT SPORT 4 SUV</v>
          </cell>
          <cell r="N1185">
            <v>13535.6</v>
          </cell>
        </row>
        <row r="1186">
          <cell r="A1186" t="str">
            <v>245</v>
          </cell>
          <cell r="B1186">
            <v>30</v>
          </cell>
          <cell r="C1186">
            <v>20</v>
          </cell>
          <cell r="E1186" t="str">
            <v>PILOT SPORT 4S</v>
          </cell>
          <cell r="N1186">
            <v>20520</v>
          </cell>
        </row>
        <row r="1187">
          <cell r="A1187" t="str">
            <v>245</v>
          </cell>
          <cell r="B1187">
            <v>35</v>
          </cell>
          <cell r="C1187">
            <v>20</v>
          </cell>
          <cell r="E1187" t="str">
            <v>PILOT SPORT 5</v>
          </cell>
          <cell r="N1187">
            <v>14371.6</v>
          </cell>
        </row>
        <row r="1188">
          <cell r="A1188" t="str">
            <v>305</v>
          </cell>
          <cell r="B1188">
            <v>35</v>
          </cell>
          <cell r="C1188">
            <v>20</v>
          </cell>
          <cell r="E1188" t="str">
            <v>PILOT SPORT 4S</v>
          </cell>
          <cell r="N1188">
            <v>24996.400000000001</v>
          </cell>
        </row>
        <row r="1189">
          <cell r="A1189" t="str">
            <v>265</v>
          </cell>
          <cell r="B1189">
            <v>50</v>
          </cell>
          <cell r="C1189">
            <v>20</v>
          </cell>
          <cell r="D1189" t="str">
            <v>MICHELIN</v>
          </cell>
          <cell r="E1189" t="str">
            <v>PILOT SPORT 4 SUV</v>
          </cell>
          <cell r="N1189">
            <v>9370.7999999999993</v>
          </cell>
        </row>
        <row r="1190">
          <cell r="A1190" t="str">
            <v>265</v>
          </cell>
          <cell r="B1190">
            <v>50</v>
          </cell>
          <cell r="C1190">
            <v>20</v>
          </cell>
          <cell r="D1190" t="str">
            <v>MICHELIN</v>
          </cell>
          <cell r="E1190" t="str">
            <v>PRIMACY SUV+</v>
          </cell>
          <cell r="N1190">
            <v>9046.18</v>
          </cell>
        </row>
        <row r="1191">
          <cell r="A1191" t="str">
            <v>295</v>
          </cell>
          <cell r="B1191">
            <v>40</v>
          </cell>
          <cell r="C1191">
            <v>20</v>
          </cell>
          <cell r="D1191" t="str">
            <v>MICHELIN</v>
          </cell>
          <cell r="E1191" t="str">
            <v>LAT.SPORT 3</v>
          </cell>
          <cell r="N1191">
            <v>20418.22</v>
          </cell>
        </row>
        <row r="1192">
          <cell r="A1192" t="str">
            <v>295</v>
          </cell>
          <cell r="B1192">
            <v>40</v>
          </cell>
          <cell r="C1192">
            <v>20</v>
          </cell>
          <cell r="D1192" t="str">
            <v>MICHELIN</v>
          </cell>
          <cell r="E1192" t="str">
            <v>PILOT SPORT 4SUV</v>
          </cell>
          <cell r="N1192">
            <v>20200.8</v>
          </cell>
        </row>
        <row r="1193">
          <cell r="A1193" t="str">
            <v>265</v>
          </cell>
          <cell r="B1193">
            <v>45</v>
          </cell>
          <cell r="C1193">
            <v>20</v>
          </cell>
          <cell r="D1193" t="str">
            <v>MICHELIN</v>
          </cell>
          <cell r="E1193" t="str">
            <v>PILOT SPORT 4SUV</v>
          </cell>
          <cell r="N1193">
            <v>17480</v>
          </cell>
        </row>
        <row r="1194">
          <cell r="A1194" t="str">
            <v>275</v>
          </cell>
          <cell r="B1194">
            <v>60</v>
          </cell>
          <cell r="C1194">
            <v>20</v>
          </cell>
          <cell r="D1194" t="str">
            <v>MICHELIN</v>
          </cell>
          <cell r="E1194" t="str">
            <v>PRIMACY SUV+</v>
          </cell>
          <cell r="N1194">
            <v>15032.8</v>
          </cell>
        </row>
        <row r="1195">
          <cell r="A1195" t="str">
            <v>275</v>
          </cell>
          <cell r="B1195">
            <v>45</v>
          </cell>
          <cell r="C1195">
            <v>21</v>
          </cell>
          <cell r="D1195" t="str">
            <v>MICHELIN</v>
          </cell>
          <cell r="E1195" t="str">
            <v>LATITUDE SPORTS 3</v>
          </cell>
          <cell r="N1195">
            <v>22085.599999999999</v>
          </cell>
        </row>
        <row r="1196">
          <cell r="A1196" t="str">
            <v>315</v>
          </cell>
          <cell r="B1196">
            <v>40</v>
          </cell>
          <cell r="C1196">
            <v>21</v>
          </cell>
          <cell r="D1196" t="str">
            <v>MICHELIN</v>
          </cell>
          <cell r="E1196" t="str">
            <v>LATITUDE SPORTS 3</v>
          </cell>
          <cell r="N1196">
            <v>24494.799999999999</v>
          </cell>
        </row>
        <row r="1197">
          <cell r="A1197" t="str">
            <v>285</v>
          </cell>
          <cell r="B1197">
            <v>45</v>
          </cell>
          <cell r="C1197">
            <v>22</v>
          </cell>
          <cell r="D1197" t="str">
            <v>MICHELIN</v>
          </cell>
          <cell r="E1197" t="str">
            <v>PILOT SPORT 4 SUV</v>
          </cell>
          <cell r="N1197">
            <v>22496</v>
          </cell>
        </row>
        <row r="1198">
          <cell r="A1198" t="str">
            <v>265</v>
          </cell>
          <cell r="B1198">
            <v>70</v>
          </cell>
          <cell r="C1198">
            <v>17</v>
          </cell>
          <cell r="D1198" t="str">
            <v>MICKEY THOMPSON</v>
          </cell>
          <cell r="E1198" t="str">
            <v>DEEGAN A/T</v>
          </cell>
          <cell r="N1198">
            <v>8500</v>
          </cell>
        </row>
        <row r="1199">
          <cell r="A1199">
            <v>35</v>
          </cell>
          <cell r="B1199" t="str">
            <v>12.5</v>
          </cell>
          <cell r="C1199">
            <v>17</v>
          </cell>
          <cell r="D1199" t="str">
            <v>MONSTA</v>
          </cell>
          <cell r="E1199" t="str">
            <v>EXTREME MUD</v>
          </cell>
          <cell r="N1199">
            <v>6783</v>
          </cell>
        </row>
        <row r="1200">
          <cell r="A1200" t="str">
            <v>285</v>
          </cell>
          <cell r="B1200">
            <v>55</v>
          </cell>
          <cell r="C1200">
            <v>20</v>
          </cell>
          <cell r="D1200" t="str">
            <v>MONSTA</v>
          </cell>
          <cell r="E1200" t="str">
            <v>TERRAIN GRIPPER</v>
          </cell>
          <cell r="N1200">
            <v>10074.75</v>
          </cell>
        </row>
        <row r="1201">
          <cell r="A1201" t="str">
            <v>195</v>
          </cell>
          <cell r="B1201">
            <v>50</v>
          </cell>
          <cell r="C1201">
            <v>15</v>
          </cell>
          <cell r="D1201" t="str">
            <v>NANKANG</v>
          </cell>
          <cell r="E1201" t="str">
            <v>NS-2</v>
          </cell>
          <cell r="N1201">
            <v>2100</v>
          </cell>
        </row>
        <row r="1202">
          <cell r="A1202" t="str">
            <v>195</v>
          </cell>
          <cell r="B1202">
            <v>50</v>
          </cell>
          <cell r="C1202">
            <v>16</v>
          </cell>
          <cell r="D1202" t="str">
            <v>NANKANG</v>
          </cell>
          <cell r="E1202" t="str">
            <v>NS-2</v>
          </cell>
          <cell r="N1202">
            <v>3200</v>
          </cell>
        </row>
        <row r="1203">
          <cell r="A1203" t="str">
            <v>205</v>
          </cell>
          <cell r="B1203">
            <v>45</v>
          </cell>
          <cell r="C1203">
            <v>16</v>
          </cell>
          <cell r="D1203" t="str">
            <v>NANKANG</v>
          </cell>
          <cell r="E1203" t="str">
            <v>AR1</v>
          </cell>
          <cell r="N1203">
            <v>4400</v>
          </cell>
        </row>
        <row r="1204">
          <cell r="A1204" t="str">
            <v>195</v>
          </cell>
          <cell r="C1204" t="str">
            <v>14C</v>
          </cell>
          <cell r="D1204" t="str">
            <v>NEUTON</v>
          </cell>
          <cell r="E1204" t="str">
            <v>LV2000</v>
          </cell>
          <cell r="N1204">
            <v>2598.8200000000002</v>
          </cell>
        </row>
        <row r="1205">
          <cell r="A1205">
            <v>215</v>
          </cell>
          <cell r="B1205">
            <v>60</v>
          </cell>
          <cell r="C1205">
            <v>16</v>
          </cell>
          <cell r="D1205" t="str">
            <v>NEUTON</v>
          </cell>
          <cell r="E1205" t="str">
            <v>NT8000</v>
          </cell>
          <cell r="N1205">
            <v>2826.25</v>
          </cell>
        </row>
        <row r="1206">
          <cell r="A1206" t="str">
            <v>215</v>
          </cell>
          <cell r="B1206">
            <v>60</v>
          </cell>
          <cell r="C1206">
            <v>16</v>
          </cell>
          <cell r="D1206" t="str">
            <v>NEUTON</v>
          </cell>
          <cell r="E1206" t="str">
            <v>NT5000</v>
          </cell>
          <cell r="N1206">
            <v>2025</v>
          </cell>
        </row>
        <row r="1207">
          <cell r="A1207" t="str">
            <v>205</v>
          </cell>
          <cell r="B1207">
            <v>65</v>
          </cell>
          <cell r="C1207">
            <v>16</v>
          </cell>
          <cell r="D1207" t="str">
            <v>NEXEN</v>
          </cell>
          <cell r="E1207" t="str">
            <v>RODIAN</v>
          </cell>
          <cell r="N1207">
            <v>3700</v>
          </cell>
        </row>
        <row r="1208">
          <cell r="A1208" t="str">
            <v>215</v>
          </cell>
          <cell r="B1208">
            <v>70</v>
          </cell>
          <cell r="C1208">
            <v>16</v>
          </cell>
          <cell r="D1208" t="str">
            <v>NEXEN</v>
          </cell>
          <cell r="E1208" t="str">
            <v>CP521</v>
          </cell>
          <cell r="N1208">
            <v>5100</v>
          </cell>
        </row>
        <row r="1209">
          <cell r="A1209" t="str">
            <v>225</v>
          </cell>
          <cell r="B1209">
            <v>60</v>
          </cell>
          <cell r="C1209">
            <v>17</v>
          </cell>
          <cell r="D1209" t="str">
            <v>NEXEN</v>
          </cell>
          <cell r="E1209" t="str">
            <v>CP672</v>
          </cell>
          <cell r="N1209">
            <v>5100</v>
          </cell>
        </row>
        <row r="1210">
          <cell r="A1210" t="str">
            <v>235</v>
          </cell>
          <cell r="B1210">
            <v>65</v>
          </cell>
          <cell r="C1210">
            <v>17</v>
          </cell>
          <cell r="D1210" t="str">
            <v>NEXEN</v>
          </cell>
          <cell r="E1210" t="str">
            <v>AT</v>
          </cell>
          <cell r="N1210">
            <v>6700</v>
          </cell>
        </row>
        <row r="1211">
          <cell r="A1211" t="str">
            <v>265</v>
          </cell>
          <cell r="B1211">
            <v>70</v>
          </cell>
          <cell r="C1211">
            <v>17</v>
          </cell>
          <cell r="D1211" t="str">
            <v>NEXEN</v>
          </cell>
          <cell r="E1211" t="str">
            <v>RODIAN HTX</v>
          </cell>
          <cell r="N1211">
            <v>6200</v>
          </cell>
        </row>
        <row r="1212">
          <cell r="A1212" t="str">
            <v>225</v>
          </cell>
          <cell r="B1212">
            <v>55</v>
          </cell>
          <cell r="C1212">
            <v>18</v>
          </cell>
          <cell r="D1212" t="str">
            <v>NEXEN</v>
          </cell>
          <cell r="E1212" t="str">
            <v>N5000</v>
          </cell>
          <cell r="N1212">
            <v>7300</v>
          </cell>
        </row>
        <row r="1213">
          <cell r="A1213" t="str">
            <v>215</v>
          </cell>
          <cell r="B1213">
            <v>70</v>
          </cell>
          <cell r="C1213">
            <v>15</v>
          </cell>
          <cell r="D1213" t="str">
            <v>NITTO</v>
          </cell>
          <cell r="E1213" t="str">
            <v>NTGHT DURA GRAPPLER</v>
          </cell>
          <cell r="N1213">
            <v>5934</v>
          </cell>
        </row>
        <row r="1214">
          <cell r="A1214" t="str">
            <v>265</v>
          </cell>
          <cell r="B1214">
            <v>65</v>
          </cell>
          <cell r="C1214">
            <v>17</v>
          </cell>
          <cell r="D1214" t="str">
            <v>NITTO</v>
          </cell>
          <cell r="E1214" t="str">
            <v>NTGHT</v>
          </cell>
          <cell r="N1214">
            <v>6300</v>
          </cell>
        </row>
        <row r="1215">
          <cell r="A1215" t="str">
            <v>265</v>
          </cell>
          <cell r="B1215">
            <v>65</v>
          </cell>
          <cell r="C1215">
            <v>17</v>
          </cell>
          <cell r="D1215" t="str">
            <v>NITTO</v>
          </cell>
          <cell r="E1215" t="str">
            <v>NTGAT 2</v>
          </cell>
          <cell r="N1215">
            <v>8400</v>
          </cell>
        </row>
        <row r="1216">
          <cell r="A1216">
            <v>265</v>
          </cell>
          <cell r="B1216">
            <v>70</v>
          </cell>
          <cell r="C1216">
            <v>17</v>
          </cell>
          <cell r="D1216" t="str">
            <v>NITTO</v>
          </cell>
          <cell r="E1216" t="str">
            <v>NTGAT</v>
          </cell>
          <cell r="N1216">
            <v>7000</v>
          </cell>
        </row>
        <row r="1217">
          <cell r="A1217" t="str">
            <v>265</v>
          </cell>
          <cell r="B1217">
            <v>70</v>
          </cell>
          <cell r="C1217">
            <v>17</v>
          </cell>
          <cell r="D1217" t="str">
            <v>NITTO</v>
          </cell>
          <cell r="E1217" t="str">
            <v>NTGAT 2</v>
          </cell>
          <cell r="N1217">
            <v>10200</v>
          </cell>
        </row>
        <row r="1218">
          <cell r="A1218" t="str">
            <v>265</v>
          </cell>
          <cell r="B1218">
            <v>70</v>
          </cell>
          <cell r="C1218">
            <v>17</v>
          </cell>
          <cell r="D1218" t="str">
            <v>NITTO</v>
          </cell>
          <cell r="E1218" t="str">
            <v>TRAIL GRAPPLER M/T</v>
          </cell>
          <cell r="N1218">
            <v>18257.12</v>
          </cell>
        </row>
        <row r="1219">
          <cell r="A1219">
            <v>265</v>
          </cell>
          <cell r="B1219">
            <v>60</v>
          </cell>
          <cell r="C1219">
            <v>18</v>
          </cell>
          <cell r="D1219" t="str">
            <v>NITTO</v>
          </cell>
          <cell r="E1219" t="str">
            <v>DURA GRAPPLER NTGHT H/T</v>
          </cell>
          <cell r="N1219">
            <v>9500</v>
          </cell>
        </row>
        <row r="1220">
          <cell r="A1220" t="str">
            <v>265</v>
          </cell>
          <cell r="B1220">
            <v>60</v>
          </cell>
          <cell r="C1220">
            <v>18</v>
          </cell>
          <cell r="D1220" t="str">
            <v>NITTO</v>
          </cell>
          <cell r="E1220" t="str">
            <v>NTGAT 2</v>
          </cell>
          <cell r="N1220">
            <v>9100</v>
          </cell>
        </row>
        <row r="1221">
          <cell r="A1221" t="str">
            <v>285</v>
          </cell>
          <cell r="B1221">
            <v>60</v>
          </cell>
          <cell r="C1221">
            <v>18</v>
          </cell>
          <cell r="D1221" t="str">
            <v>NITTO</v>
          </cell>
          <cell r="E1221" t="str">
            <v>TERRA G2</v>
          </cell>
          <cell r="N1221">
            <v>13800</v>
          </cell>
        </row>
        <row r="1222">
          <cell r="A1222" t="str">
            <v>285</v>
          </cell>
          <cell r="B1222">
            <v>60</v>
          </cell>
          <cell r="C1222">
            <v>18</v>
          </cell>
          <cell r="D1222" t="str">
            <v>NITTO</v>
          </cell>
          <cell r="E1222" t="str">
            <v>NTGAT 2</v>
          </cell>
          <cell r="N1222">
            <v>11700</v>
          </cell>
        </row>
        <row r="1223">
          <cell r="A1223" t="str">
            <v>265</v>
          </cell>
          <cell r="B1223">
            <v>65</v>
          </cell>
          <cell r="C1223">
            <v>18</v>
          </cell>
          <cell r="D1223" t="str">
            <v>NITTO</v>
          </cell>
          <cell r="E1223" t="str">
            <v>NTGAT2</v>
          </cell>
          <cell r="N1223">
            <v>12000</v>
          </cell>
        </row>
        <row r="1224">
          <cell r="A1224">
            <v>265</v>
          </cell>
          <cell r="B1224">
            <v>50</v>
          </cell>
          <cell r="C1224">
            <v>20</v>
          </cell>
          <cell r="D1224" t="str">
            <v>NITTO</v>
          </cell>
          <cell r="E1224" t="str">
            <v>420S D (MALAYSIA) H/T</v>
          </cell>
          <cell r="N1224">
            <v>9522</v>
          </cell>
        </row>
        <row r="1225">
          <cell r="A1225">
            <v>265</v>
          </cell>
          <cell r="B1225">
            <v>50</v>
          </cell>
          <cell r="C1225">
            <v>20</v>
          </cell>
          <cell r="D1225" t="str">
            <v>NITTO</v>
          </cell>
          <cell r="E1225" t="str">
            <v>420S(JAPAN) H/T</v>
          </cell>
          <cell r="N1225">
            <v>10800</v>
          </cell>
        </row>
        <row r="1226">
          <cell r="A1226" t="str">
            <v>265</v>
          </cell>
          <cell r="B1226">
            <v>50</v>
          </cell>
          <cell r="C1226">
            <v>20</v>
          </cell>
          <cell r="D1226" t="str">
            <v>NITTO</v>
          </cell>
          <cell r="E1226" t="str">
            <v>TERRA GRAPPLER NTGA2 A/T</v>
          </cell>
          <cell r="N1226">
            <v>11800</v>
          </cell>
        </row>
        <row r="1227">
          <cell r="A1227" t="str">
            <v>265</v>
          </cell>
          <cell r="B1227">
            <v>50</v>
          </cell>
          <cell r="C1227">
            <v>20</v>
          </cell>
          <cell r="D1227" t="str">
            <v>NITTO</v>
          </cell>
          <cell r="E1227" t="str">
            <v>TERRA GRAPPLER NTGAT A/T</v>
          </cell>
          <cell r="N1227">
            <v>10500</v>
          </cell>
        </row>
        <row r="1228">
          <cell r="A1228" t="str">
            <v>285</v>
          </cell>
          <cell r="B1228">
            <v>50</v>
          </cell>
          <cell r="C1228">
            <v>20</v>
          </cell>
          <cell r="D1228" t="str">
            <v>NITTO</v>
          </cell>
          <cell r="E1228" t="str">
            <v>420S</v>
          </cell>
          <cell r="N1228">
            <v>14000</v>
          </cell>
        </row>
        <row r="1229">
          <cell r="A1229" t="str">
            <v>285</v>
          </cell>
          <cell r="B1229">
            <v>50</v>
          </cell>
          <cell r="C1229">
            <v>20</v>
          </cell>
          <cell r="D1229" t="str">
            <v>NITTO</v>
          </cell>
          <cell r="E1229" t="str">
            <v>TERRA GRAPPLER NTGAT A/T</v>
          </cell>
          <cell r="N1229">
            <v>13800</v>
          </cell>
        </row>
        <row r="1230">
          <cell r="A1230">
            <v>275</v>
          </cell>
          <cell r="B1230">
            <v>55</v>
          </cell>
          <cell r="C1230">
            <v>20</v>
          </cell>
          <cell r="D1230" t="str">
            <v>NITTO</v>
          </cell>
          <cell r="E1230" t="str">
            <v>NT420S (JP)</v>
          </cell>
          <cell r="N1230">
            <v>11800</v>
          </cell>
        </row>
        <row r="1231">
          <cell r="A1231" t="str">
            <v>275</v>
          </cell>
          <cell r="B1231">
            <v>55</v>
          </cell>
          <cell r="C1231">
            <v>20</v>
          </cell>
          <cell r="D1231" t="str">
            <v>NITTO</v>
          </cell>
          <cell r="E1231" t="str">
            <v>TERRA GRAPPLER G2 A/T</v>
          </cell>
          <cell r="N1231">
            <v>13179</v>
          </cell>
        </row>
        <row r="1232">
          <cell r="A1232">
            <v>275</v>
          </cell>
          <cell r="B1232">
            <v>55</v>
          </cell>
          <cell r="C1232">
            <v>20</v>
          </cell>
          <cell r="D1232" t="str">
            <v>NITTO</v>
          </cell>
          <cell r="E1232" t="str">
            <v>RIDGE GRAPPLER</v>
          </cell>
          <cell r="N1232">
            <v>16800</v>
          </cell>
        </row>
        <row r="1233">
          <cell r="A1233" t="str">
            <v>35</v>
          </cell>
          <cell r="B1233">
            <v>12.5</v>
          </cell>
          <cell r="C1233">
            <v>20</v>
          </cell>
          <cell r="D1233" t="str">
            <v>NITTO</v>
          </cell>
          <cell r="E1233" t="str">
            <v>NTGMT EXTREME MUD TERRAIN</v>
          </cell>
          <cell r="N1233">
            <v>26300</v>
          </cell>
        </row>
        <row r="1234">
          <cell r="A1234" t="str">
            <v>285</v>
          </cell>
          <cell r="B1234">
            <v>40</v>
          </cell>
          <cell r="C1234">
            <v>22</v>
          </cell>
          <cell r="D1234" t="str">
            <v>NITTO</v>
          </cell>
          <cell r="E1234" t="str">
            <v>420S</v>
          </cell>
          <cell r="N1234">
            <v>14434.22</v>
          </cell>
        </row>
        <row r="1235">
          <cell r="A1235" t="str">
            <v>285</v>
          </cell>
          <cell r="B1235">
            <v>45</v>
          </cell>
          <cell r="C1235">
            <v>22</v>
          </cell>
          <cell r="D1235" t="str">
            <v>NITTO</v>
          </cell>
          <cell r="E1235" t="str">
            <v>NT 420S</v>
          </cell>
          <cell r="N1235">
            <v>17500</v>
          </cell>
        </row>
        <row r="1236">
          <cell r="A1236" t="str">
            <v>285</v>
          </cell>
          <cell r="B1236">
            <v>45</v>
          </cell>
          <cell r="C1236">
            <v>22</v>
          </cell>
          <cell r="D1236" t="str">
            <v>NITTO</v>
          </cell>
          <cell r="E1236" t="str">
            <v>NT-420V</v>
          </cell>
          <cell r="N1236">
            <v>17700</v>
          </cell>
        </row>
        <row r="1237">
          <cell r="A1237" t="str">
            <v>235</v>
          </cell>
          <cell r="B1237">
            <v>65</v>
          </cell>
          <cell r="C1237">
            <v>17</v>
          </cell>
          <cell r="D1237" t="str">
            <v>OTANI</v>
          </cell>
          <cell r="E1237" t="str">
            <v>SA1000</v>
          </cell>
          <cell r="N1237">
            <v>6000</v>
          </cell>
        </row>
        <row r="1238">
          <cell r="A1238" t="str">
            <v>285</v>
          </cell>
          <cell r="B1238">
            <v>65</v>
          </cell>
          <cell r="C1238">
            <v>18</v>
          </cell>
          <cell r="D1238" t="str">
            <v>OTANI</v>
          </cell>
          <cell r="E1238" t="str">
            <v>SA2000</v>
          </cell>
          <cell r="N1238">
            <v>8193.75</v>
          </cell>
        </row>
        <row r="1239">
          <cell r="A1239" t="str">
            <v>265</v>
          </cell>
          <cell r="B1239">
            <v>65</v>
          </cell>
          <cell r="C1239">
            <v>17</v>
          </cell>
          <cell r="D1239" t="str">
            <v>PATRIOT</v>
          </cell>
          <cell r="E1239" t="str">
            <v>RUGGED TERRAIN</v>
          </cell>
          <cell r="N1239">
            <v>6786.8</v>
          </cell>
        </row>
        <row r="1240">
          <cell r="A1240" t="str">
            <v>265</v>
          </cell>
          <cell r="B1240">
            <v>70</v>
          </cell>
          <cell r="C1240">
            <v>17</v>
          </cell>
          <cell r="D1240" t="str">
            <v>PATRIOT</v>
          </cell>
          <cell r="E1240" t="str">
            <v>RUGGED TERRAIN</v>
          </cell>
          <cell r="N1240">
            <v>6931.2</v>
          </cell>
        </row>
        <row r="1241">
          <cell r="A1241" t="str">
            <v>285</v>
          </cell>
          <cell r="B1241">
            <v>70</v>
          </cell>
          <cell r="C1241">
            <v>17</v>
          </cell>
          <cell r="D1241" t="str">
            <v>PATRIOT</v>
          </cell>
          <cell r="E1241" t="str">
            <v>RUGGED TERRAIN</v>
          </cell>
          <cell r="N1241">
            <v>7869.8</v>
          </cell>
        </row>
        <row r="1242">
          <cell r="A1242" t="str">
            <v>265</v>
          </cell>
          <cell r="B1242">
            <v>60</v>
          </cell>
          <cell r="C1242">
            <v>18</v>
          </cell>
          <cell r="D1242" t="str">
            <v>PATRIOT</v>
          </cell>
          <cell r="E1242" t="str">
            <v>RUGGED TERRAIN</v>
          </cell>
          <cell r="N1242">
            <v>6992</v>
          </cell>
        </row>
        <row r="1243">
          <cell r="A1243" t="str">
            <v>265</v>
          </cell>
          <cell r="B1243">
            <v>65</v>
          </cell>
          <cell r="C1243">
            <v>18</v>
          </cell>
          <cell r="D1243" t="str">
            <v>PATRIOT</v>
          </cell>
          <cell r="E1243" t="str">
            <v>RUGGED TERRAIN</v>
          </cell>
          <cell r="N1243">
            <v>7220</v>
          </cell>
        </row>
        <row r="1244">
          <cell r="A1244" t="str">
            <v>275</v>
          </cell>
          <cell r="B1244">
            <v>65</v>
          </cell>
          <cell r="C1244">
            <v>18</v>
          </cell>
          <cell r="D1244" t="str">
            <v>PATRIOT</v>
          </cell>
          <cell r="E1244" t="str">
            <v>RUGGED TERRAIN</v>
          </cell>
          <cell r="N1244">
            <v>7653.2</v>
          </cell>
        </row>
        <row r="1245">
          <cell r="A1245" t="str">
            <v>265</v>
          </cell>
          <cell r="B1245">
            <v>50</v>
          </cell>
          <cell r="C1245">
            <v>20</v>
          </cell>
          <cell r="D1245" t="str">
            <v>PATRIOT</v>
          </cell>
          <cell r="E1245" t="str">
            <v>RUGGED TERRAIN</v>
          </cell>
          <cell r="N1245">
            <v>7147.8</v>
          </cell>
        </row>
        <row r="1246">
          <cell r="A1246" t="str">
            <v>275</v>
          </cell>
          <cell r="B1246">
            <v>55</v>
          </cell>
          <cell r="C1246">
            <v>20</v>
          </cell>
          <cell r="D1246" t="str">
            <v>PATRIOT</v>
          </cell>
          <cell r="E1246" t="str">
            <v>RUGGED TERRAIN</v>
          </cell>
          <cell r="N1246">
            <v>8436</v>
          </cell>
        </row>
        <row r="1247">
          <cell r="A1247" t="str">
            <v>305</v>
          </cell>
          <cell r="B1247">
            <v>55</v>
          </cell>
          <cell r="C1247">
            <v>20</v>
          </cell>
          <cell r="D1247" t="str">
            <v>PATRIOT</v>
          </cell>
          <cell r="E1247" t="str">
            <v>RUGGED TERRAIN</v>
          </cell>
          <cell r="N1247">
            <v>10180.200000000001</v>
          </cell>
        </row>
        <row r="1248">
          <cell r="A1248" t="str">
            <v>285</v>
          </cell>
          <cell r="B1248">
            <v>55</v>
          </cell>
          <cell r="C1248">
            <v>20</v>
          </cell>
          <cell r="D1248" t="str">
            <v>PATRIOT</v>
          </cell>
          <cell r="E1248" t="str">
            <v>RUGGED TERRAIN</v>
          </cell>
          <cell r="N1248">
            <v>9602.6</v>
          </cell>
        </row>
        <row r="1249">
          <cell r="A1249" t="str">
            <v>295</v>
          </cell>
          <cell r="B1249">
            <v>55</v>
          </cell>
          <cell r="C1249">
            <v>20</v>
          </cell>
          <cell r="D1249" t="str">
            <v>PATRIOT</v>
          </cell>
          <cell r="E1249" t="str">
            <v>RUGGED TERRAIN</v>
          </cell>
          <cell r="N1249">
            <v>9891.4</v>
          </cell>
        </row>
        <row r="1250">
          <cell r="A1250" t="str">
            <v>165</v>
          </cell>
          <cell r="B1250">
            <v>70</v>
          </cell>
          <cell r="C1250">
            <v>14</v>
          </cell>
          <cell r="D1250" t="str">
            <v>PETLAS</v>
          </cell>
          <cell r="E1250" t="str">
            <v>ELEGANT PT311</v>
          </cell>
          <cell r="N1250">
            <v>2460.6999999999998</v>
          </cell>
        </row>
        <row r="1251">
          <cell r="A1251" t="str">
            <v>225</v>
          </cell>
          <cell r="B1251">
            <v>70</v>
          </cell>
          <cell r="C1251">
            <v>16</v>
          </cell>
          <cell r="D1251" t="str">
            <v>PETLAS</v>
          </cell>
          <cell r="E1251" t="str">
            <v>EXPLERO PT44</v>
          </cell>
          <cell r="N1251">
            <v>4560</v>
          </cell>
        </row>
        <row r="1252">
          <cell r="A1252" t="str">
            <v>185</v>
          </cell>
          <cell r="B1252">
            <v>60</v>
          </cell>
          <cell r="C1252">
            <v>15</v>
          </cell>
          <cell r="D1252" t="str">
            <v>PIRELLI</v>
          </cell>
          <cell r="E1252" t="str">
            <v>CINTURADO</v>
          </cell>
          <cell r="N1252">
            <v>3250</v>
          </cell>
        </row>
        <row r="1253">
          <cell r="A1253" t="str">
            <v>205</v>
          </cell>
          <cell r="B1253">
            <v>45</v>
          </cell>
          <cell r="C1253">
            <v>16</v>
          </cell>
          <cell r="D1253" t="str">
            <v>PIRELLI</v>
          </cell>
          <cell r="E1253" t="str">
            <v>NERO</v>
          </cell>
          <cell r="N1253">
            <v>2376</v>
          </cell>
        </row>
        <row r="1254">
          <cell r="A1254" t="str">
            <v>265</v>
          </cell>
          <cell r="B1254">
            <v>65</v>
          </cell>
          <cell r="C1254">
            <v>17</v>
          </cell>
          <cell r="D1254" t="str">
            <v>PIRELLI</v>
          </cell>
          <cell r="E1254" t="str">
            <v>SCORPION ATR</v>
          </cell>
          <cell r="N1254">
            <v>8000</v>
          </cell>
        </row>
        <row r="1255">
          <cell r="A1255" t="str">
            <v>265</v>
          </cell>
          <cell r="B1255">
            <v>70</v>
          </cell>
          <cell r="C1255">
            <v>16</v>
          </cell>
          <cell r="D1255" t="str">
            <v>PRESA</v>
          </cell>
          <cell r="E1255" t="str">
            <v>A/T PRO (THAI)</v>
          </cell>
          <cell r="N1255">
            <v>4000</v>
          </cell>
        </row>
        <row r="1256">
          <cell r="A1256" t="str">
            <v>175</v>
          </cell>
          <cell r="B1256">
            <v>70</v>
          </cell>
          <cell r="C1256">
            <v>13</v>
          </cell>
          <cell r="D1256" t="str">
            <v>RADAR</v>
          </cell>
          <cell r="E1256" t="str">
            <v xml:space="preserve">RPX 900 </v>
          </cell>
          <cell r="N1256">
            <v>1822</v>
          </cell>
        </row>
        <row r="1257">
          <cell r="A1257" t="str">
            <v>195</v>
          </cell>
          <cell r="B1257">
            <v>55</v>
          </cell>
          <cell r="C1257">
            <v>15</v>
          </cell>
          <cell r="D1257" t="str">
            <v>RADAR</v>
          </cell>
          <cell r="E1257" t="str">
            <v>DIMAX AS-6</v>
          </cell>
          <cell r="N1257">
            <v>2336</v>
          </cell>
        </row>
        <row r="1258">
          <cell r="A1258" t="str">
            <v>185</v>
          </cell>
          <cell r="B1258">
            <v>60</v>
          </cell>
          <cell r="C1258">
            <v>15</v>
          </cell>
          <cell r="D1258" t="str">
            <v>RADAR</v>
          </cell>
          <cell r="E1258" t="str">
            <v>DIMAX AS-6 TL 88H</v>
          </cell>
          <cell r="N1258">
            <v>2353</v>
          </cell>
        </row>
        <row r="1259">
          <cell r="A1259" t="str">
            <v>185</v>
          </cell>
          <cell r="B1259">
            <v>65</v>
          </cell>
          <cell r="C1259">
            <v>15</v>
          </cell>
          <cell r="D1259" t="str">
            <v>RADAR</v>
          </cell>
          <cell r="E1259" t="str">
            <v xml:space="preserve">RPX 900 </v>
          </cell>
        </row>
        <row r="1260">
          <cell r="A1260" t="str">
            <v>195</v>
          </cell>
          <cell r="B1260">
            <v>65</v>
          </cell>
          <cell r="C1260">
            <v>15</v>
          </cell>
          <cell r="D1260" t="str">
            <v>RADAR</v>
          </cell>
          <cell r="E1260" t="str">
            <v>DIMAX AS-6</v>
          </cell>
          <cell r="N1260">
            <v>2534</v>
          </cell>
        </row>
        <row r="1261">
          <cell r="A1261" t="str">
            <v>205</v>
          </cell>
          <cell r="B1261">
            <v>65</v>
          </cell>
          <cell r="C1261">
            <v>15</v>
          </cell>
          <cell r="D1261" t="str">
            <v>RADAR</v>
          </cell>
          <cell r="E1261" t="str">
            <v>DIMAX AS-6</v>
          </cell>
          <cell r="N1261">
            <v>2756</v>
          </cell>
        </row>
        <row r="1262">
          <cell r="A1262" t="str">
            <v>195</v>
          </cell>
          <cell r="B1262">
            <v>70</v>
          </cell>
          <cell r="C1262">
            <v>15</v>
          </cell>
          <cell r="D1262" t="str">
            <v>RADAR</v>
          </cell>
          <cell r="E1262" t="str">
            <v>ARGONITE</v>
          </cell>
          <cell r="N1262">
            <v>3100</v>
          </cell>
        </row>
        <row r="1263">
          <cell r="A1263" t="str">
            <v>205</v>
          </cell>
          <cell r="B1263">
            <v>70</v>
          </cell>
          <cell r="C1263">
            <v>15</v>
          </cell>
          <cell r="D1263" t="str">
            <v>RADAR</v>
          </cell>
          <cell r="E1263" t="str">
            <v>RPX 900</v>
          </cell>
          <cell r="N1263">
            <v>2700</v>
          </cell>
        </row>
        <row r="1264">
          <cell r="A1264" t="str">
            <v>205</v>
          </cell>
          <cell r="B1264">
            <v>70</v>
          </cell>
          <cell r="C1264">
            <v>15</v>
          </cell>
          <cell r="D1264" t="str">
            <v>RADAR</v>
          </cell>
          <cell r="E1264" t="str">
            <v>RENEGADE RT</v>
          </cell>
          <cell r="N1264">
            <v>4600</v>
          </cell>
        </row>
        <row r="1265">
          <cell r="A1265" t="str">
            <v>235</v>
          </cell>
          <cell r="B1265">
            <v>70</v>
          </cell>
          <cell r="C1265">
            <v>15</v>
          </cell>
          <cell r="D1265" t="str">
            <v>RADAR</v>
          </cell>
          <cell r="E1265" t="str">
            <v>RXS8 103T</v>
          </cell>
          <cell r="N1265">
            <v>4102</v>
          </cell>
        </row>
        <row r="1266">
          <cell r="A1266" t="str">
            <v>215</v>
          </cell>
          <cell r="B1266">
            <v>75</v>
          </cell>
          <cell r="C1266">
            <v>15</v>
          </cell>
          <cell r="D1266" t="str">
            <v>RADAR</v>
          </cell>
          <cell r="E1266" t="str">
            <v>RENEGADE R/T LT</v>
          </cell>
          <cell r="N1266">
            <v>4168</v>
          </cell>
        </row>
        <row r="1267">
          <cell r="A1267" t="str">
            <v>235</v>
          </cell>
          <cell r="B1267">
            <v>75</v>
          </cell>
          <cell r="C1267">
            <v>15</v>
          </cell>
          <cell r="D1267" t="str">
            <v>RADAR</v>
          </cell>
          <cell r="E1267" t="str">
            <v xml:space="preserve">RXS8 </v>
          </cell>
          <cell r="N1267">
            <v>4538</v>
          </cell>
        </row>
        <row r="1268">
          <cell r="A1268" t="str">
            <v>195</v>
          </cell>
          <cell r="C1268" t="str">
            <v>15C</v>
          </cell>
          <cell r="D1268" t="str">
            <v>RADAR</v>
          </cell>
          <cell r="E1268" t="str">
            <v>RPX878</v>
          </cell>
          <cell r="N1268">
            <v>3406</v>
          </cell>
        </row>
        <row r="1269">
          <cell r="A1269" t="str">
            <v>205</v>
          </cell>
          <cell r="B1269">
            <v>45</v>
          </cell>
          <cell r="C1269">
            <v>16</v>
          </cell>
          <cell r="D1269" t="str">
            <v>RADAR</v>
          </cell>
          <cell r="E1269" t="str">
            <v>D.VERENTI R6</v>
          </cell>
          <cell r="N1269">
            <v>2376</v>
          </cell>
        </row>
        <row r="1270">
          <cell r="A1270" t="str">
            <v>215</v>
          </cell>
          <cell r="B1270">
            <v>60</v>
          </cell>
          <cell r="C1270">
            <v>16</v>
          </cell>
          <cell r="D1270" t="str">
            <v>RADAR</v>
          </cell>
          <cell r="E1270" t="str">
            <v>DIMAX AS-8</v>
          </cell>
          <cell r="N1270">
            <v>3541</v>
          </cell>
        </row>
        <row r="1271">
          <cell r="A1271" t="str">
            <v>215</v>
          </cell>
          <cell r="B1271">
            <v>60</v>
          </cell>
          <cell r="C1271">
            <v>16</v>
          </cell>
          <cell r="D1271" t="str">
            <v>RADAR</v>
          </cell>
          <cell r="E1271" t="str">
            <v>RPX900</v>
          </cell>
          <cell r="N1271">
            <v>3445.2</v>
          </cell>
        </row>
        <row r="1272">
          <cell r="A1272" t="str">
            <v>215</v>
          </cell>
          <cell r="B1272">
            <v>65</v>
          </cell>
          <cell r="C1272">
            <v>16</v>
          </cell>
          <cell r="D1272" t="str">
            <v>RADAR</v>
          </cell>
          <cell r="E1272" t="str">
            <v>RPX900</v>
          </cell>
        </row>
        <row r="1273">
          <cell r="A1273" t="str">
            <v>215</v>
          </cell>
          <cell r="B1273">
            <v>65</v>
          </cell>
          <cell r="C1273">
            <v>16</v>
          </cell>
          <cell r="D1273" t="str">
            <v>RADAR</v>
          </cell>
          <cell r="E1273" t="str">
            <v>DIMAX AS-8</v>
          </cell>
          <cell r="N1273">
            <v>3683</v>
          </cell>
        </row>
        <row r="1274">
          <cell r="A1274" t="str">
            <v>245</v>
          </cell>
          <cell r="B1274">
            <v>70</v>
          </cell>
          <cell r="C1274">
            <v>16</v>
          </cell>
          <cell r="D1274" t="str">
            <v>RADAR</v>
          </cell>
          <cell r="E1274" t="str">
            <v>RXS</v>
          </cell>
          <cell r="N1274">
            <v>5450</v>
          </cell>
        </row>
        <row r="1275">
          <cell r="A1275" t="str">
            <v>285</v>
          </cell>
          <cell r="B1275">
            <v>75</v>
          </cell>
          <cell r="C1275">
            <v>16</v>
          </cell>
          <cell r="D1275" t="str">
            <v>RADAR</v>
          </cell>
          <cell r="E1275" t="str">
            <v>RENEGADE M/T</v>
          </cell>
          <cell r="N1275">
            <v>7527</v>
          </cell>
        </row>
        <row r="1276">
          <cell r="A1276" t="str">
            <v>215</v>
          </cell>
          <cell r="B1276">
            <v>45</v>
          </cell>
          <cell r="C1276">
            <v>17</v>
          </cell>
          <cell r="D1276" t="str">
            <v>RADAR</v>
          </cell>
          <cell r="E1276" t="str">
            <v xml:space="preserve">DIMAX AS-8 </v>
          </cell>
          <cell r="N1276">
            <v>3112</v>
          </cell>
        </row>
        <row r="1277">
          <cell r="A1277" t="str">
            <v>225</v>
          </cell>
          <cell r="B1277">
            <v>60</v>
          </cell>
          <cell r="C1277">
            <v>17</v>
          </cell>
          <cell r="D1277" t="str">
            <v>RADAR</v>
          </cell>
          <cell r="E1277" t="str">
            <v xml:space="preserve">DIMAX AS-8 </v>
          </cell>
          <cell r="N1277">
            <v>4277</v>
          </cell>
        </row>
        <row r="1278">
          <cell r="A1278">
            <v>225</v>
          </cell>
          <cell r="B1278">
            <v>65</v>
          </cell>
          <cell r="C1278">
            <v>17</v>
          </cell>
          <cell r="D1278" t="str">
            <v>RADAR</v>
          </cell>
          <cell r="E1278" t="str">
            <v>DIMAX AS-8</v>
          </cell>
          <cell r="N1278">
            <v>4419</v>
          </cell>
        </row>
        <row r="1279">
          <cell r="A1279" t="str">
            <v>265</v>
          </cell>
          <cell r="B1279">
            <v>65</v>
          </cell>
          <cell r="C1279">
            <v>17</v>
          </cell>
          <cell r="D1279" t="str">
            <v>RADAR</v>
          </cell>
          <cell r="E1279" t="str">
            <v>RENEGADE R/T 10PR</v>
          </cell>
          <cell r="N1279">
            <v>5845</v>
          </cell>
        </row>
        <row r="1280">
          <cell r="A1280" t="str">
            <v>265</v>
          </cell>
          <cell r="B1280">
            <v>65</v>
          </cell>
          <cell r="C1280">
            <v>17</v>
          </cell>
          <cell r="D1280" t="str">
            <v>RADAR</v>
          </cell>
          <cell r="E1280" t="str">
            <v>RXS9</v>
          </cell>
          <cell r="N1280">
            <v>5504</v>
          </cell>
        </row>
        <row r="1281">
          <cell r="N1281">
            <v>5505</v>
          </cell>
        </row>
        <row r="1282">
          <cell r="N1282">
            <v>6526</v>
          </cell>
        </row>
        <row r="1283">
          <cell r="A1283" t="str">
            <v>285</v>
          </cell>
          <cell r="B1283">
            <v>70</v>
          </cell>
          <cell r="C1283">
            <v>17</v>
          </cell>
          <cell r="D1283" t="str">
            <v>RADAR</v>
          </cell>
          <cell r="E1283" t="str">
            <v>RENEGADE R/T</v>
          </cell>
          <cell r="N1283">
            <v>8000</v>
          </cell>
        </row>
        <row r="1284">
          <cell r="A1284" t="str">
            <v>295</v>
          </cell>
          <cell r="B1284">
            <v>70</v>
          </cell>
          <cell r="C1284">
            <v>17</v>
          </cell>
          <cell r="D1284" t="str">
            <v>RADAR</v>
          </cell>
          <cell r="E1284" t="str">
            <v>RENEGADE X</v>
          </cell>
          <cell r="N1284">
            <v>11700</v>
          </cell>
        </row>
        <row r="1285">
          <cell r="A1285" t="str">
            <v>225</v>
          </cell>
          <cell r="B1285">
            <v>40</v>
          </cell>
          <cell r="C1285">
            <v>18</v>
          </cell>
          <cell r="D1285" t="str">
            <v>RADAR</v>
          </cell>
          <cell r="E1285" t="str">
            <v>VERENTI</v>
          </cell>
          <cell r="N1285">
            <v>5505</v>
          </cell>
        </row>
        <row r="1286">
          <cell r="A1286" t="str">
            <v>245</v>
          </cell>
          <cell r="B1286">
            <v>45</v>
          </cell>
          <cell r="C1286">
            <v>18</v>
          </cell>
          <cell r="D1286" t="str">
            <v>RADAR</v>
          </cell>
          <cell r="E1286" t="str">
            <v>DIMAX AS-8</v>
          </cell>
          <cell r="N1286">
            <v>4340</v>
          </cell>
        </row>
        <row r="1287">
          <cell r="A1287" t="str">
            <v>215</v>
          </cell>
          <cell r="B1287">
            <v>55</v>
          </cell>
          <cell r="C1287">
            <v>18</v>
          </cell>
          <cell r="D1287" t="str">
            <v>RADAR</v>
          </cell>
          <cell r="E1287" t="str">
            <v>DIMAX AS8</v>
          </cell>
          <cell r="N1287">
            <v>4673</v>
          </cell>
        </row>
        <row r="1288">
          <cell r="A1288" t="str">
            <v>225</v>
          </cell>
          <cell r="B1288">
            <v>55</v>
          </cell>
          <cell r="C1288">
            <v>18</v>
          </cell>
          <cell r="D1288" t="str">
            <v>RADAR</v>
          </cell>
          <cell r="E1288" t="str">
            <v>DIMAX AS-8</v>
          </cell>
          <cell r="N1288">
            <v>4736</v>
          </cell>
        </row>
        <row r="1289">
          <cell r="A1289" t="str">
            <v>265</v>
          </cell>
          <cell r="B1289">
            <v>60</v>
          </cell>
          <cell r="C1289">
            <v>18</v>
          </cell>
          <cell r="D1289" t="str">
            <v>RADAR</v>
          </cell>
          <cell r="E1289" t="str">
            <v>RENEGADE A/T</v>
          </cell>
          <cell r="N1289">
            <v>6336</v>
          </cell>
        </row>
        <row r="1290">
          <cell r="A1290" t="str">
            <v>265</v>
          </cell>
          <cell r="B1290">
            <v>60</v>
          </cell>
          <cell r="C1290">
            <v>18</v>
          </cell>
          <cell r="D1290" t="str">
            <v>RADAR</v>
          </cell>
          <cell r="E1290" t="str">
            <v>RENEGADE R/T</v>
          </cell>
          <cell r="N1290">
            <v>6161</v>
          </cell>
        </row>
        <row r="1291">
          <cell r="A1291" t="str">
            <v>265</v>
          </cell>
          <cell r="B1291">
            <v>65</v>
          </cell>
          <cell r="C1291">
            <v>18</v>
          </cell>
          <cell r="D1291" t="str">
            <v>RADAR</v>
          </cell>
          <cell r="E1291" t="str">
            <v>RENEGADE R/T LT</v>
          </cell>
          <cell r="N1291">
            <v>6653</v>
          </cell>
        </row>
        <row r="1292">
          <cell r="A1292" t="str">
            <v>275</v>
          </cell>
          <cell r="B1292">
            <v>65</v>
          </cell>
          <cell r="C1292">
            <v>18</v>
          </cell>
          <cell r="D1292" t="str">
            <v>RADAR</v>
          </cell>
          <cell r="E1292" t="str">
            <v>RENEGADE R/T</v>
          </cell>
          <cell r="N1292">
            <v>6851</v>
          </cell>
        </row>
        <row r="1293">
          <cell r="A1293" t="str">
            <v>235</v>
          </cell>
          <cell r="B1293">
            <v>55</v>
          </cell>
          <cell r="C1293">
            <v>19</v>
          </cell>
          <cell r="D1293" t="str">
            <v>RADAR</v>
          </cell>
          <cell r="E1293" t="str">
            <v>DIMAX AS-8 TL 105</v>
          </cell>
          <cell r="N1293">
            <v>5742</v>
          </cell>
        </row>
        <row r="1294">
          <cell r="A1294" t="str">
            <v>33</v>
          </cell>
          <cell r="B1294" t="str">
            <v>12.50</v>
          </cell>
          <cell r="C1294">
            <v>20</v>
          </cell>
          <cell r="D1294" t="str">
            <v>RADAR</v>
          </cell>
          <cell r="E1294" t="str">
            <v>RENEGADE R/T</v>
          </cell>
          <cell r="N1294">
            <v>9200</v>
          </cell>
        </row>
        <row r="1295">
          <cell r="A1295" t="str">
            <v>245</v>
          </cell>
          <cell r="B1295">
            <v>50</v>
          </cell>
          <cell r="C1295">
            <v>20</v>
          </cell>
          <cell r="D1295" t="str">
            <v>RADAR</v>
          </cell>
          <cell r="E1295" t="str">
            <v>DIMAX AS-8</v>
          </cell>
          <cell r="N1295">
            <v>5781.6</v>
          </cell>
        </row>
        <row r="1296">
          <cell r="A1296" t="str">
            <v>255</v>
          </cell>
          <cell r="B1296">
            <v>50</v>
          </cell>
          <cell r="C1296">
            <v>20</v>
          </cell>
          <cell r="D1296" t="str">
            <v>RADAR</v>
          </cell>
          <cell r="E1296" t="str">
            <v>DIMAS AS-8</v>
          </cell>
          <cell r="N1296">
            <v>6241</v>
          </cell>
        </row>
        <row r="1297">
          <cell r="A1297" t="str">
            <v>265</v>
          </cell>
          <cell r="B1297">
            <v>50</v>
          </cell>
          <cell r="C1297">
            <v>20</v>
          </cell>
          <cell r="D1297" t="str">
            <v>RADAR</v>
          </cell>
          <cell r="E1297" t="str">
            <v>RENEGADE A/T</v>
          </cell>
          <cell r="N1297">
            <v>6273</v>
          </cell>
        </row>
        <row r="1298">
          <cell r="A1298" t="str">
            <v>265</v>
          </cell>
          <cell r="B1298">
            <v>50</v>
          </cell>
          <cell r="C1298">
            <v>20</v>
          </cell>
          <cell r="D1298" t="str">
            <v>RADAR</v>
          </cell>
          <cell r="E1298" t="str">
            <v>RENEGADE R/T 10PR</v>
          </cell>
          <cell r="N1298">
            <v>6336</v>
          </cell>
        </row>
        <row r="1299">
          <cell r="A1299" t="str">
            <v>275</v>
          </cell>
          <cell r="B1299">
            <v>55</v>
          </cell>
          <cell r="C1299">
            <v>20</v>
          </cell>
          <cell r="D1299" t="str">
            <v>RADAR</v>
          </cell>
          <cell r="E1299" t="str">
            <v>RENEGADE A/T</v>
          </cell>
          <cell r="N1299">
            <v>7207</v>
          </cell>
        </row>
        <row r="1300">
          <cell r="A1300" t="str">
            <v>275</v>
          </cell>
          <cell r="B1300">
            <v>55</v>
          </cell>
          <cell r="C1300">
            <v>20</v>
          </cell>
          <cell r="D1300" t="str">
            <v>RADAR</v>
          </cell>
          <cell r="E1300" t="str">
            <v>RENERADE R/T 10PR</v>
          </cell>
          <cell r="N1300">
            <v>7247</v>
          </cell>
        </row>
        <row r="1301">
          <cell r="A1301" t="str">
            <v>285</v>
          </cell>
          <cell r="B1301">
            <v>50</v>
          </cell>
          <cell r="C1301">
            <v>20</v>
          </cell>
          <cell r="D1301" t="str">
            <v>RADAR</v>
          </cell>
          <cell r="E1301" t="str">
            <v>RENEGADE A/T</v>
          </cell>
          <cell r="N1301">
            <v>8700</v>
          </cell>
        </row>
        <row r="1302">
          <cell r="A1302" t="str">
            <v>285</v>
          </cell>
          <cell r="B1302">
            <v>55</v>
          </cell>
          <cell r="C1302">
            <v>20</v>
          </cell>
          <cell r="D1302" t="str">
            <v>RADAR</v>
          </cell>
          <cell r="E1302" t="str">
            <v>RENEGADE R/T</v>
          </cell>
          <cell r="N1302">
            <v>8712</v>
          </cell>
        </row>
        <row r="1303">
          <cell r="A1303" t="str">
            <v>295</v>
          </cell>
          <cell r="B1303">
            <v>55</v>
          </cell>
          <cell r="C1303">
            <v>20</v>
          </cell>
          <cell r="D1303" t="str">
            <v>RADAR</v>
          </cell>
          <cell r="E1303" t="str">
            <v>RENEGADE R/T</v>
          </cell>
          <cell r="N1303">
            <v>9278</v>
          </cell>
        </row>
        <row r="1304">
          <cell r="A1304" t="str">
            <v>275</v>
          </cell>
          <cell r="B1304">
            <v>45</v>
          </cell>
          <cell r="C1304">
            <v>18</v>
          </cell>
          <cell r="D1304" t="str">
            <v>RAIDEN</v>
          </cell>
          <cell r="E1304" t="str">
            <v>HERO R111</v>
          </cell>
          <cell r="N1304">
            <v>5472</v>
          </cell>
        </row>
        <row r="1305">
          <cell r="A1305">
            <v>265</v>
          </cell>
          <cell r="B1305">
            <v>60</v>
          </cell>
          <cell r="C1305">
            <v>18</v>
          </cell>
          <cell r="D1305" t="str">
            <v>ROADCLAW</v>
          </cell>
          <cell r="E1305" t="str">
            <v>HIMALAYA AT2</v>
          </cell>
          <cell r="N1305">
            <v>4750</v>
          </cell>
        </row>
        <row r="1306">
          <cell r="A1306" t="str">
            <v>185</v>
          </cell>
          <cell r="B1306">
            <v>55</v>
          </cell>
          <cell r="C1306">
            <v>15</v>
          </cell>
          <cell r="D1306" t="str">
            <v>ROADCRUZA</v>
          </cell>
          <cell r="E1306" t="str">
            <v>RA510</v>
          </cell>
          <cell r="N1306">
            <v>1782</v>
          </cell>
        </row>
        <row r="1307">
          <cell r="A1307" t="str">
            <v>195</v>
          </cell>
          <cell r="B1307">
            <v>55</v>
          </cell>
          <cell r="C1307">
            <v>15</v>
          </cell>
          <cell r="D1307" t="str">
            <v>ROADCRUZA</v>
          </cell>
          <cell r="E1307" t="str">
            <v>RA510</v>
          </cell>
          <cell r="N1307">
            <v>1901</v>
          </cell>
        </row>
        <row r="1308">
          <cell r="A1308" t="str">
            <v>205</v>
          </cell>
          <cell r="B1308">
            <v>60</v>
          </cell>
          <cell r="C1308">
            <v>16</v>
          </cell>
          <cell r="D1308" t="str">
            <v>ROADCRUZA</v>
          </cell>
          <cell r="E1308" t="str">
            <v>RA1100 A/T-S</v>
          </cell>
          <cell r="N1308">
            <v>3856</v>
          </cell>
        </row>
        <row r="1309">
          <cell r="A1309" t="str">
            <v>215</v>
          </cell>
          <cell r="B1309">
            <v>65</v>
          </cell>
          <cell r="C1309">
            <v>16</v>
          </cell>
          <cell r="D1309" t="str">
            <v>ROADCRUZA</v>
          </cell>
          <cell r="E1309" t="str">
            <v>RA-1100 A/T-S</v>
          </cell>
          <cell r="N1309">
            <v>3683</v>
          </cell>
        </row>
        <row r="1310">
          <cell r="A1310" t="str">
            <v>285</v>
          </cell>
          <cell r="B1310">
            <v>65</v>
          </cell>
          <cell r="C1310">
            <v>18</v>
          </cell>
          <cell r="D1310" t="str">
            <v>ROADCRUZA</v>
          </cell>
          <cell r="E1310" t="str">
            <v>RA200 MT</v>
          </cell>
          <cell r="N1310">
            <v>7682</v>
          </cell>
        </row>
        <row r="1311">
          <cell r="A1311" t="str">
            <v>165</v>
          </cell>
          <cell r="B1311">
            <v>65</v>
          </cell>
          <cell r="C1311">
            <v>13</v>
          </cell>
          <cell r="D1311" t="str">
            <v>ROADSTONE (CH)</v>
          </cell>
          <cell r="E1311" t="str">
            <v xml:space="preserve">4PR EUROVIS HP02 </v>
          </cell>
          <cell r="N1311">
            <v>1530</v>
          </cell>
        </row>
        <row r="1312">
          <cell r="A1312" t="str">
            <v>175</v>
          </cell>
          <cell r="B1312">
            <v>70</v>
          </cell>
          <cell r="C1312">
            <v>13</v>
          </cell>
          <cell r="D1312" t="str">
            <v>ROADSTONE (CH)</v>
          </cell>
          <cell r="E1312" t="str">
            <v xml:space="preserve">4PR EUROVIS HP02  </v>
          </cell>
          <cell r="N1312">
            <v>1653.13</v>
          </cell>
        </row>
        <row r="1313">
          <cell r="A1313" t="str">
            <v>165</v>
          </cell>
          <cell r="B1313">
            <v>65</v>
          </cell>
          <cell r="C1313">
            <v>14</v>
          </cell>
          <cell r="D1313" t="str">
            <v>ROADSTONE (CH)</v>
          </cell>
          <cell r="E1313" t="str">
            <v>EUROVIS HP02</v>
          </cell>
          <cell r="N1313">
            <v>1660</v>
          </cell>
        </row>
        <row r="1314">
          <cell r="A1314" t="str">
            <v>175</v>
          </cell>
          <cell r="B1314">
            <v>65</v>
          </cell>
          <cell r="C1314">
            <v>14</v>
          </cell>
          <cell r="D1314" t="str">
            <v>ROADSTONE (CH)</v>
          </cell>
          <cell r="E1314" t="str">
            <v xml:space="preserve">4PR EUROVIS HP02 </v>
          </cell>
          <cell r="N1314">
            <v>1740</v>
          </cell>
        </row>
        <row r="1315">
          <cell r="A1315" t="str">
            <v>185</v>
          </cell>
          <cell r="B1315">
            <v>65</v>
          </cell>
          <cell r="C1315">
            <v>14</v>
          </cell>
          <cell r="D1315" t="str">
            <v>ROADSTONE (CH)</v>
          </cell>
          <cell r="E1315" t="str">
            <v xml:space="preserve">4PR EUROVIS HP02  </v>
          </cell>
          <cell r="N1315">
            <v>1870</v>
          </cell>
        </row>
        <row r="1316">
          <cell r="A1316" t="str">
            <v>175</v>
          </cell>
          <cell r="B1316">
            <v>70</v>
          </cell>
          <cell r="C1316">
            <v>14</v>
          </cell>
          <cell r="D1316" t="str">
            <v>ROADSTONE (CH)</v>
          </cell>
          <cell r="E1316" t="str">
            <v xml:space="preserve">4PR EUROVIS HP02 </v>
          </cell>
          <cell r="N1316">
            <v>1813.75</v>
          </cell>
        </row>
        <row r="1317">
          <cell r="A1317" t="str">
            <v>185</v>
          </cell>
          <cell r="B1317">
            <v>70</v>
          </cell>
          <cell r="C1317">
            <v>14</v>
          </cell>
          <cell r="D1317" t="str">
            <v>ROADSTONE (CH)</v>
          </cell>
          <cell r="E1317" t="str">
            <v>4PR EUROVIS HP02</v>
          </cell>
          <cell r="N1317">
            <v>1930</v>
          </cell>
        </row>
        <row r="1318">
          <cell r="A1318" t="str">
            <v>195</v>
          </cell>
          <cell r="B1318">
            <v>70</v>
          </cell>
          <cell r="C1318">
            <v>14</v>
          </cell>
          <cell r="D1318" t="str">
            <v>ROADSTONE (CH)</v>
          </cell>
          <cell r="E1318" t="str">
            <v>EV HP02</v>
          </cell>
          <cell r="N1318">
            <v>2110</v>
          </cell>
        </row>
        <row r="1319">
          <cell r="A1319" t="str">
            <v>185</v>
          </cell>
          <cell r="C1319" t="str">
            <v>14C</v>
          </cell>
          <cell r="D1319" t="str">
            <v>ROADSTONE (CH)</v>
          </cell>
          <cell r="E1319" t="str">
            <v xml:space="preserve">8PR ROADIAN CT8 </v>
          </cell>
          <cell r="N1319">
            <v>2190</v>
          </cell>
        </row>
        <row r="1320">
          <cell r="A1320" t="str">
            <v>195</v>
          </cell>
          <cell r="C1320" t="str">
            <v>14C</v>
          </cell>
          <cell r="D1320" t="str">
            <v>ROADSTONE (CH)</v>
          </cell>
          <cell r="E1320" t="str">
            <v xml:space="preserve">8PR ROADIAN CT8 </v>
          </cell>
          <cell r="N1320">
            <v>2680</v>
          </cell>
        </row>
        <row r="1321">
          <cell r="A1321" t="str">
            <v>175</v>
          </cell>
          <cell r="B1321">
            <v>50</v>
          </cell>
          <cell r="C1321">
            <v>15</v>
          </cell>
          <cell r="D1321" t="str">
            <v>ROADSTONE (CH)</v>
          </cell>
          <cell r="E1321" t="str">
            <v>4PR EV HP02 2022</v>
          </cell>
          <cell r="N1321">
            <v>1880</v>
          </cell>
        </row>
        <row r="1322">
          <cell r="A1322" t="str">
            <v>195</v>
          </cell>
          <cell r="B1322">
            <v>50</v>
          </cell>
          <cell r="C1322">
            <v>15</v>
          </cell>
          <cell r="D1322" t="str">
            <v>ROADSTONE (CH)</v>
          </cell>
          <cell r="E1322" t="str">
            <v>4PR EUROVIS SPORT 4</v>
          </cell>
          <cell r="N1322">
            <v>2090</v>
          </cell>
        </row>
        <row r="1323">
          <cell r="A1323" t="str">
            <v>185</v>
          </cell>
          <cell r="B1323">
            <v>55</v>
          </cell>
          <cell r="C1323">
            <v>15</v>
          </cell>
          <cell r="D1323" t="str">
            <v>ROADSTONE (CH)</v>
          </cell>
          <cell r="E1323" t="str">
            <v>4PR EV SPORT 04</v>
          </cell>
          <cell r="N1323">
            <v>2080</v>
          </cell>
        </row>
        <row r="1324">
          <cell r="A1324" t="str">
            <v>185</v>
          </cell>
          <cell r="B1324">
            <v>55</v>
          </cell>
          <cell r="C1324">
            <v>15</v>
          </cell>
          <cell r="D1324" t="str">
            <v>ROADSTONE (CH)</v>
          </cell>
          <cell r="E1324" t="str">
            <v>4PR EV HP02</v>
          </cell>
          <cell r="N1324">
            <v>1910</v>
          </cell>
        </row>
        <row r="1325">
          <cell r="A1325" t="str">
            <v>195</v>
          </cell>
          <cell r="B1325">
            <v>55</v>
          </cell>
          <cell r="C1325">
            <v>15</v>
          </cell>
          <cell r="D1325" t="str">
            <v>ROADSTONE (CH)</v>
          </cell>
          <cell r="E1325" t="str">
            <v>4PR EUROVIS SPORT 4</v>
          </cell>
          <cell r="N1325">
            <v>2170</v>
          </cell>
        </row>
        <row r="1326">
          <cell r="A1326" t="str">
            <v>185</v>
          </cell>
          <cell r="B1326">
            <v>60</v>
          </cell>
          <cell r="C1326">
            <v>15</v>
          </cell>
          <cell r="D1326" t="str">
            <v>ROADSTONE (CH)</v>
          </cell>
          <cell r="E1326" t="str">
            <v xml:space="preserve">4PR EUROVIS SPORT 4 </v>
          </cell>
          <cell r="N1326">
            <v>1970</v>
          </cell>
        </row>
        <row r="1327">
          <cell r="A1327" t="str">
            <v>185</v>
          </cell>
          <cell r="B1327">
            <v>60</v>
          </cell>
          <cell r="C1327">
            <v>15</v>
          </cell>
          <cell r="D1327" t="str">
            <v>ROADSTONE (CH)</v>
          </cell>
          <cell r="E1327" t="str">
            <v>4PR EV HP02</v>
          </cell>
          <cell r="N1327">
            <v>1920</v>
          </cell>
        </row>
        <row r="1328">
          <cell r="A1328" t="str">
            <v>195</v>
          </cell>
          <cell r="B1328">
            <v>60</v>
          </cell>
          <cell r="C1328">
            <v>15</v>
          </cell>
          <cell r="D1328" t="str">
            <v>ROADSTONE (CH)</v>
          </cell>
          <cell r="E1328" t="str">
            <v>EUROVIS SPORT 4</v>
          </cell>
          <cell r="N1328">
            <v>2140</v>
          </cell>
        </row>
        <row r="1329">
          <cell r="A1329" t="str">
            <v xml:space="preserve">  175</v>
          </cell>
          <cell r="B1329">
            <v>65</v>
          </cell>
          <cell r="C1329">
            <v>15</v>
          </cell>
          <cell r="D1329" t="str">
            <v>ROADSTONE (CH)</v>
          </cell>
          <cell r="E1329" t="str">
            <v>4PR EUROVIS SPORT 4</v>
          </cell>
          <cell r="N1329">
            <v>1870</v>
          </cell>
        </row>
        <row r="1330">
          <cell r="A1330" t="str">
            <v>185</v>
          </cell>
          <cell r="B1330">
            <v>65</v>
          </cell>
          <cell r="C1330">
            <v>15</v>
          </cell>
          <cell r="D1330" t="str">
            <v>ROADSTONE (CH)</v>
          </cell>
          <cell r="E1330" t="str">
            <v>4PR EUROVIS SPORT 04</v>
          </cell>
          <cell r="N1330">
            <v>1950</v>
          </cell>
        </row>
        <row r="1331">
          <cell r="A1331" t="str">
            <v>185</v>
          </cell>
          <cell r="B1331">
            <v>65</v>
          </cell>
          <cell r="C1331">
            <v>15</v>
          </cell>
          <cell r="D1331" t="str">
            <v>ROADSTONE (CH)</v>
          </cell>
          <cell r="E1331" t="str">
            <v>EUROVIS HP02</v>
          </cell>
          <cell r="N1331">
            <v>1930</v>
          </cell>
        </row>
        <row r="1332">
          <cell r="A1332" t="str">
            <v>195</v>
          </cell>
          <cell r="B1332">
            <v>65</v>
          </cell>
          <cell r="C1332">
            <v>15</v>
          </cell>
          <cell r="D1332" t="str">
            <v>ROADSTONE (CH)</v>
          </cell>
          <cell r="E1332" t="str">
            <v>EUROVIS SPORT 4</v>
          </cell>
          <cell r="N1332">
            <v>2250</v>
          </cell>
        </row>
        <row r="1333">
          <cell r="A1333" t="str">
            <v>205</v>
          </cell>
          <cell r="B1333">
            <v>65</v>
          </cell>
          <cell r="C1333">
            <v>15</v>
          </cell>
          <cell r="D1333" t="str">
            <v>ROADSTONE (CH)</v>
          </cell>
          <cell r="E1333" t="str">
            <v>4PR EUROVIS HP02</v>
          </cell>
          <cell r="N1333">
            <v>2320</v>
          </cell>
        </row>
        <row r="1334">
          <cell r="A1334" t="str">
            <v>205</v>
          </cell>
          <cell r="B1334">
            <v>70</v>
          </cell>
          <cell r="C1334" t="str">
            <v>15C</v>
          </cell>
          <cell r="D1334" t="str">
            <v>ROADSTONE (CH)</v>
          </cell>
          <cell r="E1334" t="str">
            <v>8PR ROADIAN CT8</v>
          </cell>
          <cell r="N1334">
            <v>3160</v>
          </cell>
        </row>
        <row r="1335">
          <cell r="A1335" t="str">
            <v>225</v>
          </cell>
          <cell r="B1335">
            <v>70</v>
          </cell>
          <cell r="C1335" t="str">
            <v>15C</v>
          </cell>
          <cell r="D1335" t="str">
            <v>ROADSTONE (CH)</v>
          </cell>
          <cell r="E1335" t="str">
            <v>8PR ROADIAN CT8</v>
          </cell>
          <cell r="N1335">
            <v>3510</v>
          </cell>
        </row>
        <row r="1336">
          <cell r="A1336" t="str">
            <v>265</v>
          </cell>
          <cell r="B1336">
            <v>70</v>
          </cell>
          <cell r="C1336">
            <v>15</v>
          </cell>
          <cell r="D1336" t="str">
            <v>ROADSTONE (CH)</v>
          </cell>
          <cell r="E1336" t="str">
            <v>RO-AT</v>
          </cell>
          <cell r="N1336">
            <v>4980</v>
          </cell>
        </row>
        <row r="1337">
          <cell r="A1337" t="str">
            <v>235</v>
          </cell>
          <cell r="B1337">
            <v>75</v>
          </cell>
          <cell r="C1337">
            <v>15</v>
          </cell>
          <cell r="D1337" t="str">
            <v>ROADSTONE (CH)</v>
          </cell>
          <cell r="E1337" t="str">
            <v xml:space="preserve">6PR RO-A/T </v>
          </cell>
          <cell r="N1337">
            <v>4683.5</v>
          </cell>
        </row>
        <row r="1338">
          <cell r="A1338" t="str">
            <v>195</v>
          </cell>
          <cell r="C1338" t="str">
            <v>15C</v>
          </cell>
          <cell r="D1338" t="str">
            <v>ROADSTONE (CH)</v>
          </cell>
          <cell r="E1338" t="str">
            <v>8PR ROADIAN CT8</v>
          </cell>
          <cell r="N1338">
            <v>2880</v>
          </cell>
        </row>
        <row r="1339">
          <cell r="A1339" t="str">
            <v>205</v>
          </cell>
          <cell r="B1339">
            <v>45</v>
          </cell>
          <cell r="C1339">
            <v>16</v>
          </cell>
          <cell r="D1339" t="str">
            <v>ROADSTONE (CH)</v>
          </cell>
          <cell r="E1339" t="str">
            <v>4PR EV SPORT 04</v>
          </cell>
          <cell r="N1339">
            <v>2380</v>
          </cell>
        </row>
        <row r="1340">
          <cell r="A1340" t="str">
            <v>195</v>
          </cell>
          <cell r="B1340">
            <v>50</v>
          </cell>
          <cell r="C1340">
            <v>16</v>
          </cell>
          <cell r="D1340" t="str">
            <v>ROADSTONE (CH)</v>
          </cell>
          <cell r="E1340" t="str">
            <v>4PR EUROVIS SPORT 4</v>
          </cell>
          <cell r="N1340">
            <v>2290</v>
          </cell>
        </row>
        <row r="1341">
          <cell r="A1341" t="str">
            <v>195</v>
          </cell>
          <cell r="B1341">
            <v>55</v>
          </cell>
          <cell r="C1341">
            <v>16</v>
          </cell>
          <cell r="D1341" t="str">
            <v>ROADSTONE (CH)</v>
          </cell>
          <cell r="E1341" t="str">
            <v>4PR EV SPORT 04</v>
          </cell>
          <cell r="N1341">
            <v>2330</v>
          </cell>
        </row>
        <row r="1342">
          <cell r="A1342" t="str">
            <v>195</v>
          </cell>
          <cell r="B1342">
            <v>55</v>
          </cell>
          <cell r="C1342">
            <v>16</v>
          </cell>
          <cell r="D1342" t="str">
            <v>ROADSTONE (CH)</v>
          </cell>
          <cell r="E1342" t="str">
            <v>4PR EV HP02</v>
          </cell>
          <cell r="N1342">
            <v>2310</v>
          </cell>
        </row>
        <row r="1343">
          <cell r="A1343" t="str">
            <v>205</v>
          </cell>
          <cell r="B1343">
            <v>55</v>
          </cell>
          <cell r="C1343">
            <v>16</v>
          </cell>
          <cell r="D1343" t="str">
            <v>ROADSTONE (CH)</v>
          </cell>
          <cell r="E1343" t="str">
            <v>4PR EV SPORT 04</v>
          </cell>
          <cell r="N1343">
            <v>2470</v>
          </cell>
        </row>
        <row r="1344">
          <cell r="A1344" t="str">
            <v>205</v>
          </cell>
          <cell r="B1344">
            <v>60</v>
          </cell>
          <cell r="C1344">
            <v>16</v>
          </cell>
          <cell r="D1344" t="str">
            <v>ROADSTONE (CH)</v>
          </cell>
          <cell r="E1344" t="str">
            <v>4PR EUROVIS SPORT 4</v>
          </cell>
          <cell r="N1344">
            <v>2540</v>
          </cell>
        </row>
        <row r="1345">
          <cell r="A1345" t="str">
            <v>215</v>
          </cell>
          <cell r="B1345">
            <v>60</v>
          </cell>
          <cell r="C1345">
            <v>16</v>
          </cell>
          <cell r="D1345" t="str">
            <v>ROADSTONE (CH)</v>
          </cell>
          <cell r="E1345" t="str">
            <v>4PR EUROVIS SPORT 4</v>
          </cell>
          <cell r="N1345">
            <v>2730</v>
          </cell>
        </row>
        <row r="1346">
          <cell r="A1346" t="str">
            <v>205</v>
          </cell>
          <cell r="B1346">
            <v>65</v>
          </cell>
          <cell r="C1346">
            <v>16</v>
          </cell>
          <cell r="D1346" t="str">
            <v>ROADSTONE (CH)</v>
          </cell>
          <cell r="E1346" t="str">
            <v>LTR CP321 8PR</v>
          </cell>
          <cell r="N1346">
            <v>3200</v>
          </cell>
        </row>
        <row r="1347">
          <cell r="A1347" t="str">
            <v>225</v>
          </cell>
          <cell r="B1347">
            <v>70</v>
          </cell>
          <cell r="C1347">
            <v>16</v>
          </cell>
          <cell r="D1347" t="str">
            <v>ROADSTONE (CH)</v>
          </cell>
          <cell r="E1347" t="str">
            <v>RO-HT</v>
          </cell>
          <cell r="N1347">
            <v>3800</v>
          </cell>
        </row>
        <row r="1348">
          <cell r="A1348" t="str">
            <v>265</v>
          </cell>
          <cell r="B1348">
            <v>70</v>
          </cell>
          <cell r="C1348">
            <v>16</v>
          </cell>
          <cell r="D1348" t="str">
            <v>ROADSTONE (CH)</v>
          </cell>
          <cell r="E1348" t="str">
            <v>4PR RA7 A/T</v>
          </cell>
          <cell r="N1348">
            <v>4860</v>
          </cell>
        </row>
        <row r="1349">
          <cell r="A1349" t="str">
            <v>265</v>
          </cell>
          <cell r="B1349">
            <v>70</v>
          </cell>
          <cell r="C1349">
            <v>16</v>
          </cell>
          <cell r="D1349" t="str">
            <v>ROADSTONE (CH)</v>
          </cell>
          <cell r="E1349" t="str">
            <v>RO-HT</v>
          </cell>
          <cell r="N1349">
            <v>4650</v>
          </cell>
        </row>
        <row r="1350">
          <cell r="A1350" t="str">
            <v>205</v>
          </cell>
          <cell r="B1350">
            <v>40</v>
          </cell>
          <cell r="C1350">
            <v>17</v>
          </cell>
          <cell r="D1350" t="str">
            <v>ROADSTONE (CH)</v>
          </cell>
          <cell r="E1350" t="str">
            <v>EUROVIS SPORT 4</v>
          </cell>
          <cell r="N1350">
            <v>2570</v>
          </cell>
        </row>
        <row r="1351">
          <cell r="A1351" t="str">
            <v>205</v>
          </cell>
          <cell r="B1351">
            <v>45</v>
          </cell>
          <cell r="C1351">
            <v>17</v>
          </cell>
          <cell r="D1351" t="str">
            <v>ROADSTONE (CH)</v>
          </cell>
          <cell r="E1351" t="str">
            <v>4PR EUROVIS SPORT 04</v>
          </cell>
          <cell r="N1351">
            <v>2650</v>
          </cell>
        </row>
        <row r="1352">
          <cell r="A1352" t="str">
            <v>215</v>
          </cell>
          <cell r="B1352">
            <v>45</v>
          </cell>
          <cell r="C1352">
            <v>17</v>
          </cell>
          <cell r="D1352" t="str">
            <v>ROADSTONE (CH)</v>
          </cell>
          <cell r="E1352" t="str">
            <v>4PR EUROVIS SPORT 04</v>
          </cell>
          <cell r="N1352">
            <v>2720</v>
          </cell>
        </row>
        <row r="1353">
          <cell r="A1353" t="str">
            <v>215</v>
          </cell>
          <cell r="B1353">
            <v>50</v>
          </cell>
          <cell r="C1353">
            <v>17</v>
          </cell>
          <cell r="D1353" t="str">
            <v>ROADSTONE (CH)</v>
          </cell>
          <cell r="E1353" t="str">
            <v>4PR EUROVIS SPORT 04</v>
          </cell>
          <cell r="N1353">
            <v>2830</v>
          </cell>
        </row>
        <row r="1354">
          <cell r="A1354" t="str">
            <v>225</v>
          </cell>
          <cell r="B1354">
            <v>50</v>
          </cell>
          <cell r="C1354">
            <v>17</v>
          </cell>
          <cell r="D1354" t="str">
            <v>ROADSTONE (CH)</v>
          </cell>
          <cell r="E1354" t="str">
            <v>4PR EUROVIS SPORT 04</v>
          </cell>
          <cell r="N1354">
            <v>3030</v>
          </cell>
        </row>
        <row r="1355">
          <cell r="A1355" t="str">
            <v>215</v>
          </cell>
          <cell r="B1355">
            <v>55</v>
          </cell>
          <cell r="C1355">
            <v>17</v>
          </cell>
          <cell r="D1355" t="str">
            <v>ROADSTONE (CH)</v>
          </cell>
          <cell r="E1355" t="str">
            <v>4PR EUROVIS SPORT 04</v>
          </cell>
          <cell r="N1355">
            <v>3010</v>
          </cell>
        </row>
        <row r="1356">
          <cell r="A1356" t="str">
            <v>225</v>
          </cell>
          <cell r="B1356">
            <v>55</v>
          </cell>
          <cell r="C1356">
            <v>17</v>
          </cell>
          <cell r="D1356" t="str">
            <v>ROADSTONE (CH)</v>
          </cell>
          <cell r="E1356" t="str">
            <v>4PR EUROVIS SPORT 04</v>
          </cell>
          <cell r="N1356">
            <v>3180</v>
          </cell>
        </row>
        <row r="1357">
          <cell r="A1357" t="str">
            <v>225</v>
          </cell>
          <cell r="B1357">
            <v>65</v>
          </cell>
          <cell r="C1357">
            <v>17</v>
          </cell>
          <cell r="D1357" t="str">
            <v>ROADSTONE (CH)</v>
          </cell>
          <cell r="E1357" t="str">
            <v>4PR RO HT</v>
          </cell>
          <cell r="N1357">
            <v>3790</v>
          </cell>
        </row>
        <row r="1358">
          <cell r="A1358" t="str">
            <v>235</v>
          </cell>
          <cell r="B1358">
            <v>65</v>
          </cell>
          <cell r="C1358">
            <v>17</v>
          </cell>
          <cell r="D1358" t="str">
            <v>ROADSTONE (CH)</v>
          </cell>
          <cell r="E1358" t="str">
            <v>RO-HT</v>
          </cell>
          <cell r="N1358">
            <v>4050</v>
          </cell>
        </row>
        <row r="1359">
          <cell r="A1359" t="str">
            <v>265</v>
          </cell>
          <cell r="B1359">
            <v>65</v>
          </cell>
          <cell r="C1359">
            <v>17</v>
          </cell>
          <cell r="D1359" t="str">
            <v>ROADSTONE (CH)</v>
          </cell>
          <cell r="E1359" t="str">
            <v>RO-HT</v>
          </cell>
          <cell r="N1359">
            <v>4503</v>
          </cell>
        </row>
        <row r="1360">
          <cell r="A1360" t="str">
            <v>265</v>
          </cell>
          <cell r="B1360">
            <v>65</v>
          </cell>
          <cell r="C1360">
            <v>17</v>
          </cell>
          <cell r="D1360" t="str">
            <v>ROADSTONE (CH)</v>
          </cell>
          <cell r="E1360" t="str">
            <v>RA7 A/T</v>
          </cell>
          <cell r="N1360">
            <v>4360</v>
          </cell>
        </row>
        <row r="1361">
          <cell r="A1361" t="str">
            <v>225</v>
          </cell>
          <cell r="B1361">
            <v>40</v>
          </cell>
          <cell r="C1361">
            <v>18</v>
          </cell>
          <cell r="D1361" t="str">
            <v>ROADSTONE (CH)</v>
          </cell>
          <cell r="E1361" t="str">
            <v>EUROVIS SPORT 4</v>
          </cell>
          <cell r="N1361">
            <v>3140</v>
          </cell>
        </row>
        <row r="1362">
          <cell r="A1362" t="str">
            <v>225</v>
          </cell>
          <cell r="B1362">
            <v>45</v>
          </cell>
          <cell r="C1362">
            <v>18</v>
          </cell>
          <cell r="D1362" t="str">
            <v>ROADSTONE (CH)</v>
          </cell>
          <cell r="E1362" t="str">
            <v>EUROVIS SPORT 4</v>
          </cell>
          <cell r="N1362">
            <v>3320</v>
          </cell>
        </row>
        <row r="1363">
          <cell r="A1363" t="str">
            <v>235</v>
          </cell>
          <cell r="B1363">
            <v>40</v>
          </cell>
          <cell r="C1363">
            <v>18</v>
          </cell>
          <cell r="D1363" t="str">
            <v>ROADSTONE (CH)</v>
          </cell>
          <cell r="E1363" t="str">
            <v>EUROVIS SPORT 4</v>
          </cell>
          <cell r="N1363">
            <v>3100</v>
          </cell>
        </row>
        <row r="1364">
          <cell r="A1364" t="str">
            <v>265</v>
          </cell>
          <cell r="B1364">
            <v>50</v>
          </cell>
          <cell r="C1364">
            <v>20</v>
          </cell>
          <cell r="D1364" t="str">
            <v>ROADSTONE (CH)</v>
          </cell>
          <cell r="E1364" t="str">
            <v>RA7 A/T</v>
          </cell>
          <cell r="N1364">
            <v>5060</v>
          </cell>
        </row>
        <row r="1365">
          <cell r="A1365" t="str">
            <v>285</v>
          </cell>
          <cell r="B1365">
            <v>50</v>
          </cell>
          <cell r="C1365">
            <v>20</v>
          </cell>
          <cell r="D1365" t="str">
            <v>ROADSTONE (CH)</v>
          </cell>
          <cell r="E1365" t="str">
            <v>4X4 RA7</v>
          </cell>
          <cell r="N1365">
            <v>5196.5</v>
          </cell>
        </row>
        <row r="1366">
          <cell r="A1366" t="str">
            <v>155</v>
          </cell>
          <cell r="C1366">
            <v>12</v>
          </cell>
          <cell r="D1366" t="str">
            <v>SAFERICH (CH)</v>
          </cell>
          <cell r="E1366" t="str">
            <v>ECOPLUS</v>
          </cell>
          <cell r="N1366">
            <v>1336.97</v>
          </cell>
        </row>
        <row r="1367">
          <cell r="A1367">
            <v>155</v>
          </cell>
          <cell r="B1367">
            <v>65</v>
          </cell>
          <cell r="C1367">
            <v>13</v>
          </cell>
          <cell r="D1367" t="str">
            <v>SAFERICH (CH)</v>
          </cell>
          <cell r="E1367" t="str">
            <v>FRC16 H/T</v>
          </cell>
          <cell r="N1367">
            <v>1267.8800000000001</v>
          </cell>
        </row>
        <row r="1368">
          <cell r="A1368" t="str">
            <v>165</v>
          </cell>
          <cell r="B1368">
            <v>65</v>
          </cell>
          <cell r="C1368">
            <v>13</v>
          </cell>
          <cell r="D1368" t="str">
            <v>SAFERICH (CH)</v>
          </cell>
          <cell r="E1368" t="str">
            <v>FRC16 H/T</v>
          </cell>
          <cell r="N1368">
            <v>1308.5999999999999</v>
          </cell>
        </row>
        <row r="1369">
          <cell r="A1369">
            <v>155</v>
          </cell>
          <cell r="B1369">
            <v>70</v>
          </cell>
          <cell r="C1369">
            <v>13</v>
          </cell>
          <cell r="D1369" t="str">
            <v>SAFERICH (CH)</v>
          </cell>
          <cell r="E1369" t="str">
            <v>FRC16 H/T</v>
          </cell>
          <cell r="N1369">
            <v>1323</v>
          </cell>
        </row>
        <row r="1370">
          <cell r="A1370" t="str">
            <v>165</v>
          </cell>
          <cell r="B1370">
            <v>70</v>
          </cell>
          <cell r="C1370">
            <v>13</v>
          </cell>
          <cell r="D1370" t="str">
            <v>SAFERICH (CH)</v>
          </cell>
          <cell r="E1370" t="str">
            <v>FRC16 H/T</v>
          </cell>
          <cell r="N1370">
            <v>1378.12</v>
          </cell>
        </row>
        <row r="1371">
          <cell r="A1371">
            <v>175</v>
          </cell>
          <cell r="B1371">
            <v>70</v>
          </cell>
          <cell r="C1371">
            <v>13</v>
          </cell>
          <cell r="D1371" t="str">
            <v>SAFERICH (CH)</v>
          </cell>
          <cell r="E1371" t="str">
            <v>FRC16 H/T</v>
          </cell>
          <cell r="N1371">
            <v>1488.38</v>
          </cell>
        </row>
        <row r="1372">
          <cell r="A1372">
            <v>185</v>
          </cell>
          <cell r="B1372">
            <v>70</v>
          </cell>
          <cell r="C1372">
            <v>13</v>
          </cell>
          <cell r="D1372" t="str">
            <v>SAFERICH (CH)</v>
          </cell>
          <cell r="E1372" t="str">
            <v>FRC16 H/T</v>
          </cell>
          <cell r="N1372">
            <v>1708.88</v>
          </cell>
        </row>
        <row r="1373">
          <cell r="A1373">
            <v>165</v>
          </cell>
          <cell r="B1373">
            <v>80</v>
          </cell>
          <cell r="C1373">
            <v>13</v>
          </cell>
          <cell r="D1373" t="str">
            <v>SAFERICH (CH)</v>
          </cell>
          <cell r="N1373">
            <v>1509.2674999999999</v>
          </cell>
        </row>
        <row r="1374">
          <cell r="A1374" t="str">
            <v>165</v>
          </cell>
          <cell r="B1374">
            <v>60</v>
          </cell>
          <cell r="C1374">
            <v>14</v>
          </cell>
          <cell r="D1374" t="str">
            <v>SAFERICH (CH)</v>
          </cell>
          <cell r="E1374" t="str">
            <v>FRC16 H/T</v>
          </cell>
          <cell r="N1374">
            <v>1417.5</v>
          </cell>
        </row>
        <row r="1375">
          <cell r="A1375" t="str">
            <v>165</v>
          </cell>
          <cell r="B1375">
            <v>65</v>
          </cell>
          <cell r="C1375">
            <v>14</v>
          </cell>
          <cell r="D1375" t="str">
            <v>SAFERICH (CH)</v>
          </cell>
          <cell r="E1375" t="str">
            <v>FRC16 H/T</v>
          </cell>
          <cell r="N1375">
            <v>1443.38</v>
          </cell>
        </row>
        <row r="1376">
          <cell r="A1376">
            <v>175</v>
          </cell>
          <cell r="B1376">
            <v>65</v>
          </cell>
          <cell r="C1376">
            <v>14</v>
          </cell>
          <cell r="D1376" t="str">
            <v>SAFERICH (CH)</v>
          </cell>
          <cell r="E1376" t="str">
            <v>FRC16 H/T</v>
          </cell>
          <cell r="N1376">
            <v>1513.4769650000001</v>
          </cell>
        </row>
        <row r="1377">
          <cell r="A1377">
            <v>185</v>
          </cell>
          <cell r="B1377">
            <v>65</v>
          </cell>
          <cell r="C1377">
            <v>14</v>
          </cell>
          <cell r="D1377" t="str">
            <v>SAFERICH (CH)</v>
          </cell>
          <cell r="E1377" t="str">
            <v>FRC16 H/T</v>
          </cell>
          <cell r="N1377">
            <v>1653.75</v>
          </cell>
        </row>
        <row r="1378">
          <cell r="A1378">
            <v>165</v>
          </cell>
          <cell r="B1378">
            <v>70</v>
          </cell>
          <cell r="C1378">
            <v>14</v>
          </cell>
          <cell r="D1378" t="str">
            <v>SAFERICH (CH)</v>
          </cell>
          <cell r="E1378" t="str">
            <v>FRC16 H/T</v>
          </cell>
          <cell r="N1378">
            <v>1488.38</v>
          </cell>
        </row>
        <row r="1379">
          <cell r="A1379">
            <v>175</v>
          </cell>
          <cell r="B1379">
            <v>70</v>
          </cell>
          <cell r="C1379">
            <v>14</v>
          </cell>
          <cell r="D1379" t="str">
            <v>SAFERICH (CH)</v>
          </cell>
          <cell r="E1379" t="str">
            <v>FRC16 H/T</v>
          </cell>
          <cell r="N1379">
            <v>1543.39</v>
          </cell>
        </row>
        <row r="1380">
          <cell r="A1380" t="str">
            <v>185</v>
          </cell>
          <cell r="B1380">
            <v>70</v>
          </cell>
          <cell r="C1380">
            <v>14</v>
          </cell>
          <cell r="D1380" t="str">
            <v>SAFERICH (CH)</v>
          </cell>
          <cell r="N1380">
            <v>1768.3465799999999</v>
          </cell>
        </row>
        <row r="1381">
          <cell r="A1381">
            <v>195</v>
          </cell>
          <cell r="B1381">
            <v>70</v>
          </cell>
          <cell r="C1381">
            <v>14</v>
          </cell>
          <cell r="D1381" t="str">
            <v>SAFERICH (CH)</v>
          </cell>
          <cell r="E1381" t="str">
            <v>FRC16 H/T</v>
          </cell>
          <cell r="N1381">
            <v>1984.5</v>
          </cell>
        </row>
        <row r="1382">
          <cell r="A1382" t="str">
            <v>185</v>
          </cell>
          <cell r="C1382" t="str">
            <v>14C</v>
          </cell>
          <cell r="D1382" t="str">
            <v>SAFERICH (CH)</v>
          </cell>
          <cell r="E1382" t="str">
            <v>FRC96 A/T</v>
          </cell>
          <cell r="N1382">
            <v>2280.7734949999999</v>
          </cell>
        </row>
        <row r="1383">
          <cell r="A1383">
            <v>195</v>
          </cell>
          <cell r="C1383" t="str">
            <v>14C</v>
          </cell>
          <cell r="D1383" t="str">
            <v>SAFERICH (CH)</v>
          </cell>
          <cell r="E1383" t="str">
            <v>FRC96 A/T</v>
          </cell>
          <cell r="N1383">
            <v>2480.62</v>
          </cell>
        </row>
        <row r="1384">
          <cell r="A1384">
            <v>31</v>
          </cell>
          <cell r="B1384">
            <v>10.5</v>
          </cell>
          <cell r="C1384">
            <v>15</v>
          </cell>
          <cell r="D1384" t="str">
            <v>SAFERICH (CH)</v>
          </cell>
          <cell r="E1384" t="str">
            <v>MUD HUNTER BLACK letter</v>
          </cell>
          <cell r="N1384">
            <v>5347.12</v>
          </cell>
        </row>
        <row r="1385">
          <cell r="A1385" t="str">
            <v>31</v>
          </cell>
          <cell r="B1385">
            <v>10.5</v>
          </cell>
          <cell r="C1385">
            <v>15</v>
          </cell>
          <cell r="D1385" t="str">
            <v>SAFERICH (CH)</v>
          </cell>
          <cell r="E1385" t="str">
            <v>FRC86 A/T</v>
          </cell>
          <cell r="N1385">
            <v>4520.25</v>
          </cell>
        </row>
        <row r="1386">
          <cell r="A1386" t="str">
            <v>195</v>
          </cell>
          <cell r="B1386">
            <v>50</v>
          </cell>
          <cell r="C1386">
            <v>15</v>
          </cell>
          <cell r="D1386" t="str">
            <v>SAFERICH (CH)</v>
          </cell>
          <cell r="E1386" t="str">
            <v>FRC16 H/T</v>
          </cell>
          <cell r="N1386">
            <v>1811.865055</v>
          </cell>
        </row>
        <row r="1387">
          <cell r="A1387">
            <v>175</v>
          </cell>
          <cell r="B1387">
            <v>55</v>
          </cell>
          <cell r="C1387">
            <v>15</v>
          </cell>
          <cell r="D1387" t="str">
            <v>SAFERICH (CH)</v>
          </cell>
          <cell r="E1387" t="str">
            <v>FRC16 H/T</v>
          </cell>
          <cell r="N1387">
            <v>1708.88</v>
          </cell>
        </row>
        <row r="1388">
          <cell r="A1388">
            <v>185</v>
          </cell>
          <cell r="B1388">
            <v>55</v>
          </cell>
          <cell r="C1388">
            <v>15</v>
          </cell>
          <cell r="D1388" t="str">
            <v>SAFERICH (CH)</v>
          </cell>
          <cell r="E1388" t="str">
            <v>FRC16 H/T</v>
          </cell>
          <cell r="N1388">
            <v>1708.88</v>
          </cell>
        </row>
        <row r="1389">
          <cell r="A1389">
            <v>195</v>
          </cell>
          <cell r="B1389">
            <v>55</v>
          </cell>
          <cell r="C1389">
            <v>15</v>
          </cell>
          <cell r="D1389" t="str">
            <v>SAFERICH (CH)</v>
          </cell>
          <cell r="E1389" t="str">
            <v>FRC16 H/T</v>
          </cell>
          <cell r="N1389">
            <v>1820.3685499999999</v>
          </cell>
        </row>
        <row r="1390">
          <cell r="A1390">
            <v>185</v>
          </cell>
          <cell r="B1390">
            <v>60</v>
          </cell>
          <cell r="C1390">
            <v>15</v>
          </cell>
          <cell r="D1390" t="str">
            <v>SAFERICH (CH)</v>
          </cell>
          <cell r="E1390" t="str">
            <v>FRC16 H/T</v>
          </cell>
          <cell r="N1390">
            <v>1708.88</v>
          </cell>
        </row>
        <row r="1391">
          <cell r="A1391">
            <v>195</v>
          </cell>
          <cell r="B1391">
            <v>60</v>
          </cell>
          <cell r="C1391">
            <v>15</v>
          </cell>
          <cell r="D1391" t="str">
            <v>SAFERICH (CH)</v>
          </cell>
          <cell r="E1391" t="str">
            <v>FRC16 H/T</v>
          </cell>
          <cell r="N1391">
            <v>1874.25</v>
          </cell>
        </row>
        <row r="1392">
          <cell r="A1392" t="str">
            <v>205</v>
          </cell>
          <cell r="B1392">
            <v>60</v>
          </cell>
          <cell r="C1392">
            <v>15</v>
          </cell>
          <cell r="D1392" t="str">
            <v>SAFERICH (CH)</v>
          </cell>
          <cell r="E1392" t="str">
            <v>FRC16 H/T</v>
          </cell>
          <cell r="N1392">
            <v>2153.51136</v>
          </cell>
        </row>
        <row r="1393">
          <cell r="A1393">
            <v>175</v>
          </cell>
          <cell r="B1393">
            <v>65</v>
          </cell>
          <cell r="C1393">
            <v>15</v>
          </cell>
          <cell r="D1393" t="str">
            <v>SAFERICH (CH)</v>
          </cell>
          <cell r="E1393" t="str">
            <v>FRC16 H/T</v>
          </cell>
          <cell r="N1393">
            <v>1669.0173500000001</v>
          </cell>
        </row>
        <row r="1394">
          <cell r="A1394">
            <v>185</v>
          </cell>
          <cell r="B1394">
            <v>65</v>
          </cell>
          <cell r="C1394">
            <v>15</v>
          </cell>
          <cell r="D1394" t="str">
            <v>SAFERICH (CH)</v>
          </cell>
          <cell r="E1394" t="str">
            <v>FRC16 H/T</v>
          </cell>
          <cell r="N1394">
            <v>1764</v>
          </cell>
        </row>
        <row r="1395">
          <cell r="A1395">
            <v>195</v>
          </cell>
          <cell r="B1395">
            <v>65</v>
          </cell>
          <cell r="C1395">
            <v>15</v>
          </cell>
          <cell r="D1395" t="str">
            <v>SAFERICH (CH)</v>
          </cell>
          <cell r="E1395" t="str">
            <v>FRC16 H/T</v>
          </cell>
          <cell r="N1395">
            <v>1933.4264949999999</v>
          </cell>
        </row>
        <row r="1396">
          <cell r="A1396">
            <v>205</v>
          </cell>
          <cell r="B1396">
            <v>65</v>
          </cell>
          <cell r="C1396">
            <v>15</v>
          </cell>
          <cell r="D1396" t="str">
            <v>SAFERICH (CH)</v>
          </cell>
          <cell r="E1396" t="str">
            <v>FRC16 H/T</v>
          </cell>
          <cell r="N1396">
            <v>2099.031935</v>
          </cell>
        </row>
        <row r="1397">
          <cell r="A1397">
            <v>215</v>
          </cell>
          <cell r="B1397">
            <v>65</v>
          </cell>
          <cell r="C1397">
            <v>15</v>
          </cell>
          <cell r="D1397" t="str">
            <v>SAFERICH (CH)</v>
          </cell>
          <cell r="E1397" t="str">
            <v>FRC16 H/T</v>
          </cell>
          <cell r="N1397">
            <v>2220.37</v>
          </cell>
        </row>
        <row r="1398">
          <cell r="A1398">
            <v>195</v>
          </cell>
          <cell r="B1398">
            <v>70</v>
          </cell>
          <cell r="C1398" t="str">
            <v>15C</v>
          </cell>
          <cell r="D1398" t="str">
            <v>SAFERICH (CH)</v>
          </cell>
          <cell r="E1398" t="str">
            <v>FRC96 A/T</v>
          </cell>
          <cell r="N1398">
            <v>2480.63</v>
          </cell>
        </row>
        <row r="1399">
          <cell r="A1399">
            <v>205</v>
          </cell>
          <cell r="B1399">
            <v>70</v>
          </cell>
          <cell r="C1399">
            <v>15</v>
          </cell>
          <cell r="D1399" t="str">
            <v>SAFERICH (CH)</v>
          </cell>
          <cell r="E1399" t="str">
            <v>FRC16 H/T</v>
          </cell>
          <cell r="N1399">
            <v>2236.9299999999998</v>
          </cell>
        </row>
        <row r="1400">
          <cell r="A1400" t="str">
            <v>205</v>
          </cell>
          <cell r="B1400">
            <v>70</v>
          </cell>
          <cell r="C1400" t="str">
            <v>15C</v>
          </cell>
          <cell r="D1400" t="str">
            <v>SAFERICH (CH)</v>
          </cell>
          <cell r="E1400" t="str">
            <v>8PR FRC96 A/T</v>
          </cell>
          <cell r="N1400">
            <v>2593.08</v>
          </cell>
        </row>
        <row r="1401">
          <cell r="A1401">
            <v>215</v>
          </cell>
          <cell r="B1401">
            <v>70</v>
          </cell>
          <cell r="C1401">
            <v>15</v>
          </cell>
          <cell r="D1401" t="str">
            <v>SAFERICH (CH)</v>
          </cell>
          <cell r="E1401" t="str">
            <v>FRC16 H/T</v>
          </cell>
          <cell r="N1401">
            <v>2170</v>
          </cell>
        </row>
        <row r="1402">
          <cell r="A1402">
            <v>215</v>
          </cell>
          <cell r="B1402">
            <v>70</v>
          </cell>
          <cell r="C1402" t="str">
            <v>15C</v>
          </cell>
          <cell r="D1402" t="str">
            <v>SAFERICH (CH)</v>
          </cell>
          <cell r="E1402" t="str">
            <v>FRC96 A/T</v>
          </cell>
          <cell r="N1402">
            <v>2679.1765</v>
          </cell>
        </row>
        <row r="1403">
          <cell r="A1403" t="str">
            <v>225</v>
          </cell>
          <cell r="B1403">
            <v>70</v>
          </cell>
          <cell r="C1403" t="str">
            <v>15C</v>
          </cell>
          <cell r="D1403" t="str">
            <v>SAFERICH (CH)</v>
          </cell>
          <cell r="E1403" t="str">
            <v>FRC96 A/T</v>
          </cell>
          <cell r="N1403">
            <v>2962.4895299999998</v>
          </cell>
        </row>
        <row r="1404">
          <cell r="A1404" t="str">
            <v>225</v>
          </cell>
          <cell r="B1404">
            <v>70</v>
          </cell>
          <cell r="C1404">
            <v>15</v>
          </cell>
          <cell r="D1404" t="str">
            <v>SAFERICH (CH)</v>
          </cell>
          <cell r="E1404" t="str">
            <v>FRC16 H/T</v>
          </cell>
          <cell r="N1404">
            <v>2541.1799999999998</v>
          </cell>
        </row>
        <row r="1405">
          <cell r="A1405">
            <v>265</v>
          </cell>
          <cell r="B1405">
            <v>70</v>
          </cell>
          <cell r="C1405">
            <v>15</v>
          </cell>
          <cell r="D1405" t="str">
            <v>SAFERICH (CH)</v>
          </cell>
          <cell r="E1405" t="str">
            <v>FRC66 H/T</v>
          </cell>
          <cell r="N1405">
            <v>3913.88</v>
          </cell>
        </row>
        <row r="1406">
          <cell r="A1406">
            <v>235</v>
          </cell>
          <cell r="B1406">
            <v>75</v>
          </cell>
          <cell r="C1406">
            <v>15</v>
          </cell>
          <cell r="D1406" t="str">
            <v>SAFERICH (CH)</v>
          </cell>
          <cell r="E1406" t="str">
            <v>FRC66 H/T</v>
          </cell>
          <cell r="N1406">
            <v>3252.38</v>
          </cell>
        </row>
        <row r="1407">
          <cell r="A1407">
            <v>235</v>
          </cell>
          <cell r="B1407">
            <v>75</v>
          </cell>
          <cell r="C1407">
            <v>15</v>
          </cell>
          <cell r="D1407" t="str">
            <v>SAFERICH (CH)</v>
          </cell>
          <cell r="E1407" t="str">
            <v>MUD HUNTER BLACK letter</v>
          </cell>
          <cell r="N1407">
            <v>4410</v>
          </cell>
        </row>
        <row r="1408">
          <cell r="A1408" t="str">
            <v>195</v>
          </cell>
          <cell r="C1408" t="str">
            <v>15C</v>
          </cell>
          <cell r="D1408" t="str">
            <v>SAFERICH (CH)</v>
          </cell>
          <cell r="E1408" t="str">
            <v>FRC96 A/T</v>
          </cell>
          <cell r="N1408">
            <v>2550.0675200000001</v>
          </cell>
        </row>
        <row r="1409">
          <cell r="A1409" t="str">
            <v>205</v>
          </cell>
          <cell r="B1409">
            <v>45</v>
          </cell>
          <cell r="C1409">
            <v>16</v>
          </cell>
          <cell r="D1409" t="str">
            <v>SAFERICH (CH)</v>
          </cell>
          <cell r="E1409" t="str">
            <v>FRC26</v>
          </cell>
          <cell r="N1409">
            <v>2039.62</v>
          </cell>
        </row>
        <row r="1410">
          <cell r="A1410">
            <v>195</v>
          </cell>
          <cell r="B1410">
            <v>50</v>
          </cell>
          <cell r="C1410">
            <v>16</v>
          </cell>
          <cell r="D1410" t="str">
            <v>SAFERICH (CH)</v>
          </cell>
          <cell r="E1410" t="str">
            <v>FRC16 H/T</v>
          </cell>
          <cell r="N1410">
            <v>1924.96</v>
          </cell>
        </row>
        <row r="1411">
          <cell r="A1411">
            <v>185</v>
          </cell>
          <cell r="B1411">
            <v>55</v>
          </cell>
          <cell r="C1411">
            <v>16</v>
          </cell>
          <cell r="D1411" t="str">
            <v>SAFERICH (CH)</v>
          </cell>
          <cell r="E1411" t="str">
            <v>FRC16 H/T</v>
          </cell>
          <cell r="N1411">
            <v>1870.5436749999999</v>
          </cell>
        </row>
        <row r="1412">
          <cell r="A1412">
            <v>195</v>
          </cell>
          <cell r="B1412">
            <v>55</v>
          </cell>
          <cell r="C1412">
            <v>16</v>
          </cell>
          <cell r="D1412" t="str">
            <v>SAFERICH (CH)</v>
          </cell>
          <cell r="E1412" t="str">
            <v>FRC16 H/T</v>
          </cell>
          <cell r="N1412">
            <v>1984.5</v>
          </cell>
        </row>
        <row r="1413">
          <cell r="A1413" t="str">
            <v>205</v>
          </cell>
          <cell r="B1413">
            <v>55</v>
          </cell>
          <cell r="C1413">
            <v>16</v>
          </cell>
          <cell r="D1413" t="str">
            <v>SAFERICH (CH)</v>
          </cell>
          <cell r="E1413" t="str">
            <v>FRC16 H/T</v>
          </cell>
          <cell r="N1413">
            <v>2039.63</v>
          </cell>
        </row>
        <row r="1414">
          <cell r="A1414" t="str">
            <v>215</v>
          </cell>
          <cell r="B1414">
            <v>55</v>
          </cell>
          <cell r="C1414">
            <v>16</v>
          </cell>
          <cell r="D1414" t="str">
            <v>SAFERICH (CH)</v>
          </cell>
          <cell r="E1414" t="str">
            <v>FRC16 H/T</v>
          </cell>
          <cell r="N1414">
            <v>2275.16</v>
          </cell>
        </row>
        <row r="1415">
          <cell r="A1415" t="str">
            <v>195</v>
          </cell>
          <cell r="B1415">
            <v>60</v>
          </cell>
          <cell r="C1415" t="str">
            <v>16C</v>
          </cell>
          <cell r="D1415" t="str">
            <v>SAFERICH (CH)</v>
          </cell>
          <cell r="E1415" t="str">
            <v>FRC96 A/T</v>
          </cell>
          <cell r="N1415">
            <v>2315.25</v>
          </cell>
        </row>
        <row r="1416">
          <cell r="A1416">
            <v>205</v>
          </cell>
          <cell r="B1416">
            <v>60</v>
          </cell>
          <cell r="C1416">
            <v>16</v>
          </cell>
          <cell r="D1416" t="str">
            <v>SAFERICH (CH)</v>
          </cell>
          <cell r="E1416" t="str">
            <v>FRC16 H/T</v>
          </cell>
          <cell r="N1416">
            <v>2260.13</v>
          </cell>
        </row>
        <row r="1417">
          <cell r="A1417">
            <v>215</v>
          </cell>
          <cell r="B1417">
            <v>60</v>
          </cell>
          <cell r="C1417">
            <v>16</v>
          </cell>
          <cell r="D1417" t="str">
            <v>SAFERICH (CH)</v>
          </cell>
          <cell r="E1417" t="str">
            <v>FRC16 H/T</v>
          </cell>
          <cell r="N1417">
            <v>2315.25</v>
          </cell>
        </row>
        <row r="1418">
          <cell r="A1418" t="str">
            <v>215</v>
          </cell>
          <cell r="B1418">
            <v>60</v>
          </cell>
          <cell r="C1418">
            <v>16</v>
          </cell>
          <cell r="D1418" t="str">
            <v>SAFERICH (CH)</v>
          </cell>
          <cell r="E1418" t="str">
            <v>FRC96 A/T</v>
          </cell>
          <cell r="N1418">
            <v>2756.42</v>
          </cell>
        </row>
        <row r="1419">
          <cell r="A1419">
            <v>235</v>
          </cell>
          <cell r="B1419">
            <v>60</v>
          </cell>
          <cell r="C1419">
            <v>16</v>
          </cell>
          <cell r="D1419" t="str">
            <v>SAFERICH (CH)</v>
          </cell>
          <cell r="E1419" t="str">
            <v>FRC66 H/T</v>
          </cell>
          <cell r="N1419">
            <v>3087</v>
          </cell>
        </row>
        <row r="1420">
          <cell r="A1420">
            <v>205</v>
          </cell>
          <cell r="B1420">
            <v>65</v>
          </cell>
          <cell r="C1420">
            <v>16</v>
          </cell>
          <cell r="D1420" t="str">
            <v>SAFERICH (CH)</v>
          </cell>
          <cell r="E1420" t="str">
            <v>FRC16 H/T</v>
          </cell>
          <cell r="N1420">
            <v>2370.38</v>
          </cell>
        </row>
        <row r="1421">
          <cell r="A1421" t="str">
            <v>215</v>
          </cell>
          <cell r="B1421">
            <v>65</v>
          </cell>
          <cell r="C1421">
            <v>16</v>
          </cell>
          <cell r="D1421" t="str">
            <v>SAFERICH (CH)</v>
          </cell>
          <cell r="E1421" t="str">
            <v>FRC16 H/T</v>
          </cell>
          <cell r="N1421">
            <v>2462.91</v>
          </cell>
        </row>
        <row r="1422">
          <cell r="A1422">
            <v>215</v>
          </cell>
          <cell r="B1422">
            <v>65</v>
          </cell>
          <cell r="C1422">
            <v>16</v>
          </cell>
          <cell r="D1422" t="str">
            <v>SAFERICH (CH)</v>
          </cell>
          <cell r="E1422" t="str">
            <v>FRC96 A/T</v>
          </cell>
          <cell r="N1422">
            <v>2866.5</v>
          </cell>
        </row>
        <row r="1423">
          <cell r="A1423" t="str">
            <v>235</v>
          </cell>
          <cell r="B1423">
            <v>65</v>
          </cell>
          <cell r="C1423" t="str">
            <v>16C</v>
          </cell>
          <cell r="D1423" t="str">
            <v>SAFERICH (CH)</v>
          </cell>
          <cell r="E1423" t="str">
            <v>FRC96 A/T</v>
          </cell>
          <cell r="N1423">
            <v>3247.53</v>
          </cell>
        </row>
        <row r="1424">
          <cell r="A1424">
            <v>215</v>
          </cell>
          <cell r="B1424">
            <v>70</v>
          </cell>
          <cell r="C1424">
            <v>16</v>
          </cell>
          <cell r="D1424" t="str">
            <v>SAFERICH (CH)</v>
          </cell>
          <cell r="E1424" t="str">
            <v>FRC16 H/T</v>
          </cell>
          <cell r="N1424">
            <v>2701.12</v>
          </cell>
        </row>
        <row r="1425">
          <cell r="A1425" t="str">
            <v>215</v>
          </cell>
          <cell r="B1425">
            <v>70</v>
          </cell>
          <cell r="C1425">
            <v>16</v>
          </cell>
          <cell r="D1425" t="str">
            <v>SAFERICH (CH)</v>
          </cell>
          <cell r="E1425" t="str">
            <v>FRC86 A/T</v>
          </cell>
          <cell r="N1425">
            <v>3087</v>
          </cell>
        </row>
        <row r="1426">
          <cell r="A1426">
            <v>225</v>
          </cell>
          <cell r="B1426">
            <v>70</v>
          </cell>
          <cell r="C1426">
            <v>16</v>
          </cell>
          <cell r="D1426" t="str">
            <v>SAFERICH (CH)</v>
          </cell>
          <cell r="E1426" t="str">
            <v>FRC16 H/T</v>
          </cell>
          <cell r="N1426">
            <v>2866</v>
          </cell>
        </row>
        <row r="1427">
          <cell r="A1427">
            <v>245</v>
          </cell>
          <cell r="B1427">
            <v>70</v>
          </cell>
          <cell r="C1427">
            <v>16</v>
          </cell>
          <cell r="D1427" t="str">
            <v>SAFERICH (CH)</v>
          </cell>
          <cell r="E1427" t="str">
            <v>FRC66 H/T</v>
          </cell>
          <cell r="N1427">
            <v>3313.15</v>
          </cell>
        </row>
        <row r="1428">
          <cell r="A1428">
            <v>265</v>
          </cell>
          <cell r="B1428">
            <v>70</v>
          </cell>
          <cell r="C1428">
            <v>16</v>
          </cell>
          <cell r="D1428" t="str">
            <v>SAFERICH (CH)</v>
          </cell>
          <cell r="E1428" t="str">
            <v>FRC66 H/T</v>
          </cell>
          <cell r="N1428">
            <v>4052.24</v>
          </cell>
        </row>
        <row r="1429">
          <cell r="A1429">
            <v>265</v>
          </cell>
          <cell r="B1429">
            <v>70</v>
          </cell>
          <cell r="C1429">
            <v>16</v>
          </cell>
          <cell r="D1429" t="str">
            <v>SAFERICH (CH)</v>
          </cell>
          <cell r="E1429" t="str">
            <v>FRC86 A/T</v>
          </cell>
          <cell r="N1429">
            <v>4906.12</v>
          </cell>
        </row>
        <row r="1430">
          <cell r="A1430">
            <v>205</v>
          </cell>
          <cell r="B1430">
            <v>40</v>
          </cell>
          <cell r="C1430">
            <v>17</v>
          </cell>
          <cell r="D1430" t="str">
            <v>SAFERICH (CH)</v>
          </cell>
          <cell r="E1430" t="str">
            <v>FRC26</v>
          </cell>
          <cell r="N1430">
            <v>2039.63</v>
          </cell>
        </row>
        <row r="1431">
          <cell r="A1431">
            <v>205</v>
          </cell>
          <cell r="B1431">
            <v>45</v>
          </cell>
          <cell r="C1431">
            <v>17</v>
          </cell>
          <cell r="D1431" t="str">
            <v>SAFERICH (CH)</v>
          </cell>
          <cell r="E1431" t="str">
            <v>FRC26</v>
          </cell>
          <cell r="N1431">
            <v>2106.09</v>
          </cell>
        </row>
        <row r="1432">
          <cell r="A1432">
            <v>215</v>
          </cell>
          <cell r="B1432">
            <v>45</v>
          </cell>
          <cell r="C1432">
            <v>17</v>
          </cell>
          <cell r="D1432" t="str">
            <v>SAFERICH (CH)</v>
          </cell>
          <cell r="E1432" t="str">
            <v>FRC26</v>
          </cell>
          <cell r="N1432">
            <v>2260.12</v>
          </cell>
        </row>
        <row r="1433">
          <cell r="A1433" t="str">
            <v>225</v>
          </cell>
          <cell r="B1433">
            <v>45</v>
          </cell>
          <cell r="C1433">
            <v>17</v>
          </cell>
          <cell r="D1433" t="str">
            <v>SAFERICH (CH)</v>
          </cell>
          <cell r="E1433" t="str">
            <v>FRC26</v>
          </cell>
          <cell r="N1433">
            <v>2294.0300000000002</v>
          </cell>
        </row>
        <row r="1434">
          <cell r="A1434">
            <v>215</v>
          </cell>
          <cell r="B1434">
            <v>50</v>
          </cell>
          <cell r="C1434">
            <v>17</v>
          </cell>
          <cell r="D1434" t="str">
            <v>SAFERICH (CH)</v>
          </cell>
          <cell r="E1434" t="str">
            <v>FRC26</v>
          </cell>
          <cell r="N1434">
            <v>2535.75</v>
          </cell>
        </row>
        <row r="1435">
          <cell r="A1435">
            <v>225</v>
          </cell>
          <cell r="B1435">
            <v>50</v>
          </cell>
          <cell r="C1435">
            <v>17</v>
          </cell>
          <cell r="D1435" t="str">
            <v>SAFERICH (CH)</v>
          </cell>
          <cell r="E1435" t="str">
            <v>FRC26</v>
          </cell>
          <cell r="N1435">
            <v>2120</v>
          </cell>
        </row>
        <row r="1436">
          <cell r="A1436" t="str">
            <v>215</v>
          </cell>
          <cell r="B1436">
            <v>55</v>
          </cell>
          <cell r="C1436">
            <v>17</v>
          </cell>
          <cell r="D1436" t="str">
            <v>SAFERICH (CH)</v>
          </cell>
          <cell r="E1436" t="str">
            <v>FRC26</v>
          </cell>
          <cell r="N1436">
            <v>2500.88</v>
          </cell>
        </row>
        <row r="1437">
          <cell r="A1437">
            <v>225</v>
          </cell>
          <cell r="B1437">
            <v>55</v>
          </cell>
          <cell r="C1437">
            <v>17</v>
          </cell>
          <cell r="D1437" t="str">
            <v>SAFERICH (CH)</v>
          </cell>
          <cell r="E1437" t="str">
            <v>FRC26</v>
          </cell>
          <cell r="N1437">
            <v>2811.33</v>
          </cell>
        </row>
        <row r="1438">
          <cell r="A1438" t="str">
            <v>215</v>
          </cell>
          <cell r="B1438">
            <v>60</v>
          </cell>
          <cell r="C1438">
            <v>17</v>
          </cell>
          <cell r="D1438" t="str">
            <v>SAFERICH (CH)</v>
          </cell>
          <cell r="E1438" t="str">
            <v xml:space="preserve">FRC66 </v>
          </cell>
          <cell r="N1438">
            <v>2553.1799999999998</v>
          </cell>
        </row>
        <row r="1439">
          <cell r="A1439">
            <v>225</v>
          </cell>
          <cell r="B1439">
            <v>60</v>
          </cell>
          <cell r="C1439">
            <v>17</v>
          </cell>
          <cell r="D1439" t="str">
            <v>SAFERICH (CH)</v>
          </cell>
          <cell r="E1439" t="str">
            <v>FRC26</v>
          </cell>
          <cell r="N1439">
            <v>2807.96</v>
          </cell>
        </row>
        <row r="1440">
          <cell r="A1440" t="str">
            <v>235</v>
          </cell>
          <cell r="B1440">
            <v>60</v>
          </cell>
          <cell r="C1440">
            <v>17</v>
          </cell>
          <cell r="D1440" t="str">
            <v>SAFERICH (CH)</v>
          </cell>
          <cell r="E1440" t="str">
            <v>FRC26</v>
          </cell>
          <cell r="N1440">
            <v>2480</v>
          </cell>
        </row>
        <row r="1441">
          <cell r="A1441">
            <v>225</v>
          </cell>
          <cell r="B1441">
            <v>65</v>
          </cell>
          <cell r="C1441">
            <v>17</v>
          </cell>
          <cell r="D1441" t="str">
            <v>SAFERICH (CH)</v>
          </cell>
          <cell r="E1441" t="str">
            <v>FRC66 H/T</v>
          </cell>
          <cell r="N1441">
            <v>3142.12</v>
          </cell>
        </row>
        <row r="1442">
          <cell r="A1442">
            <v>235</v>
          </cell>
          <cell r="B1442">
            <v>65</v>
          </cell>
          <cell r="C1442">
            <v>17</v>
          </cell>
          <cell r="D1442" t="str">
            <v>SAFERICH (CH)</v>
          </cell>
          <cell r="E1442" t="str">
            <v>FRC66 H/T</v>
          </cell>
          <cell r="N1442">
            <v>3192.08</v>
          </cell>
        </row>
        <row r="1443">
          <cell r="A1443" t="str">
            <v>265</v>
          </cell>
          <cell r="B1443">
            <v>65</v>
          </cell>
          <cell r="C1443">
            <v>17</v>
          </cell>
          <cell r="D1443" t="str">
            <v>SAFERICH (CH)</v>
          </cell>
          <cell r="E1443" t="str">
            <v>FRC66 H/T</v>
          </cell>
          <cell r="N1443">
            <v>4052.75</v>
          </cell>
        </row>
        <row r="1444">
          <cell r="A1444" t="str">
            <v>265</v>
          </cell>
          <cell r="B1444">
            <v>65</v>
          </cell>
          <cell r="C1444">
            <v>17</v>
          </cell>
          <cell r="D1444" t="str">
            <v>SAFERICH (CH)</v>
          </cell>
          <cell r="E1444" t="str">
            <v>FRC86 A/T</v>
          </cell>
          <cell r="N1444">
            <v>4410</v>
          </cell>
        </row>
        <row r="1445">
          <cell r="A1445" t="str">
            <v>265</v>
          </cell>
          <cell r="B1445">
            <v>70</v>
          </cell>
          <cell r="C1445">
            <v>17</v>
          </cell>
          <cell r="D1445" t="str">
            <v>SAFERICH (CH)</v>
          </cell>
          <cell r="E1445" t="str">
            <v>FRC86 A/T</v>
          </cell>
          <cell r="N1445">
            <v>4630.5</v>
          </cell>
        </row>
        <row r="1446">
          <cell r="A1446" t="str">
            <v>265</v>
          </cell>
          <cell r="B1446">
            <v>70</v>
          </cell>
          <cell r="C1446">
            <v>17</v>
          </cell>
          <cell r="D1446" t="str">
            <v>SAFERICH (CH)</v>
          </cell>
          <cell r="E1446" t="str">
            <v>MUD HUNTER BLACK letter</v>
          </cell>
          <cell r="N1446">
            <v>4750</v>
          </cell>
        </row>
        <row r="1447">
          <cell r="A1447" t="str">
            <v>285</v>
          </cell>
          <cell r="B1447">
            <v>70</v>
          </cell>
          <cell r="C1447">
            <v>17</v>
          </cell>
          <cell r="D1447" t="str">
            <v>SAFERICH (CH)</v>
          </cell>
          <cell r="E1447" t="str">
            <v>FRC86 A/T</v>
          </cell>
          <cell r="N1447">
            <v>5731.6459199999999</v>
          </cell>
        </row>
        <row r="1448">
          <cell r="A1448" t="str">
            <v>285</v>
          </cell>
          <cell r="B1448">
            <v>70</v>
          </cell>
          <cell r="C1448">
            <v>17</v>
          </cell>
          <cell r="D1448" t="str">
            <v>SAFERICH (CH)</v>
          </cell>
          <cell r="E1448" t="str">
            <v>MUD HUNTER BLACK letter</v>
          </cell>
          <cell r="N1448">
            <v>5210</v>
          </cell>
        </row>
        <row r="1449">
          <cell r="A1449" t="str">
            <v>215</v>
          </cell>
          <cell r="B1449">
            <v>40</v>
          </cell>
          <cell r="C1449">
            <v>18</v>
          </cell>
          <cell r="D1449" t="str">
            <v>SAFERICH (CH)</v>
          </cell>
          <cell r="E1449" t="str">
            <v>FRC26</v>
          </cell>
          <cell r="N1449">
            <v>2370.38</v>
          </cell>
        </row>
        <row r="1450">
          <cell r="A1450">
            <v>225</v>
          </cell>
          <cell r="B1450">
            <v>40</v>
          </cell>
          <cell r="C1450">
            <v>18</v>
          </cell>
          <cell r="D1450" t="str">
            <v>SAFERICH (CH)</v>
          </cell>
          <cell r="E1450" t="str">
            <v>FRC26</v>
          </cell>
          <cell r="N1450">
            <v>2480.63</v>
          </cell>
        </row>
        <row r="1451">
          <cell r="A1451" t="str">
            <v>235</v>
          </cell>
          <cell r="B1451">
            <v>40</v>
          </cell>
          <cell r="C1451">
            <v>18</v>
          </cell>
          <cell r="D1451" t="str">
            <v>SAFERICH (CH)</v>
          </cell>
          <cell r="E1451" t="str">
            <v>FRC26</v>
          </cell>
          <cell r="N1451">
            <v>2811.38</v>
          </cell>
        </row>
        <row r="1452">
          <cell r="A1452" t="str">
            <v>225</v>
          </cell>
          <cell r="B1452">
            <v>45</v>
          </cell>
          <cell r="C1452">
            <v>18</v>
          </cell>
          <cell r="D1452" t="str">
            <v>SAFERICH (CH)</v>
          </cell>
          <cell r="E1452" t="str">
            <v>FRC26</v>
          </cell>
          <cell r="N1452">
            <v>2579.6999999999998</v>
          </cell>
        </row>
        <row r="1453">
          <cell r="A1453" t="str">
            <v>235</v>
          </cell>
          <cell r="B1453">
            <v>45</v>
          </cell>
          <cell r="C1453">
            <v>18</v>
          </cell>
          <cell r="D1453" t="str">
            <v>SAFERICH (CH)</v>
          </cell>
          <cell r="E1453" t="str">
            <v>FRC26</v>
          </cell>
          <cell r="N1453">
            <v>2300</v>
          </cell>
        </row>
        <row r="1454">
          <cell r="A1454">
            <v>235</v>
          </cell>
          <cell r="B1454">
            <v>50</v>
          </cell>
          <cell r="C1454">
            <v>18</v>
          </cell>
          <cell r="D1454" t="str">
            <v>SAFERICH (CH)</v>
          </cell>
          <cell r="E1454" t="str">
            <v>FRC26</v>
          </cell>
          <cell r="N1454">
            <v>2991.72874</v>
          </cell>
        </row>
        <row r="1455">
          <cell r="A1455">
            <v>225</v>
          </cell>
          <cell r="B1455">
            <v>55</v>
          </cell>
          <cell r="C1455">
            <v>18</v>
          </cell>
          <cell r="D1455" t="str">
            <v>SAFERICH (CH)</v>
          </cell>
          <cell r="E1455" t="str">
            <v>FRC86 A/T</v>
          </cell>
          <cell r="N1455">
            <v>3252.38</v>
          </cell>
        </row>
        <row r="1456">
          <cell r="A1456">
            <v>235</v>
          </cell>
          <cell r="B1456">
            <v>55</v>
          </cell>
          <cell r="C1456">
            <v>18</v>
          </cell>
          <cell r="D1456" t="str">
            <v>SAFERICH (CH)</v>
          </cell>
          <cell r="E1456" t="str">
            <v>FRC66 H/T</v>
          </cell>
          <cell r="N1456">
            <v>3100.72</v>
          </cell>
        </row>
        <row r="1457">
          <cell r="A1457">
            <v>235</v>
          </cell>
          <cell r="B1457">
            <v>60</v>
          </cell>
          <cell r="C1457">
            <v>18</v>
          </cell>
          <cell r="D1457" t="str">
            <v>SAFERICH (CH)</v>
          </cell>
          <cell r="E1457" t="str">
            <v>FRC66 H/T</v>
          </cell>
          <cell r="N1457">
            <v>3387.399015</v>
          </cell>
        </row>
        <row r="1458">
          <cell r="A1458" t="str">
            <v>255</v>
          </cell>
          <cell r="B1458">
            <v>60</v>
          </cell>
          <cell r="C1458">
            <v>18</v>
          </cell>
          <cell r="D1458" t="str">
            <v>SAFERICH (CH)</v>
          </cell>
          <cell r="E1458" t="str">
            <v>FRC66 H/T</v>
          </cell>
          <cell r="N1458">
            <v>3913.88</v>
          </cell>
        </row>
        <row r="1459">
          <cell r="A1459">
            <v>265</v>
          </cell>
          <cell r="B1459">
            <v>60</v>
          </cell>
          <cell r="C1459">
            <v>18</v>
          </cell>
          <cell r="D1459" t="str">
            <v>SAFERICH (CH)</v>
          </cell>
          <cell r="E1459" t="str">
            <v>FRC66 H/T</v>
          </cell>
          <cell r="N1459">
            <v>4244.63</v>
          </cell>
        </row>
        <row r="1460">
          <cell r="A1460">
            <v>33</v>
          </cell>
          <cell r="B1460">
            <v>12.5</v>
          </cell>
          <cell r="C1460">
            <v>20</v>
          </cell>
          <cell r="D1460" t="str">
            <v>SAFERICH (CH)</v>
          </cell>
          <cell r="E1460" t="str">
            <v>MUD HUNTER BLACK letter</v>
          </cell>
          <cell r="N1460">
            <v>6180</v>
          </cell>
        </row>
        <row r="1461">
          <cell r="A1461" t="str">
            <v>225</v>
          </cell>
          <cell r="B1461">
            <v>35</v>
          </cell>
          <cell r="C1461">
            <v>20</v>
          </cell>
          <cell r="D1461" t="str">
            <v>SAFERICH (CH)</v>
          </cell>
          <cell r="E1461" t="str">
            <v>FRC26</v>
          </cell>
          <cell r="N1461">
            <v>2756</v>
          </cell>
        </row>
        <row r="1462">
          <cell r="A1462" t="str">
            <v>245</v>
          </cell>
          <cell r="B1462">
            <v>45</v>
          </cell>
          <cell r="C1462">
            <v>20</v>
          </cell>
          <cell r="D1462" t="str">
            <v>SAFERICH (CH)</v>
          </cell>
          <cell r="E1462" t="str">
            <v>FRC88</v>
          </cell>
          <cell r="N1462">
            <v>3748.5</v>
          </cell>
        </row>
        <row r="1463">
          <cell r="A1463">
            <v>265</v>
          </cell>
          <cell r="B1463">
            <v>50</v>
          </cell>
          <cell r="C1463">
            <v>20</v>
          </cell>
          <cell r="D1463" t="str">
            <v>SAFERICH (CH)</v>
          </cell>
          <cell r="E1463" t="str">
            <v>FRC26</v>
          </cell>
          <cell r="N1463">
            <v>4410</v>
          </cell>
        </row>
        <row r="1464">
          <cell r="A1464" t="str">
            <v>275</v>
          </cell>
          <cell r="B1464">
            <v>55</v>
          </cell>
          <cell r="C1464">
            <v>20</v>
          </cell>
          <cell r="D1464" t="str">
            <v>SAFERICH (CH)</v>
          </cell>
          <cell r="E1464" t="str">
            <v>FRC88</v>
          </cell>
          <cell r="N1464">
            <v>4070</v>
          </cell>
        </row>
        <row r="1465">
          <cell r="A1465">
            <v>275</v>
          </cell>
          <cell r="B1465">
            <v>55</v>
          </cell>
          <cell r="C1465">
            <v>20</v>
          </cell>
          <cell r="D1465" t="str">
            <v>SAFIRO</v>
          </cell>
          <cell r="E1465" t="str">
            <v>H/T SF8000</v>
          </cell>
          <cell r="N1465">
            <v>6500</v>
          </cell>
        </row>
        <row r="1466">
          <cell r="A1466" t="str">
            <v>175</v>
          </cell>
          <cell r="B1466">
            <v>50</v>
          </cell>
          <cell r="C1466">
            <v>15</v>
          </cell>
          <cell r="D1466" t="str">
            <v>SAILUN (CH)</v>
          </cell>
          <cell r="N1466">
            <v>2400</v>
          </cell>
        </row>
        <row r="1467">
          <cell r="A1467" t="str">
            <v>235</v>
          </cell>
          <cell r="B1467">
            <v>70</v>
          </cell>
          <cell r="C1467">
            <v>15</v>
          </cell>
          <cell r="D1467" t="str">
            <v>SAILUN (CH)</v>
          </cell>
          <cell r="E1467" t="str">
            <v>TERRAMAX AT</v>
          </cell>
          <cell r="N1467">
            <v>4500</v>
          </cell>
        </row>
        <row r="1468">
          <cell r="A1468">
            <v>215</v>
          </cell>
          <cell r="B1468">
            <v>60</v>
          </cell>
          <cell r="C1468">
            <v>16</v>
          </cell>
          <cell r="D1468" t="str">
            <v>SAILUN (CH)</v>
          </cell>
          <cell r="E1468" t="str">
            <v>ATREZZO ELITE</v>
          </cell>
          <cell r="N1468">
            <v>2375</v>
          </cell>
        </row>
        <row r="1469">
          <cell r="A1469" t="str">
            <v>215</v>
          </cell>
          <cell r="B1469">
            <v>70</v>
          </cell>
          <cell r="C1469">
            <v>16</v>
          </cell>
          <cell r="D1469" t="str">
            <v>SAILUN (CH)</v>
          </cell>
          <cell r="E1469" t="str">
            <v>H100</v>
          </cell>
          <cell r="N1469">
            <v>3700</v>
          </cell>
        </row>
        <row r="1470">
          <cell r="A1470" t="str">
            <v>265</v>
          </cell>
          <cell r="B1470">
            <v>70</v>
          </cell>
          <cell r="C1470">
            <v>16</v>
          </cell>
          <cell r="D1470" t="str">
            <v>SAILUN (CH)</v>
          </cell>
          <cell r="E1470" t="str">
            <v>TERRAMX CVR</v>
          </cell>
          <cell r="N1470">
            <v>3990</v>
          </cell>
        </row>
        <row r="1471">
          <cell r="A1471" t="str">
            <v>205</v>
          </cell>
          <cell r="B1471">
            <v>45</v>
          </cell>
          <cell r="C1471">
            <v>17</v>
          </cell>
          <cell r="D1471" t="str">
            <v>SAILUN (CH)</v>
          </cell>
          <cell r="E1471" t="str">
            <v>ATREZZO ZSR</v>
          </cell>
          <cell r="N1471">
            <v>3600</v>
          </cell>
        </row>
        <row r="1472">
          <cell r="A1472" t="str">
            <v>215</v>
          </cell>
          <cell r="B1472">
            <v>55</v>
          </cell>
          <cell r="C1472">
            <v>17</v>
          </cell>
          <cell r="D1472" t="str">
            <v>SAILUN (CH)</v>
          </cell>
          <cell r="E1472" t="str">
            <v>ATREZO ZSR</v>
          </cell>
          <cell r="N1472">
            <v>3200</v>
          </cell>
        </row>
        <row r="1473">
          <cell r="A1473" t="str">
            <v>225</v>
          </cell>
          <cell r="B1473">
            <v>45</v>
          </cell>
          <cell r="C1473">
            <v>17</v>
          </cell>
          <cell r="D1473" t="str">
            <v>SAILUN (CH)</v>
          </cell>
          <cell r="E1473" t="str">
            <v>ZSR</v>
          </cell>
          <cell r="N1473">
            <v>3800</v>
          </cell>
        </row>
        <row r="1474">
          <cell r="A1474" t="str">
            <v>225</v>
          </cell>
          <cell r="B1474">
            <v>40</v>
          </cell>
          <cell r="C1474">
            <v>18</v>
          </cell>
          <cell r="D1474" t="str">
            <v>SAILUN (CH)</v>
          </cell>
          <cell r="E1474" t="str">
            <v>ATREZZO SLR</v>
          </cell>
          <cell r="N1474">
            <v>3300</v>
          </cell>
        </row>
        <row r="1475">
          <cell r="A1475" t="str">
            <v>235</v>
          </cell>
          <cell r="B1475">
            <v>40</v>
          </cell>
          <cell r="C1475">
            <v>18</v>
          </cell>
          <cell r="D1475" t="str">
            <v>SAILUN (CH)</v>
          </cell>
          <cell r="E1475" t="str">
            <v xml:space="preserve">ATREZZO </v>
          </cell>
          <cell r="N1475">
            <v>3500</v>
          </cell>
        </row>
        <row r="1476">
          <cell r="A1476" t="str">
            <v>265</v>
          </cell>
          <cell r="B1476">
            <v>40</v>
          </cell>
          <cell r="C1476">
            <v>22</v>
          </cell>
          <cell r="D1476" t="str">
            <v>SAILUN (CH)</v>
          </cell>
          <cell r="E1476" t="str">
            <v xml:space="preserve">ATREZZO </v>
          </cell>
          <cell r="N1476">
            <v>6950</v>
          </cell>
        </row>
        <row r="1477">
          <cell r="A1477" t="str">
            <v>305</v>
          </cell>
          <cell r="B1477">
            <v>40</v>
          </cell>
          <cell r="C1477">
            <v>22</v>
          </cell>
          <cell r="D1477" t="str">
            <v>SAILUN (CH)</v>
          </cell>
          <cell r="E1477" t="str">
            <v>ATREZZO</v>
          </cell>
          <cell r="N1477">
            <v>8300</v>
          </cell>
        </row>
        <row r="1478">
          <cell r="A1478" t="str">
            <v>175</v>
          </cell>
          <cell r="C1478">
            <v>13</v>
          </cell>
          <cell r="D1478" t="str">
            <v>SKYFIRE</v>
          </cell>
          <cell r="E1478" t="str">
            <v>SK801</v>
          </cell>
          <cell r="N1478">
            <v>2200</v>
          </cell>
        </row>
        <row r="1479">
          <cell r="A1479" t="str">
            <v>225</v>
          </cell>
          <cell r="B1479">
            <v>70</v>
          </cell>
          <cell r="C1479">
            <v>15</v>
          </cell>
          <cell r="D1479" t="str">
            <v>SKYFIRE</v>
          </cell>
          <cell r="N1479">
            <v>3500</v>
          </cell>
        </row>
        <row r="1480">
          <cell r="A1480" t="str">
            <v>205</v>
          </cell>
          <cell r="B1480">
            <v>75</v>
          </cell>
          <cell r="C1480">
            <v>16</v>
          </cell>
          <cell r="D1480" t="str">
            <v>SPORTRAC</v>
          </cell>
          <cell r="E1480" t="str">
            <v>8PR RIB</v>
          </cell>
          <cell r="N1480">
            <v>3500</v>
          </cell>
        </row>
        <row r="1481">
          <cell r="A1481" t="str">
            <v>165</v>
          </cell>
          <cell r="B1481">
            <v>65</v>
          </cell>
          <cell r="C1481">
            <v>13</v>
          </cell>
          <cell r="D1481" t="str">
            <v>SUNNY (CH)</v>
          </cell>
          <cell r="E1481" t="str">
            <v>NP 226</v>
          </cell>
          <cell r="N1481">
            <v>1600</v>
          </cell>
        </row>
        <row r="1482">
          <cell r="A1482" t="str">
            <v>165</v>
          </cell>
          <cell r="B1482">
            <v>65</v>
          </cell>
          <cell r="C1482">
            <v>13</v>
          </cell>
          <cell r="D1482" t="str">
            <v>SUNNY (CH)</v>
          </cell>
          <cell r="E1482" t="str">
            <v>NP118</v>
          </cell>
          <cell r="N1482">
            <v>1600</v>
          </cell>
        </row>
        <row r="1483">
          <cell r="A1483" t="str">
            <v>175</v>
          </cell>
          <cell r="B1483">
            <v>70</v>
          </cell>
          <cell r="C1483">
            <v>13</v>
          </cell>
          <cell r="D1483" t="str">
            <v>SUNNY (CH)</v>
          </cell>
          <cell r="E1483" t="str">
            <v>NP226</v>
          </cell>
          <cell r="N1483">
            <v>1571.06</v>
          </cell>
        </row>
        <row r="1484">
          <cell r="A1484" t="str">
            <v>185</v>
          </cell>
          <cell r="B1484">
            <v>70</v>
          </cell>
          <cell r="C1484">
            <v>13</v>
          </cell>
          <cell r="D1484" t="str">
            <v>SUNNY (CH)</v>
          </cell>
          <cell r="E1484" t="str">
            <v>NP118</v>
          </cell>
          <cell r="N1484">
            <v>1600</v>
          </cell>
        </row>
        <row r="1485">
          <cell r="A1485" t="str">
            <v>185</v>
          </cell>
          <cell r="B1485">
            <v>65</v>
          </cell>
          <cell r="C1485">
            <v>14</v>
          </cell>
          <cell r="D1485" t="str">
            <v>SUNNY (CH)</v>
          </cell>
          <cell r="E1485" t="str">
            <v>NP118</v>
          </cell>
          <cell r="N1485">
            <v>1603.12</v>
          </cell>
        </row>
        <row r="1486">
          <cell r="A1486" t="str">
            <v>175</v>
          </cell>
          <cell r="B1486">
            <v>65</v>
          </cell>
          <cell r="C1486">
            <v>14</v>
          </cell>
          <cell r="D1486" t="str">
            <v>SUNNY (CH)</v>
          </cell>
          <cell r="E1486" t="str">
            <v>NP118</v>
          </cell>
          <cell r="N1486">
            <v>1600</v>
          </cell>
        </row>
        <row r="1487">
          <cell r="A1487" t="str">
            <v>185</v>
          </cell>
          <cell r="B1487">
            <v>70</v>
          </cell>
          <cell r="C1487">
            <v>14</v>
          </cell>
          <cell r="D1487" t="str">
            <v>SUNNY (CH)</v>
          </cell>
          <cell r="E1487" t="str">
            <v>NP226</v>
          </cell>
          <cell r="N1487">
            <v>1603.12</v>
          </cell>
        </row>
        <row r="1488">
          <cell r="A1488" t="str">
            <v>185</v>
          </cell>
          <cell r="C1488" t="str">
            <v>14C</v>
          </cell>
          <cell r="D1488" t="str">
            <v>SUNNY (CH)</v>
          </cell>
          <cell r="N1488">
            <v>2400</v>
          </cell>
        </row>
        <row r="1489">
          <cell r="A1489" t="str">
            <v>195</v>
          </cell>
          <cell r="C1489" t="str">
            <v>14C</v>
          </cell>
          <cell r="D1489" t="str">
            <v>SUNNY (CH)</v>
          </cell>
          <cell r="E1489" t="str">
            <v>8PR NL106</v>
          </cell>
          <cell r="N1489">
            <v>2404.6799999999998</v>
          </cell>
        </row>
        <row r="1490">
          <cell r="A1490" t="str">
            <v>195</v>
          </cell>
          <cell r="C1490" t="str">
            <v>15C</v>
          </cell>
          <cell r="D1490" t="str">
            <v>SUNNY (CH)</v>
          </cell>
          <cell r="E1490" t="str">
            <v>NL106 (8PR)</v>
          </cell>
          <cell r="N1490">
            <v>2436.75</v>
          </cell>
        </row>
        <row r="1491">
          <cell r="A1491" t="str">
            <v>195</v>
          </cell>
          <cell r="B1491">
            <v>50</v>
          </cell>
          <cell r="C1491">
            <v>15</v>
          </cell>
          <cell r="D1491" t="str">
            <v>SUNNY (CH)</v>
          </cell>
          <cell r="E1491" t="str">
            <v>NP226</v>
          </cell>
          <cell r="N1491">
            <v>1635.18</v>
          </cell>
        </row>
        <row r="1492">
          <cell r="A1492" t="str">
            <v>205</v>
          </cell>
          <cell r="B1492">
            <v>65</v>
          </cell>
          <cell r="C1492">
            <v>15</v>
          </cell>
          <cell r="D1492" t="str">
            <v>SUNNY (CH)</v>
          </cell>
          <cell r="E1492" t="str">
            <v>NP226</v>
          </cell>
          <cell r="N1492">
            <v>2995.5</v>
          </cell>
        </row>
        <row r="1493">
          <cell r="A1493" t="str">
            <v>205</v>
          </cell>
          <cell r="B1493">
            <v>70</v>
          </cell>
          <cell r="C1493">
            <v>15</v>
          </cell>
          <cell r="D1493" t="str">
            <v>SUNNY (CH)</v>
          </cell>
          <cell r="E1493" t="str">
            <v>NP226</v>
          </cell>
          <cell r="N1493">
            <v>2004</v>
          </cell>
        </row>
        <row r="1494">
          <cell r="A1494" t="str">
            <v>205</v>
          </cell>
          <cell r="B1494">
            <v>70</v>
          </cell>
          <cell r="C1494" t="str">
            <v>15C</v>
          </cell>
          <cell r="D1494" t="str">
            <v>SUNNY (CH)</v>
          </cell>
          <cell r="E1494" t="str">
            <v>NL106 (8PR)</v>
          </cell>
          <cell r="N1494">
            <v>3200</v>
          </cell>
        </row>
        <row r="1495">
          <cell r="A1495" t="str">
            <v>235</v>
          </cell>
          <cell r="B1495">
            <v>75</v>
          </cell>
          <cell r="C1495">
            <v>15</v>
          </cell>
          <cell r="D1495" t="str">
            <v>SUNNY (CH)</v>
          </cell>
          <cell r="E1495" t="str">
            <v>SN105 A/T</v>
          </cell>
          <cell r="N1495">
            <v>3783</v>
          </cell>
        </row>
        <row r="1496">
          <cell r="A1496" t="str">
            <v>205</v>
          </cell>
          <cell r="B1496">
            <v>60</v>
          </cell>
          <cell r="C1496">
            <v>16</v>
          </cell>
          <cell r="D1496" t="str">
            <v>SUNNY (CH)</v>
          </cell>
          <cell r="E1496" t="str">
            <v>NP226</v>
          </cell>
          <cell r="N1496">
            <v>1955.81</v>
          </cell>
        </row>
        <row r="1497">
          <cell r="A1497" t="str">
            <v>215</v>
          </cell>
          <cell r="B1497">
            <v>70</v>
          </cell>
          <cell r="C1497">
            <v>16</v>
          </cell>
          <cell r="D1497" t="str">
            <v>SUNNY (CH)</v>
          </cell>
          <cell r="E1497" t="str">
            <v>SAS028</v>
          </cell>
          <cell r="N1497">
            <v>2661.18</v>
          </cell>
        </row>
        <row r="1498">
          <cell r="A1498" t="str">
            <v>205</v>
          </cell>
          <cell r="B1498">
            <v>45</v>
          </cell>
          <cell r="C1498">
            <v>17</v>
          </cell>
          <cell r="D1498" t="str">
            <v>SUNNY (CH)</v>
          </cell>
          <cell r="E1498" t="str">
            <v>NA305</v>
          </cell>
          <cell r="N1498">
            <v>1955.81</v>
          </cell>
        </row>
        <row r="1499">
          <cell r="A1499" t="str">
            <v>225</v>
          </cell>
          <cell r="B1499">
            <v>55</v>
          </cell>
          <cell r="C1499">
            <v>17</v>
          </cell>
          <cell r="D1499" t="str">
            <v>SUNNY (CH)</v>
          </cell>
          <cell r="E1499" t="str">
            <v>NA305</v>
          </cell>
          <cell r="N1499">
            <v>3249</v>
          </cell>
        </row>
        <row r="1500">
          <cell r="A1500" t="str">
            <v>265</v>
          </cell>
          <cell r="B1500">
            <v>65</v>
          </cell>
          <cell r="C1500">
            <v>17</v>
          </cell>
          <cell r="D1500" t="str">
            <v>SUNNY (CH)</v>
          </cell>
          <cell r="E1500" t="str">
            <v>NU006 A/T</v>
          </cell>
          <cell r="N1500">
            <v>4136.0600000000004</v>
          </cell>
        </row>
        <row r="1501">
          <cell r="A1501" t="str">
            <v>265</v>
          </cell>
          <cell r="B1501">
            <v>70</v>
          </cell>
          <cell r="C1501">
            <v>17</v>
          </cell>
          <cell r="D1501" t="str">
            <v>SUNNY (CH)</v>
          </cell>
          <cell r="E1501" t="str">
            <v>NU006 A/T</v>
          </cell>
          <cell r="N1501">
            <v>4280.34</v>
          </cell>
        </row>
        <row r="1502">
          <cell r="A1502" t="str">
            <v>265</v>
          </cell>
          <cell r="B1502">
            <v>60</v>
          </cell>
          <cell r="C1502">
            <v>18</v>
          </cell>
          <cell r="D1502" t="str">
            <v>SUNNY (CH)</v>
          </cell>
          <cell r="E1502" t="str">
            <v>NU006 A/T</v>
          </cell>
          <cell r="N1502">
            <v>4839.3</v>
          </cell>
        </row>
        <row r="1503">
          <cell r="A1503" t="str">
            <v>235</v>
          </cell>
          <cell r="B1503">
            <v>55</v>
          </cell>
          <cell r="C1503">
            <v>18</v>
          </cell>
          <cell r="D1503" t="str">
            <v>SUNNY (CH)</v>
          </cell>
          <cell r="E1503" t="str">
            <v>NA305</v>
          </cell>
          <cell r="N1503">
            <v>2869.59</v>
          </cell>
        </row>
        <row r="1504">
          <cell r="A1504" t="str">
            <v>275</v>
          </cell>
          <cell r="B1504">
            <v>55</v>
          </cell>
          <cell r="C1504">
            <v>20</v>
          </cell>
          <cell r="D1504" t="str">
            <v>SUNNY (CH)</v>
          </cell>
          <cell r="E1504" t="str">
            <v>NU006 A/T</v>
          </cell>
          <cell r="N1504">
            <v>4584.93</v>
          </cell>
        </row>
        <row r="1505">
          <cell r="A1505" t="str">
            <v>175</v>
          </cell>
          <cell r="B1505">
            <v>65</v>
          </cell>
          <cell r="C1505">
            <v>14</v>
          </cell>
          <cell r="D1505" t="str">
            <v>TIREBOT (CH)</v>
          </cell>
          <cell r="E1505" t="str">
            <v>CT108</v>
          </cell>
          <cell r="N1505">
            <v>1260</v>
          </cell>
        </row>
        <row r="1506">
          <cell r="A1506" t="str">
            <v>175</v>
          </cell>
          <cell r="B1506">
            <v>70</v>
          </cell>
          <cell r="C1506">
            <v>14</v>
          </cell>
          <cell r="D1506" t="str">
            <v>TIREBOT (CH)</v>
          </cell>
          <cell r="E1506" t="str">
            <v>CT113</v>
          </cell>
          <cell r="N1506">
            <v>1340</v>
          </cell>
        </row>
        <row r="1507">
          <cell r="A1507" t="str">
            <v>185</v>
          </cell>
          <cell r="B1507">
            <v>65</v>
          </cell>
          <cell r="C1507">
            <v>14</v>
          </cell>
          <cell r="D1507" t="str">
            <v>TIREBOT (CH)</v>
          </cell>
          <cell r="E1507" t="str">
            <v>CT108</v>
          </cell>
          <cell r="N1507">
            <v>1380</v>
          </cell>
        </row>
        <row r="1508">
          <cell r="A1508" t="str">
            <v>185</v>
          </cell>
          <cell r="C1508" t="str">
            <v>14C</v>
          </cell>
          <cell r="D1508" t="str">
            <v>TIREBOT (CH)</v>
          </cell>
          <cell r="E1508" t="str">
            <v>VM105</v>
          </cell>
          <cell r="N1508">
            <v>1850</v>
          </cell>
        </row>
        <row r="1509">
          <cell r="A1509" t="str">
            <v>195</v>
          </cell>
          <cell r="B1509">
            <v>50</v>
          </cell>
          <cell r="C1509">
            <v>15</v>
          </cell>
          <cell r="D1509" t="str">
            <v>TIREBOT (CH)</v>
          </cell>
          <cell r="E1509" t="str">
            <v>CT103</v>
          </cell>
          <cell r="N1509">
            <v>1530</v>
          </cell>
        </row>
        <row r="1510">
          <cell r="A1510" t="str">
            <v>185</v>
          </cell>
          <cell r="B1510">
            <v>55</v>
          </cell>
          <cell r="C1510">
            <v>15</v>
          </cell>
          <cell r="D1510" t="str">
            <v>TIREBOT (CH)</v>
          </cell>
          <cell r="E1510" t="str">
            <v>K115</v>
          </cell>
          <cell r="N1510">
            <v>1450</v>
          </cell>
        </row>
        <row r="1511">
          <cell r="A1511" t="str">
            <v>195</v>
          </cell>
          <cell r="B1511">
            <v>55</v>
          </cell>
          <cell r="C1511">
            <v>15</v>
          </cell>
          <cell r="D1511" t="str">
            <v>TIREBOT (CH)</v>
          </cell>
          <cell r="E1511" t="str">
            <v>CT103</v>
          </cell>
          <cell r="N1511">
            <v>1550</v>
          </cell>
        </row>
        <row r="1512">
          <cell r="A1512" t="str">
            <v>195</v>
          </cell>
          <cell r="B1512">
            <v>65</v>
          </cell>
          <cell r="C1512">
            <v>15</v>
          </cell>
          <cell r="D1512" t="str">
            <v>TIREBOT (CH)</v>
          </cell>
          <cell r="E1512" t="str">
            <v>CT112</v>
          </cell>
          <cell r="N1512">
            <v>1850</v>
          </cell>
        </row>
        <row r="1513">
          <cell r="A1513" t="str">
            <v>195</v>
          </cell>
          <cell r="B1513">
            <v>70</v>
          </cell>
          <cell r="C1513" t="str">
            <v>15C</v>
          </cell>
          <cell r="D1513" t="str">
            <v>TIREBOT (CH)</v>
          </cell>
          <cell r="E1513" t="str">
            <v>VM107</v>
          </cell>
          <cell r="N1513">
            <v>2185</v>
          </cell>
        </row>
        <row r="1514">
          <cell r="A1514" t="str">
            <v>235</v>
          </cell>
          <cell r="B1514">
            <v>75</v>
          </cell>
          <cell r="C1514">
            <v>15</v>
          </cell>
          <cell r="D1514" t="str">
            <v>TIREBOT (CH)</v>
          </cell>
          <cell r="E1514" t="str">
            <v>SIRIUS A/T</v>
          </cell>
          <cell r="N1514">
            <v>3000</v>
          </cell>
        </row>
        <row r="1515">
          <cell r="A1515" t="str">
            <v>205</v>
          </cell>
          <cell r="B1515">
            <v>45</v>
          </cell>
          <cell r="C1515">
            <v>16</v>
          </cell>
          <cell r="D1515" t="str">
            <v>TIREBOT (CH)</v>
          </cell>
          <cell r="E1515" t="str">
            <v>P-OPT609</v>
          </cell>
          <cell r="N1515">
            <v>1730</v>
          </cell>
        </row>
        <row r="1516">
          <cell r="A1516" t="str">
            <v>205</v>
          </cell>
          <cell r="B1516">
            <v>55</v>
          </cell>
          <cell r="C1516">
            <v>16</v>
          </cell>
          <cell r="D1516" t="str">
            <v>TIREBOT (CH)</v>
          </cell>
          <cell r="E1516" t="str">
            <v>CT103</v>
          </cell>
          <cell r="N1516">
            <v>1820</v>
          </cell>
        </row>
        <row r="1517">
          <cell r="A1517" t="str">
            <v>205</v>
          </cell>
          <cell r="B1517">
            <v>65</v>
          </cell>
          <cell r="C1517">
            <v>16</v>
          </cell>
          <cell r="D1517" t="str">
            <v>TIREBOT (CH)</v>
          </cell>
          <cell r="E1517" t="str">
            <v>CT103</v>
          </cell>
          <cell r="N1517">
            <v>1950</v>
          </cell>
        </row>
        <row r="1518">
          <cell r="A1518" t="str">
            <v>205</v>
          </cell>
          <cell r="B1518">
            <v>45</v>
          </cell>
          <cell r="C1518">
            <v>17</v>
          </cell>
          <cell r="D1518" t="str">
            <v>TIREBOT (CH)</v>
          </cell>
          <cell r="E1518" t="str">
            <v>P.OPT601</v>
          </cell>
          <cell r="N1518">
            <v>1950</v>
          </cell>
        </row>
        <row r="1519">
          <cell r="A1519" t="str">
            <v>215</v>
          </cell>
          <cell r="B1519">
            <v>45</v>
          </cell>
          <cell r="C1519">
            <v>17</v>
          </cell>
          <cell r="D1519" t="str">
            <v>TIREBOT (CH)</v>
          </cell>
          <cell r="E1519" t="str">
            <v>P.OPT602</v>
          </cell>
          <cell r="N1519">
            <v>2100</v>
          </cell>
        </row>
        <row r="1520">
          <cell r="A1520" t="str">
            <v>215</v>
          </cell>
          <cell r="B1520">
            <v>55</v>
          </cell>
          <cell r="C1520">
            <v>17</v>
          </cell>
          <cell r="D1520" t="str">
            <v>TIREBOT (CH)</v>
          </cell>
          <cell r="E1520" t="str">
            <v>P.OPT601</v>
          </cell>
          <cell r="N1520">
            <v>2250</v>
          </cell>
        </row>
        <row r="1521">
          <cell r="A1521" t="str">
            <v>265</v>
          </cell>
          <cell r="B1521">
            <v>60</v>
          </cell>
          <cell r="C1521">
            <v>18</v>
          </cell>
          <cell r="D1521" t="str">
            <v>TIREBOT (CH)</v>
          </cell>
          <cell r="E1521" t="str">
            <v>SR168 A/T</v>
          </cell>
          <cell r="N1521">
            <v>4000</v>
          </cell>
        </row>
        <row r="1522">
          <cell r="A1522" t="str">
            <v>265</v>
          </cell>
          <cell r="B1522">
            <v>50</v>
          </cell>
          <cell r="C1522">
            <v>20</v>
          </cell>
          <cell r="D1522" t="str">
            <v>TIREBOT (CH)</v>
          </cell>
          <cell r="E1522" t="str">
            <v>KAZE610 HT</v>
          </cell>
          <cell r="N1522">
            <v>3800</v>
          </cell>
        </row>
        <row r="1523">
          <cell r="A1523" t="str">
            <v>275</v>
          </cell>
          <cell r="B1523">
            <v>55</v>
          </cell>
          <cell r="C1523">
            <v>20</v>
          </cell>
          <cell r="D1523" t="str">
            <v>TIREBOT (CH)</v>
          </cell>
          <cell r="E1523" t="str">
            <v>SR168 A/T</v>
          </cell>
          <cell r="N1523">
            <v>4380</v>
          </cell>
        </row>
        <row r="1524">
          <cell r="A1524" t="str">
            <v>175</v>
          </cell>
          <cell r="B1524">
            <v>65</v>
          </cell>
          <cell r="C1524">
            <v>14</v>
          </cell>
          <cell r="D1524" t="str">
            <v>THUNDERER (THAI)</v>
          </cell>
          <cell r="E1524" t="str">
            <v>R201</v>
          </cell>
          <cell r="N1524">
            <v>1827</v>
          </cell>
        </row>
        <row r="1525">
          <cell r="A1525" t="str">
            <v>185</v>
          </cell>
          <cell r="C1525" t="str">
            <v>14C</v>
          </cell>
          <cell r="D1525" t="str">
            <v>THUNDERER (THAI)</v>
          </cell>
          <cell r="E1525" t="str">
            <v>R101</v>
          </cell>
          <cell r="N1525">
            <v>2595</v>
          </cell>
        </row>
        <row r="1526">
          <cell r="A1526" t="str">
            <v>185</v>
          </cell>
          <cell r="B1526">
            <v>70</v>
          </cell>
          <cell r="C1526">
            <v>14</v>
          </cell>
          <cell r="D1526" t="str">
            <v>THUNDERER (THAI)</v>
          </cell>
          <cell r="E1526" t="str">
            <v>R201</v>
          </cell>
          <cell r="N1526">
            <v>2205</v>
          </cell>
        </row>
        <row r="1527">
          <cell r="A1527" t="str">
            <v>195</v>
          </cell>
          <cell r="C1527" t="str">
            <v>14C</v>
          </cell>
          <cell r="D1527" t="str">
            <v>THUNDERER (THAI)</v>
          </cell>
          <cell r="E1527" t="str">
            <v>R101</v>
          </cell>
          <cell r="N1527">
            <v>3210</v>
          </cell>
        </row>
        <row r="1528">
          <cell r="A1528" t="str">
            <v>195</v>
          </cell>
          <cell r="B1528">
            <v>55</v>
          </cell>
          <cell r="C1528">
            <v>15</v>
          </cell>
          <cell r="D1528" t="str">
            <v>THUNDERER (THAI)</v>
          </cell>
          <cell r="E1528" t="str">
            <v>R301</v>
          </cell>
          <cell r="N1528">
            <v>2197.5</v>
          </cell>
        </row>
        <row r="1529">
          <cell r="A1529" t="str">
            <v>205</v>
          </cell>
          <cell r="B1529">
            <v>65</v>
          </cell>
          <cell r="C1529">
            <v>15</v>
          </cell>
          <cell r="D1529" t="str">
            <v>THUNDERER (THAI)</v>
          </cell>
          <cell r="E1529" t="str">
            <v>R301</v>
          </cell>
          <cell r="N1529">
            <v>2355</v>
          </cell>
        </row>
        <row r="1530">
          <cell r="A1530" t="str">
            <v>205</v>
          </cell>
          <cell r="B1530">
            <v>65</v>
          </cell>
          <cell r="C1530">
            <v>15</v>
          </cell>
          <cell r="D1530" t="str">
            <v>THUNDERER (THAI)</v>
          </cell>
          <cell r="E1530" t="str">
            <v>R301 MACH II</v>
          </cell>
          <cell r="N1530">
            <v>2620.5</v>
          </cell>
        </row>
        <row r="1531">
          <cell r="A1531" t="str">
            <v>205</v>
          </cell>
          <cell r="B1531">
            <v>70</v>
          </cell>
          <cell r="C1531">
            <v>15</v>
          </cell>
          <cell r="D1531" t="str">
            <v>THUNDERER (THAI)</v>
          </cell>
          <cell r="E1531" t="str">
            <v>R402</v>
          </cell>
          <cell r="N1531">
            <v>3127.5</v>
          </cell>
        </row>
        <row r="1532">
          <cell r="A1532" t="str">
            <v>215</v>
          </cell>
          <cell r="B1532">
            <v>70</v>
          </cell>
          <cell r="C1532" t="str">
            <v>15C</v>
          </cell>
          <cell r="D1532" t="str">
            <v>THUNDERER (THAI)</v>
          </cell>
          <cell r="E1532" t="str">
            <v>R402 8PR</v>
          </cell>
          <cell r="N1532">
            <v>3777</v>
          </cell>
        </row>
        <row r="1533">
          <cell r="A1533" t="str">
            <v>235</v>
          </cell>
          <cell r="B1533">
            <v>70</v>
          </cell>
          <cell r="C1533">
            <v>15</v>
          </cell>
          <cell r="D1533" t="str">
            <v>THUNDERER (THAI)</v>
          </cell>
          <cell r="E1533" t="str">
            <v>HT</v>
          </cell>
          <cell r="N1533">
            <v>4900</v>
          </cell>
        </row>
        <row r="1534">
          <cell r="A1534" t="str">
            <v>235</v>
          </cell>
          <cell r="B1534">
            <v>75</v>
          </cell>
          <cell r="C1534">
            <v>15</v>
          </cell>
          <cell r="D1534" t="str">
            <v>THUNDERER (THAI)</v>
          </cell>
          <cell r="E1534" t="str">
            <v>R404 A/T</v>
          </cell>
          <cell r="N1534">
            <v>4354</v>
          </cell>
        </row>
        <row r="1535">
          <cell r="A1535" t="str">
            <v>185</v>
          </cell>
          <cell r="B1535">
            <v>55</v>
          </cell>
          <cell r="C1535">
            <v>16</v>
          </cell>
          <cell r="D1535" t="str">
            <v>THUNDERER (THAI)</v>
          </cell>
          <cell r="E1535" t="str">
            <v>RA01</v>
          </cell>
          <cell r="N1535">
            <v>2332.5</v>
          </cell>
        </row>
        <row r="1536">
          <cell r="A1536" t="str">
            <v>205</v>
          </cell>
          <cell r="B1536">
            <v>60</v>
          </cell>
          <cell r="C1536">
            <v>16</v>
          </cell>
          <cell r="D1536" t="str">
            <v>THUNDERER (THAI)</v>
          </cell>
          <cell r="E1536" t="str">
            <v>R201</v>
          </cell>
          <cell r="N1536">
            <v>2907.5</v>
          </cell>
        </row>
        <row r="1537">
          <cell r="A1537" t="str">
            <v>235</v>
          </cell>
          <cell r="B1537">
            <v>60</v>
          </cell>
          <cell r="C1537">
            <v>16</v>
          </cell>
          <cell r="D1537" t="str">
            <v>THUNDERER (THAI)</v>
          </cell>
          <cell r="E1537" t="str">
            <v>HT</v>
          </cell>
          <cell r="N1537">
            <v>4300</v>
          </cell>
        </row>
        <row r="1538">
          <cell r="A1538" t="str">
            <v>215</v>
          </cell>
          <cell r="B1538">
            <v>70</v>
          </cell>
          <cell r="C1538">
            <v>16</v>
          </cell>
          <cell r="D1538" t="str">
            <v>THUNDERER (THAI)</v>
          </cell>
          <cell r="E1538" t="str">
            <v>R601</v>
          </cell>
          <cell r="N1538">
            <v>3670</v>
          </cell>
        </row>
        <row r="1539">
          <cell r="A1539" t="str">
            <v>205</v>
          </cell>
          <cell r="B1539">
            <v>75</v>
          </cell>
          <cell r="C1539">
            <v>16</v>
          </cell>
          <cell r="D1539" t="str">
            <v>THUNDERER (THAI)</v>
          </cell>
          <cell r="E1539" t="str">
            <v>RANGER R402</v>
          </cell>
          <cell r="N1539">
            <v>4252.5</v>
          </cell>
        </row>
        <row r="1540">
          <cell r="A1540" t="str">
            <v>205</v>
          </cell>
          <cell r="B1540">
            <v>45</v>
          </cell>
          <cell r="C1540">
            <v>17</v>
          </cell>
          <cell r="D1540" t="str">
            <v>THUNDERER (THAI)</v>
          </cell>
          <cell r="E1540" t="str">
            <v>R702</v>
          </cell>
          <cell r="N1540">
            <v>2580</v>
          </cell>
        </row>
        <row r="1541">
          <cell r="A1541" t="str">
            <v>215</v>
          </cell>
          <cell r="B1541">
            <v>50</v>
          </cell>
          <cell r="C1541">
            <v>17</v>
          </cell>
          <cell r="D1541" t="str">
            <v>THUNDERER (THAI)</v>
          </cell>
          <cell r="E1541" t="str">
            <v>R302</v>
          </cell>
          <cell r="N1541">
            <v>2951.2</v>
          </cell>
        </row>
        <row r="1542">
          <cell r="A1542" t="str">
            <v>225</v>
          </cell>
          <cell r="B1542">
            <v>45</v>
          </cell>
          <cell r="C1542">
            <v>18</v>
          </cell>
          <cell r="D1542" t="str">
            <v xml:space="preserve">THUNDERER </v>
          </cell>
          <cell r="E1542" t="str">
            <v>MACH III R702</v>
          </cell>
          <cell r="N1542">
            <v>3675</v>
          </cell>
        </row>
        <row r="1543">
          <cell r="A1543" t="str">
            <v>265</v>
          </cell>
          <cell r="B1543">
            <v>60</v>
          </cell>
          <cell r="C1543">
            <v>18</v>
          </cell>
          <cell r="D1543" t="str">
            <v>THUNDERER (THAI)</v>
          </cell>
          <cell r="E1543" t="str">
            <v>HT603</v>
          </cell>
          <cell r="N1543">
            <v>5610</v>
          </cell>
        </row>
        <row r="1544">
          <cell r="A1544" t="str">
            <v>265</v>
          </cell>
          <cell r="B1544">
            <v>50</v>
          </cell>
          <cell r="C1544">
            <v>20</v>
          </cell>
          <cell r="D1544" t="str">
            <v>THUNDERER (THAI)</v>
          </cell>
          <cell r="E1544" t="str">
            <v>R601</v>
          </cell>
          <cell r="N1544">
            <v>5481</v>
          </cell>
        </row>
        <row r="1545">
          <cell r="A1545" t="str">
            <v>175</v>
          </cell>
          <cell r="B1545">
            <v>65</v>
          </cell>
          <cell r="C1545">
            <v>14</v>
          </cell>
          <cell r="D1545" t="str">
            <v>TRIANGLE</v>
          </cell>
          <cell r="E1545" t="str">
            <v>TE307 98H RELIAXTOURING</v>
          </cell>
          <cell r="N1545">
            <v>1500</v>
          </cell>
        </row>
        <row r="1546">
          <cell r="A1546" t="str">
            <v>195</v>
          </cell>
          <cell r="B1546">
            <v>50</v>
          </cell>
          <cell r="C1546">
            <v>15</v>
          </cell>
          <cell r="D1546" t="str">
            <v>TRIANGLE</v>
          </cell>
          <cell r="E1546" t="str">
            <v>TE301 82V PROTRACT</v>
          </cell>
          <cell r="N1546">
            <v>1995.57</v>
          </cell>
        </row>
        <row r="1547">
          <cell r="A1547" t="str">
            <v>195</v>
          </cell>
          <cell r="B1547">
            <v>55</v>
          </cell>
          <cell r="C1547">
            <v>15</v>
          </cell>
          <cell r="D1547" t="str">
            <v>TRIANGLE</v>
          </cell>
          <cell r="E1547" t="str">
            <v>TE307 85V RELIAXTOURING</v>
          </cell>
          <cell r="N1547">
            <v>1939.14</v>
          </cell>
        </row>
        <row r="1548">
          <cell r="A1548" t="str">
            <v>215</v>
          </cell>
          <cell r="B1548">
            <v>70</v>
          </cell>
          <cell r="C1548" t="str">
            <v>15C</v>
          </cell>
          <cell r="D1548" t="str">
            <v>TRIANGLE</v>
          </cell>
          <cell r="E1548" t="str">
            <v>TR652 8PR 109/107R</v>
          </cell>
          <cell r="N1548">
            <v>3150</v>
          </cell>
        </row>
        <row r="1549">
          <cell r="A1549" t="str">
            <v>205</v>
          </cell>
          <cell r="B1549">
            <v>70</v>
          </cell>
          <cell r="C1549" t="str">
            <v>15C</v>
          </cell>
          <cell r="D1549" t="str">
            <v>TRIANGLE</v>
          </cell>
          <cell r="E1549" t="str">
            <v>8PR TR652 106/104R</v>
          </cell>
          <cell r="N1549">
            <v>2950</v>
          </cell>
        </row>
        <row r="1550">
          <cell r="A1550" t="str">
            <v>205</v>
          </cell>
          <cell r="B1550">
            <v>50</v>
          </cell>
          <cell r="C1550">
            <v>16</v>
          </cell>
          <cell r="D1550" t="str">
            <v>TRIANGLE</v>
          </cell>
          <cell r="E1550" t="str">
            <v>TE307 91W RELIAXTOURING</v>
          </cell>
          <cell r="N1550">
            <v>2375.19</v>
          </cell>
        </row>
        <row r="1551">
          <cell r="A1551" t="str">
            <v>215</v>
          </cell>
          <cell r="B1551">
            <v>65</v>
          </cell>
          <cell r="C1551">
            <v>16</v>
          </cell>
          <cell r="D1551" t="str">
            <v>TRIANGLE</v>
          </cell>
          <cell r="E1551" t="str">
            <v>TR259 102V</v>
          </cell>
          <cell r="N1551">
            <v>2813.61</v>
          </cell>
        </row>
        <row r="1552">
          <cell r="A1552" t="str">
            <v>215</v>
          </cell>
          <cell r="B1552">
            <v>45</v>
          </cell>
          <cell r="C1552">
            <v>17</v>
          </cell>
          <cell r="D1552" t="str">
            <v>TRIANGLE</v>
          </cell>
          <cell r="E1552" t="str">
            <v>TR968 91V</v>
          </cell>
          <cell r="N1552">
            <v>2441.88</v>
          </cell>
        </row>
        <row r="1553">
          <cell r="A1553" t="str">
            <v>215</v>
          </cell>
          <cell r="B1553">
            <v>55</v>
          </cell>
          <cell r="C1553">
            <v>17</v>
          </cell>
          <cell r="D1553" t="str">
            <v>TRIANGLE</v>
          </cell>
          <cell r="E1553" t="str">
            <v>TH202 98Y EFFEXSPORT</v>
          </cell>
          <cell r="N1553">
            <v>2988.23</v>
          </cell>
        </row>
        <row r="1554">
          <cell r="A1554" t="str">
            <v>195</v>
          </cell>
          <cell r="B1554">
            <v>55</v>
          </cell>
          <cell r="C1554">
            <v>16</v>
          </cell>
          <cell r="D1554" t="str">
            <v>TOYO</v>
          </cell>
          <cell r="E1554" t="str">
            <v>PROXES TR1</v>
          </cell>
          <cell r="N1554">
            <v>3825</v>
          </cell>
        </row>
        <row r="1555">
          <cell r="A1555" t="str">
            <v>265</v>
          </cell>
          <cell r="B1555">
            <v>65</v>
          </cell>
          <cell r="C1555">
            <v>17</v>
          </cell>
          <cell r="D1555" t="str">
            <v>TOYO</v>
          </cell>
          <cell r="E1555" t="str">
            <v>OPEN COUNTRY R/T</v>
          </cell>
          <cell r="N1555">
            <v>9724</v>
          </cell>
        </row>
        <row r="1556">
          <cell r="A1556" t="str">
            <v>245</v>
          </cell>
          <cell r="B1556">
            <v>60</v>
          </cell>
          <cell r="C1556">
            <v>18</v>
          </cell>
          <cell r="D1556" t="str">
            <v>TOYO</v>
          </cell>
          <cell r="E1556" t="str">
            <v>OPEN COUNTRY R/T</v>
          </cell>
          <cell r="N1556">
            <v>7800</v>
          </cell>
        </row>
        <row r="1557">
          <cell r="A1557" t="str">
            <v>265</v>
          </cell>
          <cell r="B1557">
            <v>60</v>
          </cell>
          <cell r="C1557">
            <v>18</v>
          </cell>
          <cell r="D1557" t="str">
            <v>TOYO</v>
          </cell>
          <cell r="E1557" t="str">
            <v>OPEN COUNTRY R/T</v>
          </cell>
          <cell r="N1557">
            <v>9724</v>
          </cell>
        </row>
        <row r="1558">
          <cell r="A1558" t="str">
            <v>265</v>
          </cell>
          <cell r="B1558">
            <v>60</v>
          </cell>
          <cell r="C1558">
            <v>18</v>
          </cell>
          <cell r="D1558" t="str">
            <v>TOYO</v>
          </cell>
          <cell r="E1558" t="str">
            <v>PXST3</v>
          </cell>
          <cell r="N1558">
            <v>7700</v>
          </cell>
        </row>
        <row r="1559">
          <cell r="A1559" t="str">
            <v>285</v>
          </cell>
          <cell r="B1559">
            <v>60</v>
          </cell>
          <cell r="C1559">
            <v>18</v>
          </cell>
          <cell r="D1559" t="str">
            <v>TOYO</v>
          </cell>
          <cell r="E1559" t="str">
            <v>OPRT</v>
          </cell>
          <cell r="N1559">
            <v>14200</v>
          </cell>
        </row>
        <row r="1560">
          <cell r="A1560" t="str">
            <v>285</v>
          </cell>
          <cell r="B1560">
            <v>60</v>
          </cell>
          <cell r="C1560">
            <v>18</v>
          </cell>
          <cell r="D1560" t="str">
            <v>TOYO</v>
          </cell>
          <cell r="E1560" t="str">
            <v>PXST3</v>
          </cell>
          <cell r="N1560">
            <v>10733</v>
          </cell>
        </row>
        <row r="1561">
          <cell r="A1561" t="str">
            <v>225</v>
          </cell>
          <cell r="B1561">
            <v>50</v>
          </cell>
          <cell r="C1561">
            <v>19</v>
          </cell>
          <cell r="D1561" t="str">
            <v>TOYO</v>
          </cell>
          <cell r="E1561" t="str">
            <v>PXST3</v>
          </cell>
          <cell r="N1561">
            <v>12800</v>
          </cell>
        </row>
        <row r="1562">
          <cell r="A1562" t="str">
            <v>275</v>
          </cell>
          <cell r="B1562">
            <v>55</v>
          </cell>
          <cell r="C1562">
            <v>20</v>
          </cell>
          <cell r="D1562" t="str">
            <v>TOYO</v>
          </cell>
          <cell r="E1562" t="str">
            <v>OPEN COUNTRY WL</v>
          </cell>
          <cell r="N1562">
            <v>12388</v>
          </cell>
        </row>
        <row r="1563">
          <cell r="A1563" t="str">
            <v>275</v>
          </cell>
          <cell r="B1563">
            <v>50</v>
          </cell>
          <cell r="C1563">
            <v>22</v>
          </cell>
          <cell r="D1563" t="str">
            <v>TOYO</v>
          </cell>
          <cell r="E1563" t="str">
            <v>OPUT</v>
          </cell>
          <cell r="N1563">
            <v>16530.57</v>
          </cell>
        </row>
        <row r="1564">
          <cell r="A1564" t="str">
            <v>175</v>
          </cell>
          <cell r="B1564">
            <v>70</v>
          </cell>
          <cell r="C1564">
            <v>13</v>
          </cell>
          <cell r="D1564" t="str">
            <v xml:space="preserve">TRAZANO </v>
          </cell>
          <cell r="E1564" t="str">
            <v>RP08</v>
          </cell>
          <cell r="N1564">
            <v>1500.41</v>
          </cell>
        </row>
        <row r="1565">
          <cell r="A1565" t="str">
            <v>225</v>
          </cell>
          <cell r="B1565">
            <v>70</v>
          </cell>
          <cell r="C1565">
            <v>16</v>
          </cell>
          <cell r="D1565" t="str">
            <v xml:space="preserve">TRAZANO </v>
          </cell>
          <cell r="E1565" t="str">
            <v xml:space="preserve">SU 318 </v>
          </cell>
          <cell r="N1565">
            <v>3136.5</v>
          </cell>
        </row>
        <row r="1566">
          <cell r="A1566" t="str">
            <v>175</v>
          </cell>
          <cell r="B1566">
            <v>65</v>
          </cell>
          <cell r="C1566">
            <v>14</v>
          </cell>
          <cell r="D1566" t="str">
            <v>VEE RUBBER (THAI)</v>
          </cell>
          <cell r="E1566" t="str">
            <v>CITY STAR V2</v>
          </cell>
          <cell r="N1566">
            <v>1730</v>
          </cell>
        </row>
        <row r="1567">
          <cell r="A1567" t="str">
            <v>185</v>
          </cell>
          <cell r="C1567" t="str">
            <v>14C</v>
          </cell>
          <cell r="D1567" t="str">
            <v>VEE RUBBER (THAI)</v>
          </cell>
          <cell r="E1567" t="str">
            <v>MARATHON 8PR</v>
          </cell>
          <cell r="N1567">
            <v>2450</v>
          </cell>
        </row>
        <row r="1568">
          <cell r="A1568" t="str">
            <v>195</v>
          </cell>
          <cell r="B1568">
            <v>55</v>
          </cell>
          <cell r="C1568">
            <v>15</v>
          </cell>
          <cell r="D1568" t="str">
            <v>VEE RUBBER (THAI)</v>
          </cell>
          <cell r="E1568" t="str">
            <v>VITRON</v>
          </cell>
          <cell r="N1568">
            <v>2150</v>
          </cell>
        </row>
        <row r="1569">
          <cell r="A1569" t="str">
            <v>205</v>
          </cell>
          <cell r="B1569">
            <v>65</v>
          </cell>
          <cell r="C1569">
            <v>15</v>
          </cell>
          <cell r="D1569" t="str">
            <v>VEE RUBBER (THAI)</v>
          </cell>
          <cell r="E1569" t="str">
            <v>VITRON</v>
          </cell>
          <cell r="N1569">
            <v>2370</v>
          </cell>
        </row>
        <row r="1570">
          <cell r="A1570" t="str">
            <v>225</v>
          </cell>
          <cell r="B1570">
            <v>70</v>
          </cell>
          <cell r="C1570">
            <v>15</v>
          </cell>
          <cell r="D1570" t="str">
            <v>VEE RUBBER (THAI)</v>
          </cell>
          <cell r="E1570" t="str">
            <v>TAIGA-D VEE RUBBER</v>
          </cell>
          <cell r="N1570">
            <v>3480</v>
          </cell>
        </row>
        <row r="1571">
          <cell r="A1571" t="str">
            <v>235</v>
          </cell>
          <cell r="B1571">
            <v>75</v>
          </cell>
          <cell r="C1571">
            <v>15</v>
          </cell>
          <cell r="D1571" t="str">
            <v>VEE RUBBER (THAI)</v>
          </cell>
          <cell r="E1571" t="str">
            <v>TAIGA H/TVTR-333</v>
          </cell>
          <cell r="N1571">
            <v>3680</v>
          </cell>
        </row>
        <row r="1572">
          <cell r="A1572" t="str">
            <v>265</v>
          </cell>
          <cell r="B1572">
            <v>60</v>
          </cell>
          <cell r="C1572">
            <v>18</v>
          </cell>
          <cell r="D1572" t="str">
            <v>VEE RUBBER (THAI)</v>
          </cell>
          <cell r="E1572" t="str">
            <v>SPEED BOOSTER HT</v>
          </cell>
          <cell r="N1572">
            <v>5400</v>
          </cell>
        </row>
        <row r="1573">
          <cell r="A1573" t="str">
            <v>205</v>
          </cell>
          <cell r="B1573">
            <v>70</v>
          </cell>
          <cell r="C1573">
            <v>15</v>
          </cell>
          <cell r="D1573" t="str">
            <v>VENOM POWER</v>
          </cell>
          <cell r="E1573" t="str">
            <v>SWAMPTHING AT</v>
          </cell>
          <cell r="N1573">
            <v>4370</v>
          </cell>
        </row>
        <row r="1574">
          <cell r="A1574" t="str">
            <v>235</v>
          </cell>
          <cell r="B1574">
            <v>75</v>
          </cell>
          <cell r="C1574">
            <v>15</v>
          </cell>
          <cell r="D1574" t="str">
            <v>VENOM POWER</v>
          </cell>
          <cell r="E1574" t="str">
            <v>6PR TERRA HUNTER X/T</v>
          </cell>
          <cell r="N1574">
            <v>5494.8</v>
          </cell>
        </row>
        <row r="1575">
          <cell r="A1575" t="str">
            <v>31</v>
          </cell>
          <cell r="B1575">
            <v>10.5</v>
          </cell>
          <cell r="C1575">
            <v>15</v>
          </cell>
          <cell r="D1575" t="str">
            <v>VENOM POWER</v>
          </cell>
          <cell r="E1575" t="str">
            <v>6PR TERRA HUNTER X/T</v>
          </cell>
          <cell r="N1575">
            <v>6756.4</v>
          </cell>
        </row>
        <row r="1576">
          <cell r="A1576" t="str">
            <v>265</v>
          </cell>
          <cell r="B1576">
            <v>65</v>
          </cell>
          <cell r="C1576">
            <v>17</v>
          </cell>
          <cell r="D1576" t="str">
            <v>VENOM POWER</v>
          </cell>
          <cell r="E1576" t="str">
            <v>8PR TERRA HUNTER X/T</v>
          </cell>
          <cell r="N1576">
            <v>6194</v>
          </cell>
        </row>
        <row r="1577">
          <cell r="A1577" t="str">
            <v>265</v>
          </cell>
          <cell r="B1577">
            <v>65</v>
          </cell>
          <cell r="C1577">
            <v>17</v>
          </cell>
          <cell r="D1577" t="str">
            <v>VENOM POWER</v>
          </cell>
          <cell r="E1577" t="str">
            <v>10PR TRAIL HUNTER RT</v>
          </cell>
          <cell r="N1577">
            <v>7204.8</v>
          </cell>
        </row>
        <row r="1578">
          <cell r="A1578" t="str">
            <v>265</v>
          </cell>
          <cell r="B1578">
            <v>70</v>
          </cell>
          <cell r="C1578">
            <v>17</v>
          </cell>
          <cell r="D1578" t="str">
            <v>VENOM POWER</v>
          </cell>
          <cell r="E1578" t="str">
            <v>8PR TERRA HUNTER X/T</v>
          </cell>
          <cell r="N1578">
            <v>6384</v>
          </cell>
        </row>
        <row r="1579">
          <cell r="A1579" t="str">
            <v>285</v>
          </cell>
          <cell r="B1579">
            <v>70</v>
          </cell>
          <cell r="C1579">
            <v>17</v>
          </cell>
          <cell r="D1579" t="str">
            <v>VENOM POWER</v>
          </cell>
          <cell r="E1579" t="str">
            <v>TRAIL HUNTER RT</v>
          </cell>
          <cell r="N1579">
            <v>8451.2000000000007</v>
          </cell>
        </row>
        <row r="1580">
          <cell r="A1580" t="str">
            <v>285</v>
          </cell>
          <cell r="B1580">
            <v>70</v>
          </cell>
          <cell r="C1580">
            <v>17</v>
          </cell>
          <cell r="D1580" t="str">
            <v>VENOM POWER</v>
          </cell>
          <cell r="E1580" t="str">
            <v>6PR TERRA HUNTER X/T</v>
          </cell>
          <cell r="N1580">
            <v>7584.8</v>
          </cell>
        </row>
        <row r="1581">
          <cell r="A1581" t="str">
            <v>265</v>
          </cell>
          <cell r="B1581">
            <v>60</v>
          </cell>
          <cell r="C1581">
            <v>18</v>
          </cell>
          <cell r="D1581" t="str">
            <v>VENOM POWER</v>
          </cell>
          <cell r="E1581" t="str">
            <v>8PR TERRA HUNTER X/T</v>
          </cell>
          <cell r="N1581">
            <v>6498</v>
          </cell>
        </row>
        <row r="1582">
          <cell r="A1582" t="str">
            <v>285</v>
          </cell>
          <cell r="B1582">
            <v>60</v>
          </cell>
          <cell r="C1582">
            <v>18</v>
          </cell>
          <cell r="D1582" t="str">
            <v>VENOM POWER</v>
          </cell>
          <cell r="E1582" t="str">
            <v>10PR TRAIL HUNTER RT</v>
          </cell>
          <cell r="N1582">
            <v>10130.799999999999</v>
          </cell>
        </row>
        <row r="1583">
          <cell r="A1583" t="str">
            <v>265</v>
          </cell>
          <cell r="B1583">
            <v>65</v>
          </cell>
          <cell r="C1583">
            <v>18</v>
          </cell>
          <cell r="D1583" t="str">
            <v>VENOM POWER</v>
          </cell>
          <cell r="E1583" t="str">
            <v>8PR TERRA HUNTER X/T</v>
          </cell>
          <cell r="N1583">
            <v>6916</v>
          </cell>
        </row>
        <row r="1584">
          <cell r="A1584" t="str">
            <v>275</v>
          </cell>
          <cell r="B1584">
            <v>65</v>
          </cell>
          <cell r="C1584">
            <v>18</v>
          </cell>
          <cell r="D1584" t="str">
            <v>VENOM POWER</v>
          </cell>
          <cell r="E1584" t="str">
            <v>8PR TERRA HUNTER X/T</v>
          </cell>
          <cell r="N1584">
            <v>7144</v>
          </cell>
        </row>
        <row r="1585">
          <cell r="A1585" t="str">
            <v>285</v>
          </cell>
          <cell r="B1585">
            <v>65</v>
          </cell>
          <cell r="C1585">
            <v>18</v>
          </cell>
          <cell r="D1585" t="str">
            <v>VENOM POWER</v>
          </cell>
          <cell r="E1585" t="str">
            <v>10PR TERRA HUNTER X/T</v>
          </cell>
          <cell r="N1585">
            <v>8436</v>
          </cell>
        </row>
        <row r="1586">
          <cell r="A1586" t="str">
            <v>265</v>
          </cell>
          <cell r="B1586">
            <v>50</v>
          </cell>
          <cell r="C1586">
            <v>20</v>
          </cell>
          <cell r="D1586" t="str">
            <v>VENOM POWER</v>
          </cell>
          <cell r="E1586" t="str">
            <v>8PR SWAMPTHING AT</v>
          </cell>
          <cell r="N1586">
            <v>6931.2</v>
          </cell>
        </row>
        <row r="1587">
          <cell r="A1587" t="str">
            <v>275</v>
          </cell>
          <cell r="B1587">
            <v>55</v>
          </cell>
          <cell r="C1587">
            <v>20</v>
          </cell>
          <cell r="D1587" t="str">
            <v>VENOM POWER</v>
          </cell>
          <cell r="E1587" t="str">
            <v>TERRA HUNTER X/T</v>
          </cell>
          <cell r="N1587">
            <v>7220</v>
          </cell>
        </row>
        <row r="1588">
          <cell r="A1588" t="str">
            <v>275</v>
          </cell>
          <cell r="B1588">
            <v>55</v>
          </cell>
          <cell r="C1588">
            <v>20</v>
          </cell>
          <cell r="D1588" t="str">
            <v>VENOM POWER</v>
          </cell>
          <cell r="E1588" t="str">
            <v>10PR TRAIL HUNTER RT</v>
          </cell>
          <cell r="N1588">
            <v>8762.7999999999993</v>
          </cell>
        </row>
        <row r="1589">
          <cell r="A1589" t="str">
            <v>285</v>
          </cell>
          <cell r="B1589">
            <v>55</v>
          </cell>
          <cell r="C1589">
            <v>20</v>
          </cell>
          <cell r="D1589" t="str">
            <v>VENOM POWER</v>
          </cell>
          <cell r="E1589" t="str">
            <v>10PR TRAIL HUNTER RT</v>
          </cell>
          <cell r="N1589">
            <v>9328.24</v>
          </cell>
        </row>
        <row r="1590">
          <cell r="A1590" t="str">
            <v>275</v>
          </cell>
          <cell r="B1590">
            <v>60</v>
          </cell>
          <cell r="C1590">
            <v>20</v>
          </cell>
          <cell r="D1590" t="str">
            <v>VENOM POWER</v>
          </cell>
          <cell r="E1590" t="str">
            <v>8PR TERRA HUNTER X/T</v>
          </cell>
          <cell r="N1590">
            <v>7470.8</v>
          </cell>
        </row>
        <row r="1591">
          <cell r="A1591" t="str">
            <v>33</v>
          </cell>
          <cell r="B1591">
            <v>12.5</v>
          </cell>
          <cell r="C1591">
            <v>20</v>
          </cell>
          <cell r="D1591" t="str">
            <v>VENOM POWER</v>
          </cell>
          <cell r="E1591" t="str">
            <v>10PR TRAIL HUNTER RT</v>
          </cell>
          <cell r="N1591">
            <v>11164.4</v>
          </cell>
        </row>
        <row r="1592">
          <cell r="A1592" t="str">
            <v>35</v>
          </cell>
          <cell r="B1592">
            <v>12.5</v>
          </cell>
          <cell r="C1592">
            <v>20</v>
          </cell>
          <cell r="D1592" t="str">
            <v>VENOM POWER</v>
          </cell>
          <cell r="E1592" t="str">
            <v>SWAMPTHING MT</v>
          </cell>
          <cell r="N1592">
            <v>11479.8</v>
          </cell>
        </row>
        <row r="1593">
          <cell r="A1593" t="str">
            <v>285</v>
          </cell>
          <cell r="B1593">
            <v>45</v>
          </cell>
          <cell r="C1593">
            <v>22</v>
          </cell>
          <cell r="D1593" t="str">
            <v>VENOM POWER</v>
          </cell>
          <cell r="E1593" t="str">
            <v>RAGNAROK GTS</v>
          </cell>
          <cell r="N1593">
            <v>6988.96</v>
          </cell>
        </row>
        <row r="1594">
          <cell r="A1594" t="str">
            <v>305</v>
          </cell>
          <cell r="B1594">
            <v>35</v>
          </cell>
          <cell r="C1594">
            <v>24</v>
          </cell>
          <cell r="D1594" t="str">
            <v>VENOM POWER</v>
          </cell>
          <cell r="E1594" t="str">
            <v>RAGNAROK GTS</v>
          </cell>
          <cell r="N1594">
            <v>7617.1</v>
          </cell>
        </row>
        <row r="1595">
          <cell r="A1595">
            <v>195</v>
          </cell>
          <cell r="B1595">
            <v>55</v>
          </cell>
          <cell r="C1595">
            <v>15</v>
          </cell>
          <cell r="D1595" t="str">
            <v>WANLI (CH)</v>
          </cell>
          <cell r="E1595" t="str">
            <v>S-1200</v>
          </cell>
          <cell r="N1595">
            <v>2075</v>
          </cell>
        </row>
        <row r="1596">
          <cell r="A1596" t="str">
            <v>205</v>
          </cell>
          <cell r="B1596">
            <v>70</v>
          </cell>
          <cell r="C1596">
            <v>15</v>
          </cell>
          <cell r="D1596" t="str">
            <v>WANLI (CH)</v>
          </cell>
          <cell r="E1596" t="str">
            <v>SU006 AT</v>
          </cell>
          <cell r="N1596">
            <v>2400.75</v>
          </cell>
        </row>
        <row r="1597">
          <cell r="A1597" t="str">
            <v>205</v>
          </cell>
          <cell r="B1597">
            <v>55</v>
          </cell>
          <cell r="C1597">
            <v>16</v>
          </cell>
          <cell r="D1597" t="str">
            <v>WANLI (CH)</v>
          </cell>
          <cell r="E1597" t="str">
            <v>SA302</v>
          </cell>
          <cell r="N1597">
            <v>2008.87</v>
          </cell>
        </row>
        <row r="1598">
          <cell r="A1598" t="str">
            <v>235</v>
          </cell>
          <cell r="B1598">
            <v>65</v>
          </cell>
          <cell r="C1598">
            <v>17</v>
          </cell>
          <cell r="D1598" t="str">
            <v>WANLI (CH)</v>
          </cell>
          <cell r="E1598" t="str">
            <v>SU025</v>
          </cell>
          <cell r="N1598">
            <v>2950</v>
          </cell>
        </row>
        <row r="1599">
          <cell r="A1599" t="str">
            <v>245</v>
          </cell>
          <cell r="B1599">
            <v>40</v>
          </cell>
          <cell r="C1599">
            <v>17</v>
          </cell>
          <cell r="D1599" t="str">
            <v>WANLI (CH)</v>
          </cell>
          <cell r="E1599" t="str">
            <v>SA302</v>
          </cell>
          <cell r="N1599">
            <v>2890.6</v>
          </cell>
        </row>
        <row r="1600">
          <cell r="A1600" t="str">
            <v>225</v>
          </cell>
          <cell r="B1600">
            <v>40</v>
          </cell>
          <cell r="C1600">
            <v>18</v>
          </cell>
          <cell r="D1600" t="str">
            <v>WANLI (CH)</v>
          </cell>
          <cell r="E1600" t="str">
            <v>S-1200</v>
          </cell>
          <cell r="N1600">
            <v>3150</v>
          </cell>
        </row>
        <row r="1601">
          <cell r="A1601" t="str">
            <v>215</v>
          </cell>
          <cell r="B1601">
            <v>45</v>
          </cell>
          <cell r="C1601">
            <v>18</v>
          </cell>
          <cell r="D1601" t="str">
            <v>WANLI (CH)</v>
          </cell>
          <cell r="E1601" t="str">
            <v>SA302</v>
          </cell>
          <cell r="N1601">
            <v>2585</v>
          </cell>
        </row>
        <row r="1602">
          <cell r="A1602" t="str">
            <v>245</v>
          </cell>
          <cell r="B1602">
            <v>45</v>
          </cell>
          <cell r="C1602">
            <v>18</v>
          </cell>
          <cell r="D1602" t="str">
            <v>WANLI (CH)</v>
          </cell>
          <cell r="E1602" t="str">
            <v>SP022</v>
          </cell>
          <cell r="N1602">
            <v>2793.6</v>
          </cell>
        </row>
        <row r="1603">
          <cell r="A1603" t="str">
            <v>235</v>
          </cell>
          <cell r="B1603">
            <v>50</v>
          </cell>
          <cell r="C1603">
            <v>18</v>
          </cell>
          <cell r="D1603" t="str">
            <v>WANLI (CH)</v>
          </cell>
          <cell r="E1603" t="str">
            <v>SA302</v>
          </cell>
          <cell r="N1603">
            <v>2793</v>
          </cell>
        </row>
        <row r="1604">
          <cell r="A1604" t="str">
            <v>235</v>
          </cell>
          <cell r="B1604">
            <v>55</v>
          </cell>
          <cell r="C1604">
            <v>18</v>
          </cell>
          <cell r="D1604" t="str">
            <v>WANLI (CH)</v>
          </cell>
          <cell r="E1604" t="str">
            <v>AS028</v>
          </cell>
          <cell r="N1604">
            <v>3496</v>
          </cell>
        </row>
        <row r="1605">
          <cell r="A1605" t="str">
            <v>255</v>
          </cell>
          <cell r="B1605">
            <v>35</v>
          </cell>
          <cell r="C1605">
            <v>20</v>
          </cell>
          <cell r="D1605" t="str">
            <v>WANLI (CH)</v>
          </cell>
          <cell r="E1605" t="str">
            <v>SA302</v>
          </cell>
          <cell r="N1605">
            <v>3540.5</v>
          </cell>
        </row>
        <row r="1606">
          <cell r="A1606" t="str">
            <v>255</v>
          </cell>
          <cell r="B1606">
            <v>40</v>
          </cell>
          <cell r="C1606">
            <v>20</v>
          </cell>
          <cell r="D1606" t="str">
            <v>WANLI (CH)</v>
          </cell>
          <cell r="E1606" t="str">
            <v>SP601</v>
          </cell>
          <cell r="N1606">
            <v>3610</v>
          </cell>
        </row>
        <row r="1607">
          <cell r="A1607" t="str">
            <v>255</v>
          </cell>
          <cell r="B1607">
            <v>45</v>
          </cell>
          <cell r="C1607">
            <v>20</v>
          </cell>
          <cell r="D1607" t="str">
            <v>WANLI (CH)</v>
          </cell>
          <cell r="E1607" t="str">
            <v>105XL SA302</v>
          </cell>
          <cell r="N1607">
            <v>3870.3</v>
          </cell>
        </row>
        <row r="1608">
          <cell r="A1608" t="str">
            <v>265</v>
          </cell>
          <cell r="B1608">
            <v>40</v>
          </cell>
          <cell r="C1608">
            <v>22</v>
          </cell>
          <cell r="D1608" t="str">
            <v>WANLI (CH)</v>
          </cell>
          <cell r="E1608" t="str">
            <v>106 XLV S-1087</v>
          </cell>
          <cell r="N1608">
            <v>4033.17</v>
          </cell>
        </row>
        <row r="1609">
          <cell r="A1609" t="str">
            <v>265</v>
          </cell>
          <cell r="B1609">
            <v>45</v>
          </cell>
          <cell r="C1609">
            <v>22</v>
          </cell>
          <cell r="D1609" t="str">
            <v>WANLI (CH)</v>
          </cell>
          <cell r="E1609" t="str">
            <v>S1087</v>
          </cell>
          <cell r="N1609">
            <v>4607.5</v>
          </cell>
        </row>
        <row r="1610">
          <cell r="A1610" t="str">
            <v>175</v>
          </cell>
          <cell r="C1610">
            <v>13</v>
          </cell>
          <cell r="D1610" t="str">
            <v>WESTLAKE</v>
          </cell>
          <cell r="E1610" t="str">
            <v>SL305</v>
          </cell>
          <cell r="N1610">
            <v>2213</v>
          </cell>
        </row>
        <row r="1611">
          <cell r="A1611" t="str">
            <v>165</v>
          </cell>
          <cell r="B1611">
            <v>65</v>
          </cell>
          <cell r="C1611">
            <v>13</v>
          </cell>
          <cell r="D1611" t="str">
            <v>WESTLAKE</v>
          </cell>
          <cell r="E1611" t="str">
            <v>RP26</v>
          </cell>
          <cell r="N1611">
            <v>1700</v>
          </cell>
        </row>
        <row r="1612">
          <cell r="A1612" t="str">
            <v>165</v>
          </cell>
          <cell r="B1612">
            <v>65</v>
          </cell>
          <cell r="C1612">
            <v>14</v>
          </cell>
          <cell r="D1612" t="str">
            <v>WESTLAKE</v>
          </cell>
          <cell r="E1612" t="str">
            <v>RP28</v>
          </cell>
          <cell r="N1612">
            <v>1750</v>
          </cell>
        </row>
        <row r="1613">
          <cell r="A1613" t="str">
            <v>195</v>
          </cell>
          <cell r="C1613" t="str">
            <v>14C</v>
          </cell>
          <cell r="D1613" t="str">
            <v>WESTLAKE</v>
          </cell>
          <cell r="E1613" t="str">
            <v>H170</v>
          </cell>
          <cell r="N1613">
            <v>2529.2600000000002</v>
          </cell>
        </row>
        <row r="1614">
          <cell r="A1614" t="str">
            <v>195</v>
          </cell>
          <cell r="B1614">
            <v>55</v>
          </cell>
          <cell r="C1614">
            <v>15</v>
          </cell>
          <cell r="D1614" t="str">
            <v>WESTLAKE</v>
          </cell>
          <cell r="E1614" t="str">
            <v>RP36</v>
          </cell>
          <cell r="N1614">
            <v>1929.09</v>
          </cell>
        </row>
        <row r="1615">
          <cell r="A1615" t="str">
            <v>235</v>
          </cell>
          <cell r="B1615">
            <v>70</v>
          </cell>
          <cell r="C1615">
            <v>15</v>
          </cell>
          <cell r="D1615" t="str">
            <v>WESTLAKE</v>
          </cell>
          <cell r="E1615" t="str">
            <v>SU318</v>
          </cell>
          <cell r="N1615">
            <v>3631</v>
          </cell>
        </row>
        <row r="1616">
          <cell r="A1616" t="str">
            <v>215</v>
          </cell>
          <cell r="B1616">
            <v>75</v>
          </cell>
          <cell r="C1616">
            <v>15</v>
          </cell>
          <cell r="D1616" t="str">
            <v>WESTLAKE</v>
          </cell>
          <cell r="E1616" t="str">
            <v>SL369 AT</v>
          </cell>
          <cell r="N1616">
            <v>4085</v>
          </cell>
        </row>
        <row r="1617">
          <cell r="A1617" t="str">
            <v>235</v>
          </cell>
          <cell r="B1617">
            <v>75</v>
          </cell>
          <cell r="C1617">
            <v>15</v>
          </cell>
          <cell r="D1617" t="str">
            <v>WESTLAKE</v>
          </cell>
          <cell r="E1617" t="str">
            <v>SL369 AT</v>
          </cell>
          <cell r="N1617">
            <v>4201.1400000000003</v>
          </cell>
        </row>
        <row r="1618">
          <cell r="A1618" t="str">
            <v>205</v>
          </cell>
          <cell r="B1618">
            <v>55</v>
          </cell>
          <cell r="C1618">
            <v>16</v>
          </cell>
          <cell r="D1618" t="str">
            <v>WESTLAKE</v>
          </cell>
          <cell r="E1618" t="str">
            <v>SA57</v>
          </cell>
          <cell r="N1618">
            <v>3115</v>
          </cell>
        </row>
        <row r="1619">
          <cell r="A1619" t="str">
            <v>215</v>
          </cell>
          <cell r="B1619">
            <v>70</v>
          </cell>
          <cell r="C1619">
            <v>16</v>
          </cell>
          <cell r="D1619" t="str">
            <v>WESTLAKE</v>
          </cell>
          <cell r="E1619" t="str">
            <v>SU318</v>
          </cell>
          <cell r="N1619">
            <v>2743.6</v>
          </cell>
        </row>
        <row r="1620">
          <cell r="A1620" t="str">
            <v>195</v>
          </cell>
          <cell r="B1620">
            <v>75</v>
          </cell>
          <cell r="C1620">
            <v>16</v>
          </cell>
          <cell r="D1620" t="str">
            <v>WESTLAKE</v>
          </cell>
          <cell r="E1620" t="str">
            <v>SC328</v>
          </cell>
          <cell r="N1620">
            <v>3827</v>
          </cell>
        </row>
        <row r="1621">
          <cell r="A1621" t="str">
            <v>205</v>
          </cell>
          <cell r="B1621">
            <v>75</v>
          </cell>
          <cell r="C1621">
            <v>16</v>
          </cell>
          <cell r="D1621" t="str">
            <v>WESTLAKE</v>
          </cell>
          <cell r="E1621" t="str">
            <v>SC328</v>
          </cell>
          <cell r="N1621">
            <v>4272</v>
          </cell>
        </row>
        <row r="1622">
          <cell r="A1622" t="str">
            <v>195</v>
          </cell>
          <cell r="B1622">
            <v>85</v>
          </cell>
          <cell r="C1622">
            <v>16</v>
          </cell>
          <cell r="D1622" t="str">
            <v>WESTLAKE</v>
          </cell>
          <cell r="E1622" t="str">
            <v>ST313</v>
          </cell>
          <cell r="N1622">
            <v>5340</v>
          </cell>
        </row>
        <row r="1623">
          <cell r="A1623" t="str">
            <v>205</v>
          </cell>
          <cell r="B1623">
            <v>85</v>
          </cell>
          <cell r="C1623">
            <v>16</v>
          </cell>
          <cell r="D1623" t="str">
            <v>WESTLAKE</v>
          </cell>
          <cell r="E1623" t="str">
            <v>ST313 12PR</v>
          </cell>
          <cell r="N1623">
            <v>5607</v>
          </cell>
        </row>
        <row r="1624">
          <cell r="A1624" t="str">
            <v>215</v>
          </cell>
          <cell r="B1624">
            <v>55</v>
          </cell>
          <cell r="C1624">
            <v>17</v>
          </cell>
          <cell r="D1624" t="str">
            <v>WESTLAKE</v>
          </cell>
          <cell r="E1624" t="str">
            <v>SA37</v>
          </cell>
          <cell r="N1624">
            <v>3516</v>
          </cell>
        </row>
        <row r="1625">
          <cell r="A1625" t="str">
            <v>225</v>
          </cell>
          <cell r="B1625">
            <v>60</v>
          </cell>
          <cell r="C1625">
            <v>17</v>
          </cell>
          <cell r="D1625" t="str">
            <v>WESTLAKE</v>
          </cell>
          <cell r="N1625">
            <v>4000</v>
          </cell>
        </row>
        <row r="1626">
          <cell r="A1626">
            <v>225</v>
          </cell>
          <cell r="B1626">
            <v>65</v>
          </cell>
          <cell r="C1626">
            <v>17</v>
          </cell>
          <cell r="D1626" t="str">
            <v>WESTLAKE</v>
          </cell>
          <cell r="E1626" t="str">
            <v>SU318</v>
          </cell>
          <cell r="N1626">
            <v>3429.5</v>
          </cell>
        </row>
        <row r="1627">
          <cell r="A1627" t="str">
            <v>235</v>
          </cell>
          <cell r="B1627">
            <v>65</v>
          </cell>
          <cell r="C1627">
            <v>17</v>
          </cell>
          <cell r="D1627" t="str">
            <v>WESTLAKE</v>
          </cell>
          <cell r="E1627" t="str">
            <v>SU318</v>
          </cell>
          <cell r="N1627">
            <v>4050</v>
          </cell>
        </row>
        <row r="1628">
          <cell r="A1628">
            <v>265</v>
          </cell>
          <cell r="B1628">
            <v>50</v>
          </cell>
          <cell r="C1628">
            <v>20</v>
          </cell>
          <cell r="D1628" t="str">
            <v>WINRUN</v>
          </cell>
          <cell r="E1628" t="str">
            <v>KF997</v>
          </cell>
          <cell r="N1628">
            <v>5000</v>
          </cell>
        </row>
        <row r="1629">
          <cell r="A1629">
            <v>165</v>
          </cell>
          <cell r="B1629">
            <v>65</v>
          </cell>
          <cell r="C1629">
            <v>13</v>
          </cell>
          <cell r="D1629" t="str">
            <v>YOKOHAMA (PH)</v>
          </cell>
          <cell r="E1629" t="str">
            <v xml:space="preserve">AEO1 </v>
          </cell>
          <cell r="N1629">
            <v>2099.1999999999998</v>
          </cell>
        </row>
        <row r="1630">
          <cell r="A1630">
            <v>185</v>
          </cell>
          <cell r="B1630">
            <v>70</v>
          </cell>
          <cell r="C1630">
            <v>13</v>
          </cell>
          <cell r="D1630" t="str">
            <v>YOKOHAMA</v>
          </cell>
          <cell r="E1630" t="str">
            <v>AE01</v>
          </cell>
          <cell r="N1630">
            <v>2393.6</v>
          </cell>
        </row>
        <row r="1631">
          <cell r="A1631" t="str">
            <v>165</v>
          </cell>
          <cell r="B1631">
            <v>80</v>
          </cell>
          <cell r="C1631">
            <v>13</v>
          </cell>
          <cell r="D1631" t="str">
            <v>YOKOHAMA</v>
          </cell>
          <cell r="E1631" t="str">
            <v>S760</v>
          </cell>
          <cell r="N1631">
            <v>2124.8000000000002</v>
          </cell>
        </row>
        <row r="1632">
          <cell r="A1632" t="str">
            <v>185</v>
          </cell>
          <cell r="B1632">
            <v>60</v>
          </cell>
          <cell r="C1632">
            <v>14</v>
          </cell>
          <cell r="D1632" t="str">
            <v>YOKOHAMA</v>
          </cell>
          <cell r="E1632" t="str">
            <v>A.DRIVE</v>
          </cell>
          <cell r="N1632">
            <v>2720</v>
          </cell>
        </row>
        <row r="1633">
          <cell r="A1633" t="str">
            <v>185</v>
          </cell>
          <cell r="B1633">
            <v>60</v>
          </cell>
          <cell r="C1633">
            <v>14</v>
          </cell>
          <cell r="D1633" t="str">
            <v>YOKOHAMA</v>
          </cell>
          <cell r="E1633" t="str">
            <v>AE01</v>
          </cell>
          <cell r="N1633">
            <v>2726.4</v>
          </cell>
        </row>
        <row r="1634">
          <cell r="A1634" t="str">
            <v>195</v>
          </cell>
          <cell r="B1634">
            <v>60</v>
          </cell>
          <cell r="C1634">
            <v>14</v>
          </cell>
          <cell r="D1634" t="str">
            <v>YOKOHAMA</v>
          </cell>
          <cell r="E1634" t="str">
            <v>A.DRIVE</v>
          </cell>
          <cell r="N1634">
            <v>3337.5</v>
          </cell>
        </row>
        <row r="1635">
          <cell r="A1635" t="str">
            <v>195</v>
          </cell>
          <cell r="B1635">
            <v>60</v>
          </cell>
          <cell r="C1635">
            <v>14</v>
          </cell>
          <cell r="D1635" t="str">
            <v>YOKOHAMA</v>
          </cell>
          <cell r="E1635" t="str">
            <v>AE01</v>
          </cell>
          <cell r="N1635">
            <v>3338</v>
          </cell>
        </row>
        <row r="1636">
          <cell r="A1636" t="str">
            <v>175</v>
          </cell>
          <cell r="B1636">
            <v>65</v>
          </cell>
          <cell r="C1636">
            <v>14</v>
          </cell>
          <cell r="D1636" t="str">
            <v>YOKOHAMA</v>
          </cell>
          <cell r="E1636" t="str">
            <v>ES32</v>
          </cell>
          <cell r="N1636">
            <v>2963.6</v>
          </cell>
        </row>
        <row r="1637">
          <cell r="A1637">
            <v>185</v>
          </cell>
          <cell r="B1637">
            <v>65</v>
          </cell>
          <cell r="C1637">
            <v>14</v>
          </cell>
          <cell r="D1637" t="str">
            <v>YOKOHAMA</v>
          </cell>
          <cell r="E1637" t="str">
            <v>A.DRIVE</v>
          </cell>
          <cell r="N1637">
            <v>3011</v>
          </cell>
        </row>
        <row r="1638">
          <cell r="A1638">
            <v>185</v>
          </cell>
          <cell r="B1638">
            <v>65</v>
          </cell>
          <cell r="C1638">
            <v>14</v>
          </cell>
          <cell r="D1638" t="str">
            <v>YOKOHAMA</v>
          </cell>
          <cell r="E1638" t="str">
            <v>AE01</v>
          </cell>
          <cell r="N1638">
            <v>2681.6</v>
          </cell>
        </row>
        <row r="1639">
          <cell r="A1639">
            <v>185</v>
          </cell>
          <cell r="B1639">
            <v>65</v>
          </cell>
          <cell r="C1639">
            <v>14</v>
          </cell>
          <cell r="D1639" t="str">
            <v>YOKOHAMA (PH)</v>
          </cell>
          <cell r="E1639" t="str">
            <v>ES32</v>
          </cell>
          <cell r="N1639">
            <v>3059.2</v>
          </cell>
        </row>
        <row r="1640">
          <cell r="A1640" t="str">
            <v>195</v>
          </cell>
          <cell r="B1640">
            <v>65</v>
          </cell>
          <cell r="C1640">
            <v>14</v>
          </cell>
          <cell r="D1640" t="str">
            <v>YOKOHAMA</v>
          </cell>
          <cell r="E1640" t="str">
            <v>AE01</v>
          </cell>
          <cell r="N1640">
            <v>2892.8</v>
          </cell>
        </row>
        <row r="1641">
          <cell r="A1641" t="str">
            <v>175</v>
          </cell>
          <cell r="B1641">
            <v>70</v>
          </cell>
          <cell r="C1641">
            <v>14</v>
          </cell>
          <cell r="D1641" t="str">
            <v>YOKOHAMA</v>
          </cell>
          <cell r="E1641" t="str">
            <v>ES32</v>
          </cell>
          <cell r="N1641">
            <v>3520.8</v>
          </cell>
        </row>
        <row r="1642">
          <cell r="A1642" t="str">
            <v>185</v>
          </cell>
          <cell r="B1642">
            <v>70</v>
          </cell>
          <cell r="C1642">
            <v>14</v>
          </cell>
          <cell r="D1642" t="str">
            <v>YOKOHAMA</v>
          </cell>
          <cell r="E1642" t="str">
            <v>AE-01</v>
          </cell>
          <cell r="N1642">
            <v>2547</v>
          </cell>
        </row>
        <row r="1643">
          <cell r="A1643">
            <v>185</v>
          </cell>
          <cell r="B1643">
            <v>70</v>
          </cell>
          <cell r="C1643">
            <v>14</v>
          </cell>
          <cell r="D1643" t="str">
            <v>YOKOHAMA (PH)</v>
          </cell>
          <cell r="E1643" t="str">
            <v>ES32</v>
          </cell>
          <cell r="N1643">
            <v>3267.4</v>
          </cell>
        </row>
        <row r="1644">
          <cell r="A1644">
            <v>195</v>
          </cell>
          <cell r="B1644">
            <v>70</v>
          </cell>
          <cell r="C1644">
            <v>14</v>
          </cell>
          <cell r="D1644" t="str">
            <v>YOKOHAMA (PH)</v>
          </cell>
          <cell r="E1644" t="str">
            <v>ES32</v>
          </cell>
          <cell r="N1644">
            <v>3366.6</v>
          </cell>
        </row>
        <row r="1645">
          <cell r="A1645">
            <v>185</v>
          </cell>
          <cell r="B1645" t="str">
            <v xml:space="preserve">   </v>
          </cell>
          <cell r="C1645" t="str">
            <v>14C</v>
          </cell>
          <cell r="D1645" t="str">
            <v>YOKOHAMA (JP)</v>
          </cell>
          <cell r="E1645" t="str">
            <v>8PR Y356</v>
          </cell>
          <cell r="N1645">
            <v>3955.6</v>
          </cell>
        </row>
        <row r="1646">
          <cell r="A1646">
            <v>185</v>
          </cell>
          <cell r="B1646" t="str">
            <v xml:space="preserve">   </v>
          </cell>
          <cell r="C1646" t="str">
            <v>14C</v>
          </cell>
          <cell r="D1646" t="str">
            <v>YOKOHAMA (JP)</v>
          </cell>
          <cell r="E1646" t="str">
            <v>8PR Y356</v>
          </cell>
          <cell r="N1646">
            <v>3910</v>
          </cell>
        </row>
        <row r="1647">
          <cell r="A1647">
            <v>195</v>
          </cell>
          <cell r="C1647" t="str">
            <v>14C</v>
          </cell>
          <cell r="D1647" t="str">
            <v>YOKOHAMA (TH)</v>
          </cell>
          <cell r="E1647" t="str">
            <v>8PR Y356</v>
          </cell>
          <cell r="N1647">
            <v>4042.4</v>
          </cell>
        </row>
        <row r="1648">
          <cell r="A1648" t="str">
            <v>195</v>
          </cell>
          <cell r="B1648">
            <v>50</v>
          </cell>
          <cell r="C1648">
            <v>15</v>
          </cell>
          <cell r="D1648" t="str">
            <v>YOKOHAMA</v>
          </cell>
          <cell r="E1648" t="str">
            <v>ES32</v>
          </cell>
          <cell r="N1648">
            <v>3276.8</v>
          </cell>
        </row>
        <row r="1649">
          <cell r="A1649" t="str">
            <v>175</v>
          </cell>
          <cell r="B1649">
            <v>55</v>
          </cell>
          <cell r="C1649">
            <v>15</v>
          </cell>
          <cell r="D1649" t="str">
            <v>YOKOHAMA</v>
          </cell>
          <cell r="E1649" t="str">
            <v>ES32</v>
          </cell>
          <cell r="N1649">
            <v>3059.2</v>
          </cell>
        </row>
        <row r="1650">
          <cell r="A1650" t="str">
            <v>175</v>
          </cell>
          <cell r="B1650">
            <v>65</v>
          </cell>
          <cell r="C1650">
            <v>15</v>
          </cell>
          <cell r="D1650" t="str">
            <v>YOKOHAMA</v>
          </cell>
          <cell r="E1650" t="str">
            <v>ES32</v>
          </cell>
          <cell r="N1650">
            <v>2737.8</v>
          </cell>
        </row>
        <row r="1651">
          <cell r="A1651">
            <v>185</v>
          </cell>
          <cell r="B1651">
            <v>55</v>
          </cell>
          <cell r="C1651">
            <v>15</v>
          </cell>
          <cell r="D1651" t="str">
            <v>YOKOHAMA (PH)</v>
          </cell>
          <cell r="E1651" t="str">
            <v>ES32</v>
          </cell>
          <cell r="N1651">
            <v>3292.2</v>
          </cell>
        </row>
        <row r="1652">
          <cell r="A1652" t="str">
            <v>195</v>
          </cell>
          <cell r="B1652">
            <v>55</v>
          </cell>
          <cell r="C1652">
            <v>15</v>
          </cell>
          <cell r="D1652" t="str">
            <v>YOKOHAMA</v>
          </cell>
          <cell r="E1652" t="str">
            <v>ADVAN FLEVA V701</v>
          </cell>
          <cell r="N1652">
            <v>3569.4</v>
          </cell>
        </row>
        <row r="1653">
          <cell r="A1653" t="str">
            <v>195</v>
          </cell>
          <cell r="B1653">
            <v>55</v>
          </cell>
          <cell r="C1653">
            <v>15</v>
          </cell>
          <cell r="D1653" t="str">
            <v>YOKOHAMA (PH)</v>
          </cell>
          <cell r="E1653" t="str">
            <v>ES32</v>
          </cell>
          <cell r="N1653">
            <v>3608.4</v>
          </cell>
        </row>
        <row r="1654">
          <cell r="A1654">
            <v>185</v>
          </cell>
          <cell r="B1654">
            <v>60</v>
          </cell>
          <cell r="C1654">
            <v>15</v>
          </cell>
          <cell r="D1654" t="str">
            <v>YOKOHAMA (PH)</v>
          </cell>
          <cell r="E1654" t="str">
            <v>ES32</v>
          </cell>
          <cell r="N1654">
            <v>3354.2</v>
          </cell>
        </row>
        <row r="1655">
          <cell r="A1655" t="str">
            <v>185</v>
          </cell>
          <cell r="B1655">
            <v>60</v>
          </cell>
          <cell r="C1655">
            <v>15</v>
          </cell>
          <cell r="D1655" t="str">
            <v xml:space="preserve">YOKOHAMA </v>
          </cell>
          <cell r="E1655" t="str">
            <v>E70B</v>
          </cell>
          <cell r="N1655">
            <v>4056</v>
          </cell>
        </row>
        <row r="1656">
          <cell r="A1656" t="str">
            <v>185</v>
          </cell>
          <cell r="B1656">
            <v>65</v>
          </cell>
          <cell r="C1656">
            <v>15</v>
          </cell>
          <cell r="D1656" t="str">
            <v>YOKOHAMA (PH)</v>
          </cell>
          <cell r="E1656" t="str">
            <v>ES32</v>
          </cell>
          <cell r="N1656">
            <v>3276.8</v>
          </cell>
        </row>
        <row r="1657">
          <cell r="A1657" t="str">
            <v>185</v>
          </cell>
          <cell r="B1657">
            <v>65</v>
          </cell>
          <cell r="C1657">
            <v>15</v>
          </cell>
          <cell r="D1657" t="str">
            <v>YOKOHAMA (PH)</v>
          </cell>
          <cell r="E1657" t="str">
            <v>AE01</v>
          </cell>
          <cell r="N1657">
            <v>3421.03</v>
          </cell>
        </row>
        <row r="1658">
          <cell r="A1658">
            <v>195</v>
          </cell>
          <cell r="B1658">
            <v>60</v>
          </cell>
          <cell r="C1658">
            <v>15</v>
          </cell>
          <cell r="D1658" t="str">
            <v>YOKOHAMA (PH)</v>
          </cell>
          <cell r="E1658" t="str">
            <v>ES32</v>
          </cell>
          <cell r="N1658">
            <v>3503</v>
          </cell>
        </row>
        <row r="1659">
          <cell r="A1659" t="str">
            <v>205</v>
          </cell>
          <cell r="B1659">
            <v>60</v>
          </cell>
          <cell r="C1659">
            <v>15</v>
          </cell>
          <cell r="D1659" t="str">
            <v>YOKOHAMA</v>
          </cell>
          <cell r="E1659" t="str">
            <v>S306</v>
          </cell>
          <cell r="N1659">
            <v>3360</v>
          </cell>
        </row>
        <row r="1660">
          <cell r="A1660">
            <v>215</v>
          </cell>
          <cell r="B1660">
            <v>60</v>
          </cell>
          <cell r="C1660">
            <v>15</v>
          </cell>
          <cell r="D1660" t="str">
            <v>YOKOHAMA</v>
          </cell>
          <cell r="E1660" t="str">
            <v>A.DRIVE</v>
          </cell>
          <cell r="N1660">
            <v>3366</v>
          </cell>
        </row>
        <row r="1661">
          <cell r="A1661">
            <v>195</v>
          </cell>
          <cell r="B1661">
            <v>65</v>
          </cell>
          <cell r="C1661">
            <v>15</v>
          </cell>
          <cell r="D1661" t="str">
            <v>YOKOHAMA</v>
          </cell>
          <cell r="E1661" t="str">
            <v>A300</v>
          </cell>
          <cell r="N1661">
            <v>3522.4</v>
          </cell>
        </row>
        <row r="1662">
          <cell r="A1662">
            <v>195</v>
          </cell>
          <cell r="B1662">
            <v>65</v>
          </cell>
          <cell r="C1662">
            <v>15</v>
          </cell>
          <cell r="D1662" t="str">
            <v>YOKOHAMA</v>
          </cell>
          <cell r="E1662" t="str">
            <v>A300</v>
          </cell>
          <cell r="N1662">
            <v>3289.6</v>
          </cell>
        </row>
        <row r="1663">
          <cell r="A1663">
            <v>195</v>
          </cell>
          <cell r="B1663">
            <v>65</v>
          </cell>
          <cell r="C1663">
            <v>15</v>
          </cell>
          <cell r="D1663" t="str">
            <v>YOKOHAMA (PH)</v>
          </cell>
          <cell r="E1663" t="str">
            <v>ES32</v>
          </cell>
          <cell r="N1663">
            <v>3726.2</v>
          </cell>
        </row>
        <row r="1664">
          <cell r="A1664" t="str">
            <v>205</v>
          </cell>
          <cell r="B1664">
            <v>65</v>
          </cell>
          <cell r="C1664">
            <v>15</v>
          </cell>
          <cell r="D1664" t="str">
            <v>YOKOHAMA (PH)</v>
          </cell>
          <cell r="E1664" t="str">
            <v>A300</v>
          </cell>
          <cell r="N1664">
            <v>4098.2</v>
          </cell>
        </row>
        <row r="1665">
          <cell r="A1665" t="str">
            <v>205</v>
          </cell>
          <cell r="B1665">
            <v>65</v>
          </cell>
          <cell r="C1665">
            <v>15</v>
          </cell>
          <cell r="D1665" t="str">
            <v>YOKOHAMA (PH)</v>
          </cell>
          <cell r="E1665" t="str">
            <v>ES32</v>
          </cell>
          <cell r="N1665">
            <v>3757</v>
          </cell>
        </row>
        <row r="1666">
          <cell r="A1666" t="str">
            <v>205</v>
          </cell>
          <cell r="B1666">
            <v>70</v>
          </cell>
          <cell r="C1666">
            <v>15</v>
          </cell>
          <cell r="D1666" t="str">
            <v>YOKOHAMA</v>
          </cell>
          <cell r="E1666" t="str">
            <v>RY818</v>
          </cell>
          <cell r="N1666">
            <v>5507</v>
          </cell>
        </row>
        <row r="1667">
          <cell r="A1667" t="str">
            <v>205</v>
          </cell>
          <cell r="B1667">
            <v>70</v>
          </cell>
          <cell r="C1667">
            <v>15</v>
          </cell>
          <cell r="D1667" t="str">
            <v>YOKOHAMA (PH)</v>
          </cell>
          <cell r="E1667" t="str">
            <v>G046 H/T</v>
          </cell>
          <cell r="N1667">
            <v>3961.8</v>
          </cell>
        </row>
        <row r="1668">
          <cell r="A1668" t="str">
            <v>215</v>
          </cell>
          <cell r="B1668">
            <v>70</v>
          </cell>
          <cell r="C1668">
            <v>15</v>
          </cell>
          <cell r="D1668" t="str">
            <v>YOKOHAMA</v>
          </cell>
          <cell r="E1668" t="str">
            <v>RY818</v>
          </cell>
          <cell r="N1668">
            <v>5161.2</v>
          </cell>
        </row>
        <row r="1669">
          <cell r="A1669" t="str">
            <v>225</v>
          </cell>
          <cell r="B1669">
            <v>70</v>
          </cell>
          <cell r="C1669">
            <v>15</v>
          </cell>
          <cell r="D1669" t="str">
            <v>YOKOHAMA</v>
          </cell>
          <cell r="E1669" t="str">
            <v>RY55</v>
          </cell>
          <cell r="N1669">
            <v>6919.2</v>
          </cell>
        </row>
        <row r="1670">
          <cell r="A1670">
            <v>235</v>
          </cell>
          <cell r="B1670">
            <v>70</v>
          </cell>
          <cell r="C1670">
            <v>15</v>
          </cell>
          <cell r="D1670" t="str">
            <v>YOKOHAMA (PH)</v>
          </cell>
          <cell r="E1670" t="str">
            <v>G012 A/T</v>
          </cell>
          <cell r="N1670">
            <v>6057.4</v>
          </cell>
        </row>
        <row r="1671">
          <cell r="A1671" t="str">
            <v>265</v>
          </cell>
          <cell r="B1671">
            <v>70</v>
          </cell>
          <cell r="C1671">
            <v>15</v>
          </cell>
          <cell r="D1671" t="str">
            <v>YOKOHAMA</v>
          </cell>
          <cell r="E1671" t="str">
            <v>G015 A/T</v>
          </cell>
          <cell r="N1671">
            <v>8100</v>
          </cell>
        </row>
        <row r="1672">
          <cell r="A1672" t="str">
            <v>235</v>
          </cell>
          <cell r="B1672">
            <v>75</v>
          </cell>
          <cell r="C1672">
            <v>15</v>
          </cell>
          <cell r="D1672" t="str">
            <v>YOKOHAMA (PH)</v>
          </cell>
          <cell r="E1672" t="str">
            <v>GO12 A/T</v>
          </cell>
          <cell r="N1672">
            <v>3421</v>
          </cell>
        </row>
        <row r="1673">
          <cell r="A1673" t="str">
            <v>185</v>
          </cell>
          <cell r="B1673">
            <v>55</v>
          </cell>
          <cell r="C1673">
            <v>16</v>
          </cell>
          <cell r="D1673" t="str">
            <v>YOKOHAMA (PH)</v>
          </cell>
          <cell r="E1673" t="str">
            <v>ES32</v>
          </cell>
          <cell r="N1673">
            <v>3961.8</v>
          </cell>
        </row>
        <row r="1674">
          <cell r="A1674" t="str">
            <v>195</v>
          </cell>
          <cell r="B1674">
            <v>50</v>
          </cell>
          <cell r="C1674">
            <v>16</v>
          </cell>
          <cell r="D1674" t="str">
            <v>YOKOHAMA</v>
          </cell>
          <cell r="E1674" t="str">
            <v>V701</v>
          </cell>
          <cell r="N1674">
            <v>4057.6</v>
          </cell>
        </row>
        <row r="1675">
          <cell r="A1675" t="str">
            <v>195</v>
          </cell>
          <cell r="B1675">
            <v>50</v>
          </cell>
          <cell r="C1675">
            <v>16</v>
          </cell>
          <cell r="D1675" t="str">
            <v>YOKOHAMA</v>
          </cell>
          <cell r="E1675" t="str">
            <v>ES32</v>
          </cell>
          <cell r="N1675">
            <v>4737.6000000000004</v>
          </cell>
        </row>
        <row r="1676">
          <cell r="A1676" t="str">
            <v>195</v>
          </cell>
          <cell r="B1676">
            <v>55</v>
          </cell>
          <cell r="C1676">
            <v>16</v>
          </cell>
          <cell r="D1676" t="str">
            <v>YOKOHAMA</v>
          </cell>
          <cell r="E1676" t="str">
            <v>EA51</v>
          </cell>
          <cell r="N1676">
            <v>4019.2</v>
          </cell>
        </row>
        <row r="1677">
          <cell r="A1677" t="str">
            <v>195</v>
          </cell>
          <cell r="B1677">
            <v>60</v>
          </cell>
          <cell r="C1677">
            <v>16</v>
          </cell>
          <cell r="D1677" t="str">
            <v>YOKOHAMA</v>
          </cell>
          <cell r="E1677" t="str">
            <v>ES32</v>
          </cell>
          <cell r="N1677">
            <v>4760</v>
          </cell>
        </row>
        <row r="1678">
          <cell r="A1678" t="str">
            <v>205</v>
          </cell>
          <cell r="C1678">
            <v>16</v>
          </cell>
          <cell r="D1678" t="str">
            <v>YOKOHAMA</v>
          </cell>
          <cell r="E1678" t="str">
            <v>Y82AX</v>
          </cell>
          <cell r="N1678">
            <v>5382</v>
          </cell>
        </row>
        <row r="1679">
          <cell r="A1679" t="str">
            <v>205</v>
          </cell>
          <cell r="B1679">
            <v>45</v>
          </cell>
          <cell r="C1679">
            <v>16</v>
          </cell>
          <cell r="D1679" t="str">
            <v>YOKOHAMA</v>
          </cell>
          <cell r="E1679" t="str">
            <v>ADVAN FLEVA V701</v>
          </cell>
          <cell r="N1679">
            <v>4197.04</v>
          </cell>
        </row>
        <row r="1680">
          <cell r="A1680" t="str">
            <v>205</v>
          </cell>
          <cell r="B1680">
            <v>50</v>
          </cell>
          <cell r="C1680">
            <v>16</v>
          </cell>
          <cell r="D1680" t="str">
            <v>YOKOHAMA</v>
          </cell>
          <cell r="E1680" t="str">
            <v>V701</v>
          </cell>
          <cell r="N1680">
            <v>4557</v>
          </cell>
        </row>
        <row r="1681">
          <cell r="A1681" t="str">
            <v>205</v>
          </cell>
          <cell r="B1681">
            <v>55</v>
          </cell>
          <cell r="C1681">
            <v>16</v>
          </cell>
          <cell r="D1681" t="str">
            <v>YOKOHAMA (PH)</v>
          </cell>
          <cell r="E1681" t="str">
            <v>ES32</v>
          </cell>
          <cell r="N1681">
            <v>4185</v>
          </cell>
        </row>
        <row r="1682">
          <cell r="A1682" t="str">
            <v>205</v>
          </cell>
          <cell r="B1682">
            <v>55</v>
          </cell>
          <cell r="C1682">
            <v>16</v>
          </cell>
          <cell r="D1682" t="str">
            <v>YOKOHAMA</v>
          </cell>
          <cell r="E1682" t="str">
            <v>V701 ADVAN FLEVA</v>
          </cell>
          <cell r="N1682">
            <v>4380.2</v>
          </cell>
        </row>
        <row r="1683">
          <cell r="A1683" t="str">
            <v>215</v>
          </cell>
          <cell r="B1683">
            <v>55</v>
          </cell>
          <cell r="C1683">
            <v>16</v>
          </cell>
          <cell r="D1683" t="str">
            <v>YOKOHAMA</v>
          </cell>
          <cell r="E1683" t="str">
            <v>AE51</v>
          </cell>
          <cell r="N1683">
            <v>4780.2</v>
          </cell>
        </row>
        <row r="1684">
          <cell r="A1684">
            <v>215</v>
          </cell>
          <cell r="B1684">
            <v>60</v>
          </cell>
          <cell r="C1684">
            <v>16</v>
          </cell>
          <cell r="D1684" t="str">
            <v>YOKOHAMA (PH)</v>
          </cell>
          <cell r="E1684" t="str">
            <v>AE51</v>
          </cell>
          <cell r="N1684">
            <v>5046.8</v>
          </cell>
        </row>
        <row r="1685">
          <cell r="A1685" t="str">
            <v>235</v>
          </cell>
          <cell r="B1685">
            <v>65</v>
          </cell>
          <cell r="C1685" t="str">
            <v>16C</v>
          </cell>
          <cell r="D1685" t="str">
            <v>YOKOHAMA (PH)</v>
          </cell>
          <cell r="E1685" t="str">
            <v>RY55</v>
          </cell>
          <cell r="N1685">
            <v>7782.4</v>
          </cell>
        </row>
        <row r="1686">
          <cell r="A1686" t="str">
            <v>205</v>
          </cell>
          <cell r="B1686">
            <v>65</v>
          </cell>
          <cell r="C1686">
            <v>16</v>
          </cell>
          <cell r="D1686" t="str">
            <v>YOKOHAMA (PH)</v>
          </cell>
          <cell r="E1686" t="str">
            <v>E70B BLUEARTH</v>
          </cell>
          <cell r="N1686">
            <v>4978.6000000000004</v>
          </cell>
        </row>
        <row r="1687">
          <cell r="A1687" t="str">
            <v>205</v>
          </cell>
          <cell r="B1687">
            <v>65</v>
          </cell>
          <cell r="C1687">
            <v>16</v>
          </cell>
          <cell r="D1687" t="str">
            <v>YOKOHAMA</v>
          </cell>
          <cell r="E1687" t="str">
            <v>E70B DECIBEL</v>
          </cell>
          <cell r="N1687">
            <v>4863.6000000000004</v>
          </cell>
        </row>
        <row r="1688">
          <cell r="A1688" t="str">
            <v>215</v>
          </cell>
          <cell r="B1688">
            <v>65</v>
          </cell>
          <cell r="C1688">
            <v>16</v>
          </cell>
          <cell r="D1688" t="str">
            <v>YOKOHAMA</v>
          </cell>
          <cell r="E1688" t="str">
            <v>G051 H/T</v>
          </cell>
          <cell r="N1688">
            <v>4426.8</v>
          </cell>
        </row>
        <row r="1689">
          <cell r="A1689">
            <v>215</v>
          </cell>
          <cell r="B1689">
            <v>65</v>
          </cell>
          <cell r="C1689">
            <v>16</v>
          </cell>
          <cell r="D1689" t="str">
            <v>YOKOHAMA (PH)</v>
          </cell>
          <cell r="E1689" t="str">
            <v>G055 H/T</v>
          </cell>
          <cell r="N1689">
            <v>4780.8</v>
          </cell>
        </row>
        <row r="1690">
          <cell r="A1690" t="str">
            <v>215</v>
          </cell>
          <cell r="B1690">
            <v>65</v>
          </cell>
          <cell r="C1690">
            <v>16</v>
          </cell>
          <cell r="D1690" t="str">
            <v>YOKOHAMA (TH)</v>
          </cell>
          <cell r="E1690" t="str">
            <v>G058 H/T</v>
          </cell>
          <cell r="N1690">
            <v>5840.4</v>
          </cell>
        </row>
        <row r="1691">
          <cell r="A1691" t="str">
            <v>215</v>
          </cell>
          <cell r="B1691">
            <v>70</v>
          </cell>
          <cell r="C1691">
            <v>16</v>
          </cell>
          <cell r="D1691" t="str">
            <v>YOKOHAMA (TH)</v>
          </cell>
          <cell r="E1691" t="str">
            <v>G058 H/T</v>
          </cell>
          <cell r="N1691">
            <v>5282.4</v>
          </cell>
        </row>
        <row r="1692">
          <cell r="A1692">
            <v>225</v>
          </cell>
          <cell r="B1692">
            <v>70</v>
          </cell>
          <cell r="C1692">
            <v>16</v>
          </cell>
          <cell r="D1692" t="str">
            <v>YOKOHAMA (TH)</v>
          </cell>
          <cell r="E1692" t="str">
            <v>G055 H/T</v>
          </cell>
          <cell r="N1692">
            <v>4710.3999999999996</v>
          </cell>
        </row>
        <row r="1693">
          <cell r="A1693" t="str">
            <v>225</v>
          </cell>
          <cell r="B1693">
            <v>70</v>
          </cell>
          <cell r="C1693">
            <v>16</v>
          </cell>
          <cell r="D1693" t="str">
            <v>YOKOHAMA</v>
          </cell>
          <cell r="E1693" t="str">
            <v>GO58</v>
          </cell>
          <cell r="N1693">
            <v>5607.17</v>
          </cell>
        </row>
        <row r="1694">
          <cell r="A1694" t="str">
            <v>235</v>
          </cell>
          <cell r="B1694">
            <v>70</v>
          </cell>
          <cell r="C1694">
            <v>16</v>
          </cell>
          <cell r="D1694" t="str">
            <v>YOKOHAMA</v>
          </cell>
          <cell r="E1694" t="str">
            <v>G051 H/T</v>
          </cell>
          <cell r="N1694">
            <v>5866</v>
          </cell>
        </row>
        <row r="1695">
          <cell r="A1695" t="str">
            <v>235</v>
          </cell>
          <cell r="B1695">
            <v>70</v>
          </cell>
          <cell r="C1695">
            <v>16</v>
          </cell>
          <cell r="D1695" t="str">
            <v>YOKOHAMA</v>
          </cell>
          <cell r="E1695" t="str">
            <v>G058</v>
          </cell>
          <cell r="N1695">
            <v>5638.6</v>
          </cell>
        </row>
        <row r="1696">
          <cell r="A1696" t="str">
            <v>245</v>
          </cell>
          <cell r="B1696">
            <v>70</v>
          </cell>
          <cell r="C1696">
            <v>16</v>
          </cell>
          <cell r="D1696" t="str">
            <v>YOKOHAMA</v>
          </cell>
          <cell r="E1696" t="str">
            <v>G051 H/T</v>
          </cell>
          <cell r="N1696">
            <v>4969.8</v>
          </cell>
        </row>
        <row r="1697">
          <cell r="A1697" t="str">
            <v>245</v>
          </cell>
          <cell r="B1697">
            <v>70</v>
          </cell>
          <cell r="C1697">
            <v>16</v>
          </cell>
          <cell r="D1697" t="str">
            <v>YOKOHAMA</v>
          </cell>
          <cell r="E1697" t="str">
            <v>G056 H/T</v>
          </cell>
          <cell r="N1697">
            <v>6324</v>
          </cell>
        </row>
        <row r="1698">
          <cell r="A1698" t="str">
            <v>255</v>
          </cell>
          <cell r="B1698">
            <v>70</v>
          </cell>
          <cell r="C1698">
            <v>16</v>
          </cell>
          <cell r="D1698" t="str">
            <v>YOKOHAMA</v>
          </cell>
          <cell r="E1698" t="str">
            <v>G056 H/T</v>
          </cell>
          <cell r="N1698">
            <v>6646.4</v>
          </cell>
        </row>
        <row r="1699">
          <cell r="A1699">
            <v>265</v>
          </cell>
          <cell r="B1699">
            <v>70</v>
          </cell>
          <cell r="C1699">
            <v>16</v>
          </cell>
          <cell r="D1699" t="str">
            <v>YOKOHAMA</v>
          </cell>
          <cell r="E1699" t="str">
            <v>G051 H/T</v>
          </cell>
          <cell r="N1699">
            <v>6691.2</v>
          </cell>
        </row>
        <row r="1700">
          <cell r="A1700" t="str">
            <v>265</v>
          </cell>
          <cell r="B1700">
            <v>70</v>
          </cell>
          <cell r="C1700">
            <v>16</v>
          </cell>
          <cell r="D1700" t="str">
            <v>YOKOHAMA</v>
          </cell>
          <cell r="E1700" t="str">
            <v>GO15 A/T</v>
          </cell>
          <cell r="N1700">
            <v>6662.4</v>
          </cell>
        </row>
        <row r="1701">
          <cell r="A1701">
            <v>265</v>
          </cell>
          <cell r="B1701">
            <v>70</v>
          </cell>
          <cell r="C1701">
            <v>16</v>
          </cell>
          <cell r="D1701" t="str">
            <v>YOKOHAMA (TH)</v>
          </cell>
          <cell r="E1701" t="str">
            <v>G056 H/T</v>
          </cell>
          <cell r="N1701">
            <v>6727</v>
          </cell>
        </row>
        <row r="1702">
          <cell r="A1702" t="str">
            <v>275</v>
          </cell>
          <cell r="B1702">
            <v>70</v>
          </cell>
          <cell r="C1702">
            <v>16</v>
          </cell>
          <cell r="D1702" t="str">
            <v>YOKOHAMA</v>
          </cell>
          <cell r="E1702" t="str">
            <v>G051 H/T</v>
          </cell>
          <cell r="N1702">
            <v>4050.82</v>
          </cell>
        </row>
        <row r="1703">
          <cell r="A1703" t="str">
            <v>205</v>
          </cell>
          <cell r="B1703">
            <v>40</v>
          </cell>
          <cell r="C1703">
            <v>17</v>
          </cell>
          <cell r="D1703" t="str">
            <v>YOKOHAMA</v>
          </cell>
          <cell r="E1703" t="str">
            <v>ADRIVE</v>
          </cell>
          <cell r="N1703">
            <v>3392</v>
          </cell>
        </row>
        <row r="1704">
          <cell r="A1704" t="str">
            <v>215</v>
          </cell>
          <cell r="B1704">
            <v>45</v>
          </cell>
          <cell r="C1704">
            <v>17</v>
          </cell>
          <cell r="D1704" t="str">
            <v>YOKOHAMA</v>
          </cell>
          <cell r="E1704" t="str">
            <v>A.DRIVE</v>
          </cell>
          <cell r="N1704">
            <v>4818</v>
          </cell>
        </row>
        <row r="1705">
          <cell r="A1705" t="str">
            <v>205</v>
          </cell>
          <cell r="B1705">
            <v>45</v>
          </cell>
          <cell r="C1705">
            <v>17</v>
          </cell>
          <cell r="D1705" t="str">
            <v>YOKOHAMA</v>
          </cell>
          <cell r="E1705" t="str">
            <v>V701</v>
          </cell>
          <cell r="N1705">
            <v>4838.3999999999996</v>
          </cell>
        </row>
        <row r="1706">
          <cell r="A1706" t="str">
            <v>215</v>
          </cell>
          <cell r="B1706">
            <v>45</v>
          </cell>
          <cell r="C1706">
            <v>17</v>
          </cell>
          <cell r="D1706" t="str">
            <v>YOKOHAMA</v>
          </cell>
          <cell r="E1706" t="str">
            <v>V701</v>
          </cell>
          <cell r="N1706">
            <v>4584.83</v>
          </cell>
        </row>
        <row r="1707">
          <cell r="A1707" t="str">
            <v>205</v>
          </cell>
          <cell r="B1707">
            <v>50</v>
          </cell>
          <cell r="C1707">
            <v>17</v>
          </cell>
          <cell r="D1707" t="str">
            <v>YOKOHAMA</v>
          </cell>
          <cell r="E1707" t="str">
            <v>AE51</v>
          </cell>
          <cell r="N1707">
            <v>5594.4</v>
          </cell>
        </row>
        <row r="1708">
          <cell r="A1708" t="str">
            <v>215</v>
          </cell>
          <cell r="B1708">
            <v>50</v>
          </cell>
          <cell r="C1708">
            <v>17</v>
          </cell>
          <cell r="D1708" t="str">
            <v>YOKOHAMA</v>
          </cell>
          <cell r="E1708" t="str">
            <v>AE51</v>
          </cell>
          <cell r="N1708">
            <v>5062.3999999999996</v>
          </cell>
        </row>
        <row r="1709">
          <cell r="A1709" t="str">
            <v>215</v>
          </cell>
          <cell r="B1709">
            <v>50</v>
          </cell>
          <cell r="C1709">
            <v>17</v>
          </cell>
          <cell r="D1709" t="str">
            <v>YOKOHAMA</v>
          </cell>
          <cell r="E1709" t="str">
            <v>V551</v>
          </cell>
          <cell r="N1709">
            <v>6348</v>
          </cell>
        </row>
        <row r="1710">
          <cell r="A1710" t="str">
            <v>225</v>
          </cell>
          <cell r="B1710">
            <v>50</v>
          </cell>
          <cell r="C1710">
            <v>17</v>
          </cell>
          <cell r="D1710" t="str">
            <v>YOKOHAMA</v>
          </cell>
          <cell r="E1710" t="str">
            <v>AE51</v>
          </cell>
          <cell r="N1710">
            <v>4472.6000000000004</v>
          </cell>
        </row>
        <row r="1711">
          <cell r="A1711" t="str">
            <v>215</v>
          </cell>
          <cell r="B1711">
            <v>55</v>
          </cell>
          <cell r="C1711">
            <v>17</v>
          </cell>
          <cell r="D1711" t="str">
            <v>YOKOHAMA</v>
          </cell>
          <cell r="E1711" t="str">
            <v>V552</v>
          </cell>
          <cell r="N1711">
            <v>8064</v>
          </cell>
        </row>
        <row r="1712">
          <cell r="A1712" t="str">
            <v>215</v>
          </cell>
          <cell r="B1712">
            <v>55</v>
          </cell>
          <cell r="C1712">
            <v>17</v>
          </cell>
          <cell r="D1712" t="str">
            <v>YOKOHAMA</v>
          </cell>
          <cell r="E1712" t="str">
            <v>E70B</v>
          </cell>
          <cell r="N1712">
            <v>7066</v>
          </cell>
        </row>
        <row r="1713">
          <cell r="A1713" t="str">
            <v>215</v>
          </cell>
          <cell r="B1713">
            <v>55</v>
          </cell>
          <cell r="C1713">
            <v>17</v>
          </cell>
          <cell r="D1713" t="str">
            <v>YOKOHAMA</v>
          </cell>
          <cell r="E1713" t="str">
            <v>AE51</v>
          </cell>
          <cell r="N1713">
            <v>5242.8</v>
          </cell>
        </row>
        <row r="1714">
          <cell r="A1714" t="str">
            <v>215</v>
          </cell>
          <cell r="B1714">
            <v>60</v>
          </cell>
          <cell r="C1714">
            <v>17</v>
          </cell>
          <cell r="D1714" t="str">
            <v>YOKOHAMA</v>
          </cell>
          <cell r="E1714" t="str">
            <v>GO58</v>
          </cell>
          <cell r="N1714">
            <v>5488</v>
          </cell>
        </row>
        <row r="1715">
          <cell r="A1715" t="str">
            <v>215</v>
          </cell>
          <cell r="B1715">
            <v>60</v>
          </cell>
          <cell r="C1715">
            <v>17</v>
          </cell>
          <cell r="D1715" t="str">
            <v>YOKOHAMA</v>
          </cell>
          <cell r="E1715" t="str">
            <v>A349</v>
          </cell>
          <cell r="N1715">
            <v>6999.8</v>
          </cell>
        </row>
        <row r="1716">
          <cell r="A1716" t="str">
            <v>225</v>
          </cell>
          <cell r="B1716">
            <v>60</v>
          </cell>
          <cell r="C1716">
            <v>17</v>
          </cell>
          <cell r="D1716" t="str">
            <v>YOKOHAMA</v>
          </cell>
          <cell r="E1716" t="str">
            <v>GO91</v>
          </cell>
          <cell r="N1716">
            <v>7898.8</v>
          </cell>
        </row>
        <row r="1717">
          <cell r="A1717" t="str">
            <v>225</v>
          </cell>
          <cell r="B1717">
            <v>60</v>
          </cell>
          <cell r="C1717">
            <v>17</v>
          </cell>
          <cell r="D1717" t="str">
            <v xml:space="preserve">YOKOHAMA </v>
          </cell>
          <cell r="E1717" t="str">
            <v xml:space="preserve">G058 </v>
          </cell>
          <cell r="N1717">
            <v>6807.6</v>
          </cell>
        </row>
        <row r="1718">
          <cell r="A1718" t="str">
            <v>235</v>
          </cell>
          <cell r="B1718">
            <v>60</v>
          </cell>
          <cell r="C1718" t="str">
            <v>17C</v>
          </cell>
          <cell r="D1718" t="str">
            <v>YOKOHAMA</v>
          </cell>
          <cell r="E1718" t="str">
            <v>RY55</v>
          </cell>
          <cell r="N1718">
            <v>6258.6</v>
          </cell>
        </row>
        <row r="1719">
          <cell r="A1719" t="str">
            <v>225</v>
          </cell>
          <cell r="B1719">
            <v>65</v>
          </cell>
          <cell r="C1719">
            <v>17</v>
          </cell>
          <cell r="D1719" t="str">
            <v>YOKOHAMA (PH)</v>
          </cell>
          <cell r="E1719" t="str">
            <v>G91 H/T</v>
          </cell>
          <cell r="N1719">
            <v>7142.4</v>
          </cell>
        </row>
        <row r="1720">
          <cell r="A1720" t="str">
            <v>225</v>
          </cell>
          <cell r="B1720">
            <v>65</v>
          </cell>
          <cell r="C1720">
            <v>17</v>
          </cell>
          <cell r="D1720" t="str">
            <v>YOKOHAMA (PH)</v>
          </cell>
          <cell r="E1720" t="str">
            <v xml:space="preserve">AVID S33B </v>
          </cell>
          <cell r="N1720">
            <v>6980.4</v>
          </cell>
        </row>
        <row r="1721">
          <cell r="A1721" t="str">
            <v>235</v>
          </cell>
          <cell r="B1721">
            <v>65</v>
          </cell>
          <cell r="C1721">
            <v>17</v>
          </cell>
          <cell r="D1721" t="str">
            <v>YOKOHAMA</v>
          </cell>
          <cell r="E1721" t="str">
            <v>G055 H/T</v>
          </cell>
          <cell r="N1721">
            <v>5760</v>
          </cell>
        </row>
        <row r="1722">
          <cell r="A1722" t="str">
            <v>235</v>
          </cell>
          <cell r="B1722">
            <v>65</v>
          </cell>
          <cell r="C1722">
            <v>17</v>
          </cell>
          <cell r="D1722" t="str">
            <v>YOKOHAMA</v>
          </cell>
          <cell r="E1722" t="str">
            <v>G051 H/T</v>
          </cell>
          <cell r="N1722">
            <v>6876.51</v>
          </cell>
        </row>
        <row r="1723">
          <cell r="A1723" t="str">
            <v>235</v>
          </cell>
          <cell r="B1723">
            <v>65</v>
          </cell>
          <cell r="C1723">
            <v>17</v>
          </cell>
          <cell r="D1723" t="str">
            <v>YOKOHAMA</v>
          </cell>
          <cell r="E1723" t="str">
            <v>GO58</v>
          </cell>
          <cell r="N1723">
            <v>6598.4</v>
          </cell>
        </row>
        <row r="1724">
          <cell r="A1724" t="str">
            <v>245</v>
          </cell>
          <cell r="B1724">
            <v>65</v>
          </cell>
          <cell r="C1724">
            <v>17</v>
          </cell>
          <cell r="D1724" t="str">
            <v>YOKOHAMA</v>
          </cell>
          <cell r="E1724" t="str">
            <v>GO58</v>
          </cell>
          <cell r="N1724">
            <v>7782.4</v>
          </cell>
        </row>
        <row r="1725">
          <cell r="A1725" t="str">
            <v>265</v>
          </cell>
          <cell r="B1725">
            <v>65</v>
          </cell>
          <cell r="C1725">
            <v>17</v>
          </cell>
          <cell r="D1725" t="str">
            <v>YOKOHAMA (TH)</v>
          </cell>
          <cell r="E1725" t="str">
            <v>G056 H/T</v>
          </cell>
          <cell r="N1725">
            <v>8308</v>
          </cell>
        </row>
        <row r="1726">
          <cell r="A1726" t="str">
            <v>265</v>
          </cell>
          <cell r="B1726">
            <v>65</v>
          </cell>
          <cell r="C1726">
            <v>17</v>
          </cell>
          <cell r="D1726" t="str">
            <v>YOKOHAMA (TH)</v>
          </cell>
          <cell r="E1726" t="str">
            <v>G015 A/T</v>
          </cell>
          <cell r="N1726">
            <v>8518.7999999999993</v>
          </cell>
        </row>
        <row r="1727">
          <cell r="A1727" t="str">
            <v>265</v>
          </cell>
          <cell r="B1727">
            <v>70</v>
          </cell>
          <cell r="C1727">
            <v>17</v>
          </cell>
          <cell r="D1727" t="str">
            <v>YOKOHAMA</v>
          </cell>
          <cell r="E1727" t="str">
            <v>G015 A/T</v>
          </cell>
          <cell r="N1727">
            <v>11476.8</v>
          </cell>
        </row>
        <row r="1728">
          <cell r="A1728" t="str">
            <v>245</v>
          </cell>
          <cell r="B1728">
            <v>40</v>
          </cell>
          <cell r="C1728">
            <v>18</v>
          </cell>
          <cell r="D1728" t="str">
            <v>YOKOHAMA</v>
          </cell>
          <cell r="E1728" t="str">
            <v>ADVAN FLEVA V701</v>
          </cell>
          <cell r="N1728">
            <v>6243.4</v>
          </cell>
        </row>
        <row r="1729">
          <cell r="A1729" t="str">
            <v>215</v>
          </cell>
          <cell r="B1729">
            <v>45</v>
          </cell>
          <cell r="C1729">
            <v>18</v>
          </cell>
          <cell r="D1729" t="str">
            <v>YOKOHAMA</v>
          </cell>
          <cell r="E1729" t="str">
            <v>ADV FLEVA V701</v>
          </cell>
          <cell r="N1729">
            <v>4302</v>
          </cell>
        </row>
        <row r="1730">
          <cell r="A1730" t="str">
            <v>235</v>
          </cell>
          <cell r="B1730">
            <v>50</v>
          </cell>
          <cell r="C1730">
            <v>18</v>
          </cell>
          <cell r="D1730" t="str">
            <v>YOKOHAMA</v>
          </cell>
          <cell r="E1730" t="str">
            <v>V552</v>
          </cell>
          <cell r="N1730">
            <v>7689.47</v>
          </cell>
        </row>
        <row r="1731">
          <cell r="A1731" t="str">
            <v>215</v>
          </cell>
          <cell r="B1731">
            <v>55</v>
          </cell>
          <cell r="C1731">
            <v>18</v>
          </cell>
          <cell r="D1731" t="str">
            <v>YOKOHAMA</v>
          </cell>
          <cell r="E1731" t="str">
            <v>G058</v>
          </cell>
          <cell r="N1731">
            <v>9424</v>
          </cell>
        </row>
        <row r="1732">
          <cell r="A1732" t="str">
            <v>235</v>
          </cell>
          <cell r="B1732">
            <v>55</v>
          </cell>
          <cell r="C1732">
            <v>18</v>
          </cell>
          <cell r="D1732" t="str">
            <v>YOKOHAMA</v>
          </cell>
          <cell r="E1732" t="str">
            <v>GO58</v>
          </cell>
          <cell r="N1732">
            <v>9529.6</v>
          </cell>
        </row>
        <row r="1733">
          <cell r="A1733" t="str">
            <v>265</v>
          </cell>
          <cell r="B1733">
            <v>60</v>
          </cell>
          <cell r="C1733">
            <v>18</v>
          </cell>
          <cell r="D1733" t="str">
            <v xml:space="preserve">YOKOHAMA </v>
          </cell>
          <cell r="E1733" t="str">
            <v>G056 H/T</v>
          </cell>
          <cell r="N1733">
            <v>9200.7999999999993</v>
          </cell>
        </row>
        <row r="1734">
          <cell r="A1734" t="str">
            <v>265</v>
          </cell>
          <cell r="B1734">
            <v>60</v>
          </cell>
          <cell r="C1734">
            <v>18</v>
          </cell>
          <cell r="D1734" t="str">
            <v>YOKOHAMA (TH)</v>
          </cell>
          <cell r="E1734" t="str">
            <v>G015 A/T</v>
          </cell>
          <cell r="N1734">
            <v>10735.2</v>
          </cell>
        </row>
        <row r="1735">
          <cell r="A1735" t="str">
            <v>265</v>
          </cell>
          <cell r="B1735">
            <v>60</v>
          </cell>
          <cell r="C1735">
            <v>18</v>
          </cell>
          <cell r="D1735" t="str">
            <v>YOKOHAMA</v>
          </cell>
          <cell r="E1735" t="str">
            <v>GO12 A/T</v>
          </cell>
          <cell r="N1735">
            <v>9214</v>
          </cell>
        </row>
        <row r="1736">
          <cell r="A1736" t="str">
            <v>285</v>
          </cell>
          <cell r="B1736">
            <v>60</v>
          </cell>
          <cell r="C1736">
            <v>18</v>
          </cell>
          <cell r="D1736" t="str">
            <v>YOKOHAMA</v>
          </cell>
          <cell r="E1736" t="str">
            <v>G94</v>
          </cell>
          <cell r="N1736">
            <v>14336</v>
          </cell>
        </row>
        <row r="1737">
          <cell r="A1737" t="str">
            <v>285</v>
          </cell>
          <cell r="B1737">
            <v>60</v>
          </cell>
          <cell r="C1737">
            <v>18</v>
          </cell>
          <cell r="D1737" t="str">
            <v>YOKOHAMA</v>
          </cell>
          <cell r="E1737" t="str">
            <v>GO15 A/T</v>
          </cell>
          <cell r="N1737">
            <v>11239.42</v>
          </cell>
        </row>
        <row r="1738">
          <cell r="A1738" t="str">
            <v>265</v>
          </cell>
          <cell r="B1738">
            <v>65</v>
          </cell>
          <cell r="C1738">
            <v>18</v>
          </cell>
          <cell r="D1738" t="str">
            <v>YOKOHAMA</v>
          </cell>
          <cell r="E1738" t="str">
            <v>G015</v>
          </cell>
          <cell r="N1738">
            <v>10711.6</v>
          </cell>
        </row>
        <row r="1739">
          <cell r="A1739" t="str">
            <v xml:space="preserve">265 </v>
          </cell>
          <cell r="B1739">
            <v>50</v>
          </cell>
          <cell r="C1739">
            <v>20</v>
          </cell>
          <cell r="D1739" t="str">
            <v xml:space="preserve">YOKOHAMA </v>
          </cell>
          <cell r="E1739" t="str">
            <v>G057</v>
          </cell>
          <cell r="N1739">
            <v>9256.6</v>
          </cell>
        </row>
        <row r="1740">
          <cell r="A1740" t="str">
            <v>265</v>
          </cell>
          <cell r="B1740">
            <v>50</v>
          </cell>
          <cell r="C1740">
            <v>20</v>
          </cell>
          <cell r="D1740" t="str">
            <v>YOKOHAMA</v>
          </cell>
          <cell r="E1740" t="str">
            <v>G015</v>
          </cell>
          <cell r="N1740">
            <v>11916.4</v>
          </cell>
        </row>
        <row r="1741">
          <cell r="A1741" t="str">
            <v>275</v>
          </cell>
          <cell r="B1741">
            <v>55</v>
          </cell>
          <cell r="C1741">
            <v>20</v>
          </cell>
          <cell r="D1741" t="str">
            <v>YOKOHAMA</v>
          </cell>
          <cell r="E1741" t="str">
            <v xml:space="preserve">G015 </v>
          </cell>
          <cell r="N1741">
            <v>11349.2</v>
          </cell>
        </row>
        <row r="1742">
          <cell r="A1742" t="str">
            <v>285</v>
          </cell>
          <cell r="B1742">
            <v>70</v>
          </cell>
          <cell r="C1742">
            <v>17</v>
          </cell>
          <cell r="D1742" t="str">
            <v>ULTRA FORCE</v>
          </cell>
          <cell r="E1742" t="str">
            <v>TERRA TAMER AT-X RWL 10PR 126/123S</v>
          </cell>
          <cell r="N1742">
            <v>6566.4</v>
          </cell>
        </row>
        <row r="1743">
          <cell r="A1743" t="str">
            <v>275</v>
          </cell>
          <cell r="B1743">
            <v>65</v>
          </cell>
          <cell r="C1743">
            <v>18</v>
          </cell>
          <cell r="D1743" t="str">
            <v>ULTRA FORCE</v>
          </cell>
          <cell r="E1743" t="str">
            <v>TERRA TAMER AT-X RWL 10PR 116Q</v>
          </cell>
          <cell r="N1743">
            <v>7300</v>
          </cell>
        </row>
        <row r="1744">
          <cell r="A1744">
            <v>275</v>
          </cell>
          <cell r="B1744">
            <v>55</v>
          </cell>
          <cell r="C1744">
            <v>20</v>
          </cell>
          <cell r="D1744" t="str">
            <v>ULTRA FORCE</v>
          </cell>
          <cell r="E1744" t="str">
            <v>TERRA TAMER AT-X RWL 120/117S10PR</v>
          </cell>
          <cell r="N1744">
            <v>7002.45</v>
          </cell>
        </row>
        <row r="1745">
          <cell r="A1745">
            <v>285</v>
          </cell>
          <cell r="B1745">
            <v>50</v>
          </cell>
          <cell r="C1745">
            <v>20</v>
          </cell>
          <cell r="D1745" t="str">
            <v>ULTRA FORCE</v>
          </cell>
          <cell r="E1745" t="str">
            <v>TERRA TAMER AT-X RWL 119/116S10PR</v>
          </cell>
          <cell r="N1745">
            <v>7438.6</v>
          </cell>
        </row>
        <row r="1746">
          <cell r="A1746">
            <v>195</v>
          </cell>
          <cell r="B1746">
            <v>55</v>
          </cell>
          <cell r="C1746">
            <v>15</v>
          </cell>
          <cell r="D1746" t="str">
            <v>ZELDA</v>
          </cell>
          <cell r="E1746" t="str">
            <v>85V SURATE HP</v>
          </cell>
          <cell r="N1746">
            <v>1678.65</v>
          </cell>
        </row>
        <row r="1747">
          <cell r="A1747">
            <v>185</v>
          </cell>
          <cell r="B1747">
            <v>65</v>
          </cell>
          <cell r="C1747">
            <v>15</v>
          </cell>
          <cell r="D1747" t="str">
            <v>ZELDA</v>
          </cell>
          <cell r="E1747" t="str">
            <v>SURATE HP</v>
          </cell>
          <cell r="N1747">
            <v>1579.38</v>
          </cell>
        </row>
        <row r="1748">
          <cell r="A1748" t="str">
            <v>195</v>
          </cell>
          <cell r="B1748">
            <v>70</v>
          </cell>
          <cell r="C1748" t="str">
            <v>15C</v>
          </cell>
          <cell r="D1748" t="str">
            <v>ZELDA</v>
          </cell>
          <cell r="E1748" t="str">
            <v>VANCRUISER</v>
          </cell>
          <cell r="N1748">
            <v>2283.33</v>
          </cell>
        </row>
        <row r="1749">
          <cell r="A1749" t="str">
            <v>31</v>
          </cell>
          <cell r="B1749">
            <v>10.5</v>
          </cell>
          <cell r="C1749">
            <v>15</v>
          </cell>
          <cell r="D1749" t="str">
            <v>ZELDA</v>
          </cell>
          <cell r="E1749" t="str">
            <v>ROLLANDER AT OWL</v>
          </cell>
          <cell r="N1749">
            <v>4151.5</v>
          </cell>
        </row>
        <row r="1750">
          <cell r="A1750" t="str">
            <v>205</v>
          </cell>
          <cell r="B1750">
            <v>65</v>
          </cell>
          <cell r="C1750" t="str">
            <v>16C</v>
          </cell>
          <cell r="D1750" t="str">
            <v>ZELDA</v>
          </cell>
          <cell r="E1750" t="str">
            <v>VANCRUISER</v>
          </cell>
          <cell r="N1750">
            <v>2454.8000000000002</v>
          </cell>
        </row>
        <row r="1751">
          <cell r="A1751" t="str">
            <v>235</v>
          </cell>
          <cell r="B1751">
            <v>65</v>
          </cell>
          <cell r="C1751" t="str">
            <v>16C</v>
          </cell>
          <cell r="D1751" t="str">
            <v>ZELDA</v>
          </cell>
          <cell r="E1751" t="str">
            <v>VANCRUISER</v>
          </cell>
          <cell r="N1751">
            <v>3065.5</v>
          </cell>
        </row>
        <row r="1752">
          <cell r="A1752" t="str">
            <v>215</v>
          </cell>
          <cell r="B1752">
            <v>70</v>
          </cell>
          <cell r="C1752">
            <v>16</v>
          </cell>
          <cell r="D1752" t="str">
            <v>ZELDA</v>
          </cell>
          <cell r="E1752" t="str">
            <v>ROLLANDER AT</v>
          </cell>
          <cell r="N1752">
            <v>2897.03</v>
          </cell>
        </row>
        <row r="1753">
          <cell r="A1753" t="str">
            <v>215</v>
          </cell>
          <cell r="B1753">
            <v>70</v>
          </cell>
          <cell r="C1753" t="str">
            <v>16C</v>
          </cell>
          <cell r="D1753" t="str">
            <v>ZELDA</v>
          </cell>
          <cell r="E1753" t="str">
            <v>VANCRUISER</v>
          </cell>
          <cell r="N1753">
            <v>2734.58</v>
          </cell>
        </row>
        <row r="1754">
          <cell r="A1754" t="str">
            <v>205</v>
          </cell>
          <cell r="B1754">
            <v>45</v>
          </cell>
          <cell r="C1754">
            <v>17</v>
          </cell>
          <cell r="D1754" t="str">
            <v>ZELDA</v>
          </cell>
          <cell r="E1754" t="str">
            <v>88W XL ARCHFORCE</v>
          </cell>
          <cell r="N1754">
            <v>1958.43</v>
          </cell>
        </row>
        <row r="1755">
          <cell r="A1755" t="str">
            <v>205</v>
          </cell>
          <cell r="B1755">
            <v>50</v>
          </cell>
          <cell r="C1755">
            <v>17</v>
          </cell>
          <cell r="D1755" t="str">
            <v>ZELDA</v>
          </cell>
          <cell r="E1755" t="str">
            <v>93W XL ARCHFORCE</v>
          </cell>
          <cell r="N1755">
            <v>2084.7800000000002</v>
          </cell>
        </row>
        <row r="1756">
          <cell r="A1756" t="str">
            <v>215</v>
          </cell>
          <cell r="B1756">
            <v>55</v>
          </cell>
          <cell r="C1756">
            <v>17</v>
          </cell>
          <cell r="D1756" t="str">
            <v>ZELDA</v>
          </cell>
          <cell r="E1756" t="str">
            <v>ARCHFORCE</v>
          </cell>
          <cell r="N1756">
            <v>2337.48</v>
          </cell>
        </row>
        <row r="1757">
          <cell r="A1757" t="str">
            <v>265</v>
          </cell>
          <cell r="B1757">
            <v>65</v>
          </cell>
          <cell r="C1757">
            <v>17</v>
          </cell>
          <cell r="D1757" t="str">
            <v>ZELDA</v>
          </cell>
          <cell r="E1757" t="str">
            <v>ROLLANDER AT OWL</v>
          </cell>
          <cell r="N1757">
            <v>5162.3</v>
          </cell>
        </row>
        <row r="1758">
          <cell r="A1758" t="str">
            <v>285</v>
          </cell>
          <cell r="B1758">
            <v>70</v>
          </cell>
          <cell r="C1758">
            <v>17</v>
          </cell>
          <cell r="D1758" t="str">
            <v>ZELDA</v>
          </cell>
          <cell r="E1758" t="str">
            <v>ROLLANDER AT OWL</v>
          </cell>
          <cell r="N1758">
            <v>6028.7</v>
          </cell>
        </row>
        <row r="1759">
          <cell r="A1759" t="str">
            <v>225</v>
          </cell>
          <cell r="B1759">
            <v>40</v>
          </cell>
          <cell r="C1759">
            <v>18</v>
          </cell>
          <cell r="D1759" t="str">
            <v>ZELDA</v>
          </cell>
          <cell r="E1759" t="str">
            <v>92Y XL ARCHFORCE</v>
          </cell>
          <cell r="N1759">
            <v>2229.1799999999998</v>
          </cell>
        </row>
        <row r="1760">
          <cell r="A1760" t="str">
            <v>235</v>
          </cell>
          <cell r="B1760">
            <v>40</v>
          </cell>
          <cell r="C1760">
            <v>18</v>
          </cell>
          <cell r="D1760" t="str">
            <v>ZELDA</v>
          </cell>
          <cell r="E1760" t="str">
            <v>95Y XL ARCHFORCE</v>
          </cell>
          <cell r="N1760">
            <v>2436.75</v>
          </cell>
        </row>
        <row r="1761">
          <cell r="A1761" t="str">
            <v>215</v>
          </cell>
          <cell r="B1761">
            <v>55</v>
          </cell>
          <cell r="C1761">
            <v>18</v>
          </cell>
          <cell r="D1761" t="str">
            <v>ZELDA</v>
          </cell>
          <cell r="E1761" t="str">
            <v>99W XL ARCHFORCE</v>
          </cell>
          <cell r="N1761">
            <v>2481.88</v>
          </cell>
        </row>
        <row r="1762">
          <cell r="A1762" t="str">
            <v>235</v>
          </cell>
          <cell r="B1762">
            <v>55</v>
          </cell>
          <cell r="C1762">
            <v>18</v>
          </cell>
          <cell r="D1762" t="str">
            <v>ZELDA</v>
          </cell>
          <cell r="E1762" t="str">
            <v>104W XL ARCHFORCE</v>
          </cell>
          <cell r="N1762">
            <v>2915.08</v>
          </cell>
        </row>
        <row r="1763">
          <cell r="A1763" t="str">
            <v>185</v>
          </cell>
          <cell r="C1763" t="str">
            <v>14C</v>
          </cell>
          <cell r="D1763" t="str">
            <v>ZEXTOUR (CH)</v>
          </cell>
          <cell r="E1763" t="str">
            <v>HIGHLANDER</v>
          </cell>
          <cell r="N1763">
            <v>1960</v>
          </cell>
        </row>
        <row r="1764">
          <cell r="A1764" t="str">
            <v>195</v>
          </cell>
          <cell r="C1764" t="str">
            <v>14C</v>
          </cell>
          <cell r="D1764" t="str">
            <v>ZEXTOUR (CH)</v>
          </cell>
          <cell r="E1764" t="str">
            <v>HIGHLANDER LX755</v>
          </cell>
          <cell r="N1764">
            <v>1840</v>
          </cell>
        </row>
        <row r="1765">
          <cell r="A1765" t="str">
            <v>185</v>
          </cell>
          <cell r="B1765">
            <v>65</v>
          </cell>
          <cell r="C1765">
            <v>14</v>
          </cell>
          <cell r="D1765" t="str">
            <v>ZEXTOUR (CH)</v>
          </cell>
          <cell r="E1765" t="str">
            <v>COMFORT ES655</v>
          </cell>
          <cell r="N1765">
            <v>1300</v>
          </cell>
        </row>
        <row r="1766">
          <cell r="A1766" t="str">
            <v>185</v>
          </cell>
          <cell r="B1766">
            <v>70</v>
          </cell>
          <cell r="C1766">
            <v>14</v>
          </cell>
          <cell r="D1766" t="str">
            <v>ZEXTOUR (CH)</v>
          </cell>
          <cell r="E1766" t="str">
            <v>COMFORT ES655</v>
          </cell>
          <cell r="N1766">
            <v>1345</v>
          </cell>
        </row>
        <row r="1767">
          <cell r="A1767" t="str">
            <v>195</v>
          </cell>
          <cell r="C1767" t="str">
            <v>15C</v>
          </cell>
          <cell r="D1767" t="str">
            <v>ZEXTOUR (CH)</v>
          </cell>
          <cell r="E1767" t="str">
            <v>HIGHLANDER LX755</v>
          </cell>
          <cell r="N1767">
            <v>2110</v>
          </cell>
        </row>
        <row r="1768">
          <cell r="A1768" t="str">
            <v>185</v>
          </cell>
          <cell r="B1768">
            <v>60</v>
          </cell>
          <cell r="C1768">
            <v>15</v>
          </cell>
          <cell r="D1768" t="str">
            <v>ZEXTOUR (CH)</v>
          </cell>
          <cell r="E1768" t="str">
            <v>COMFORT ES655</v>
          </cell>
          <cell r="N1768">
            <v>1420</v>
          </cell>
        </row>
        <row r="1769">
          <cell r="A1769" t="str">
            <v>205</v>
          </cell>
          <cell r="B1769">
            <v>65</v>
          </cell>
          <cell r="C1769">
            <v>15</v>
          </cell>
          <cell r="D1769" t="str">
            <v>ZEXTOUR (CH)</v>
          </cell>
          <cell r="E1769" t="str">
            <v>COMFORT ES655</v>
          </cell>
          <cell r="N1769">
            <v>1670</v>
          </cell>
        </row>
        <row r="1770">
          <cell r="A1770" t="str">
            <v>215</v>
          </cell>
          <cell r="B1770">
            <v>60</v>
          </cell>
          <cell r="C1770">
            <v>16</v>
          </cell>
          <cell r="D1770" t="str">
            <v>ZEXTOUR (CH)</v>
          </cell>
          <cell r="E1770" t="str">
            <v>COMFORT ES655</v>
          </cell>
          <cell r="N1770">
            <v>1940</v>
          </cell>
        </row>
        <row r="1771">
          <cell r="A1771" t="str">
            <v>215</v>
          </cell>
          <cell r="B1771">
            <v>70</v>
          </cell>
          <cell r="C1771">
            <v>16</v>
          </cell>
          <cell r="D1771" t="str">
            <v>ZEXTOUR (CH)</v>
          </cell>
          <cell r="E1771" t="str">
            <v>PREMIUM LS665</v>
          </cell>
          <cell r="N1771">
            <v>2270</v>
          </cell>
        </row>
        <row r="1772">
          <cell r="A1772" t="str">
            <v>205</v>
          </cell>
          <cell r="B1772">
            <v>75</v>
          </cell>
          <cell r="C1772">
            <v>17.5</v>
          </cell>
          <cell r="D1772" t="str">
            <v>AEOLUS</v>
          </cell>
          <cell r="E1772" t="str">
            <v>14PR ASR35 TL</v>
          </cell>
          <cell r="N1772">
            <v>7124</v>
          </cell>
        </row>
        <row r="1773">
          <cell r="A1773" t="str">
            <v>275</v>
          </cell>
          <cell r="B1773">
            <v>80</v>
          </cell>
          <cell r="C1773">
            <v>22.5</v>
          </cell>
          <cell r="D1773" t="str">
            <v>AEOLUS</v>
          </cell>
          <cell r="E1773" t="str">
            <v>18PR ASR79 RIB</v>
          </cell>
          <cell r="N1773">
            <v>13640</v>
          </cell>
        </row>
        <row r="1774">
          <cell r="A1774" t="str">
            <v>275</v>
          </cell>
          <cell r="B1774">
            <v>80</v>
          </cell>
          <cell r="C1774">
            <v>22.5</v>
          </cell>
          <cell r="D1774" t="str">
            <v>AEOLUS</v>
          </cell>
          <cell r="E1774" t="str">
            <v>18PR HN267 RIB</v>
          </cell>
          <cell r="N1774">
            <v>12500</v>
          </cell>
        </row>
        <row r="1775">
          <cell r="A1775" t="str">
            <v>650</v>
          </cell>
          <cell r="B1775">
            <v>640</v>
          </cell>
          <cell r="C1775">
            <v>13</v>
          </cell>
          <cell r="D1775" t="str">
            <v>AVANTRA</v>
          </cell>
          <cell r="E1775" t="str">
            <v>10PR K888 MIX CT</v>
          </cell>
          <cell r="N1775">
            <v>2457</v>
          </cell>
        </row>
        <row r="1776">
          <cell r="A1776" t="str">
            <v>7.00</v>
          </cell>
          <cell r="C1776">
            <v>15</v>
          </cell>
          <cell r="D1776" t="str">
            <v>APOLLO</v>
          </cell>
          <cell r="E1776" t="str">
            <v>AMAR GOLD RIB 12PR</v>
          </cell>
          <cell r="N1776">
            <v>4501</v>
          </cell>
        </row>
        <row r="1777">
          <cell r="A1777" t="str">
            <v>7.50</v>
          </cell>
          <cell r="C1777">
            <v>15</v>
          </cell>
          <cell r="D1777" t="str">
            <v>APOLLO</v>
          </cell>
          <cell r="E1777" t="str">
            <v>VIHAAN RIB 14PR</v>
          </cell>
          <cell r="N1777">
            <v>5152</v>
          </cell>
        </row>
        <row r="1778">
          <cell r="A1778" t="str">
            <v>7.50</v>
          </cell>
          <cell r="C1778">
            <v>15</v>
          </cell>
          <cell r="D1778" t="str">
            <v>APOLLO</v>
          </cell>
          <cell r="E1778" t="str">
            <v>VIHAAN LUG 14PR</v>
          </cell>
          <cell r="N1778">
            <v>5260</v>
          </cell>
        </row>
        <row r="1779">
          <cell r="A1779" t="str">
            <v>7.00</v>
          </cell>
          <cell r="C1779">
            <v>16</v>
          </cell>
          <cell r="D1779" t="str">
            <v>APOLLO</v>
          </cell>
          <cell r="E1779" t="str">
            <v>AMAR DELUXE RIB 14PR</v>
          </cell>
          <cell r="N1779">
            <v>5152</v>
          </cell>
        </row>
        <row r="1780">
          <cell r="A1780" t="str">
            <v>7.50</v>
          </cell>
          <cell r="C1780">
            <v>16</v>
          </cell>
          <cell r="D1780" t="str">
            <v>APOLLO</v>
          </cell>
          <cell r="E1780" t="str">
            <v>AMAR DELUXE RIB 16PR</v>
          </cell>
          <cell r="N1780">
            <v>5260</v>
          </cell>
        </row>
        <row r="1781">
          <cell r="A1781" t="str">
            <v>7.50</v>
          </cell>
          <cell r="C1781">
            <v>16</v>
          </cell>
          <cell r="D1781" t="str">
            <v>APOLLO</v>
          </cell>
          <cell r="E1781" t="str">
            <v>XT7 LUG 16PR</v>
          </cell>
          <cell r="N1781">
            <v>5910</v>
          </cell>
        </row>
        <row r="1782">
          <cell r="A1782" t="str">
            <v>8.25</v>
          </cell>
          <cell r="C1782">
            <v>16</v>
          </cell>
          <cell r="D1782" t="str">
            <v>APOLLO</v>
          </cell>
          <cell r="E1782" t="str">
            <v>AMAR GOLD RIB 16PR</v>
          </cell>
          <cell r="N1782">
            <v>6128</v>
          </cell>
        </row>
        <row r="1783">
          <cell r="A1783" t="str">
            <v>12.00</v>
          </cell>
          <cell r="C1783">
            <v>20</v>
          </cell>
          <cell r="D1783" t="str">
            <v>APOLLO</v>
          </cell>
          <cell r="E1783" t="str">
            <v>AMAR DELUXE RIB 18PR</v>
          </cell>
          <cell r="N1783">
            <v>13360</v>
          </cell>
        </row>
        <row r="1784">
          <cell r="A1784" t="str">
            <v>11</v>
          </cell>
          <cell r="C1784">
            <v>22.5</v>
          </cell>
          <cell r="D1784" t="str">
            <v>APOLLO</v>
          </cell>
          <cell r="E1784" t="str">
            <v>ENDURACE AE RIB 16PR</v>
          </cell>
          <cell r="N1784">
            <v>11659</v>
          </cell>
        </row>
        <row r="1785">
          <cell r="A1785" t="str">
            <v>380</v>
          </cell>
          <cell r="B1785">
            <v>70</v>
          </cell>
          <cell r="C1785">
            <v>24</v>
          </cell>
          <cell r="D1785" t="str">
            <v>ALLIANCE</v>
          </cell>
          <cell r="E1785" t="str">
            <v>FARMPRO RADIAL TL</v>
          </cell>
          <cell r="N1785">
            <v>34221.599999999999</v>
          </cell>
        </row>
        <row r="1786">
          <cell r="A1786" t="str">
            <v>195</v>
          </cell>
          <cell r="B1786">
            <v>85</v>
          </cell>
          <cell r="C1786">
            <v>16</v>
          </cell>
          <cell r="D1786" t="str">
            <v>ARIVO</v>
          </cell>
          <cell r="E1786" t="str">
            <v>TRANSITO ARZ6-V</v>
          </cell>
          <cell r="N1786">
            <v>3943.92</v>
          </cell>
        </row>
        <row r="1787">
          <cell r="A1787" t="str">
            <v>215</v>
          </cell>
          <cell r="B1787">
            <v>75</v>
          </cell>
          <cell r="C1787">
            <v>17.5</v>
          </cell>
          <cell r="D1787" t="str">
            <v>ARIVO</v>
          </cell>
          <cell r="E1787" t="str">
            <v>BUFFALO XARS91 18PR RIB</v>
          </cell>
          <cell r="N1787">
            <v>4732.71</v>
          </cell>
        </row>
        <row r="1788">
          <cell r="A1788" t="str">
            <v>9.5</v>
          </cell>
          <cell r="C1788">
            <v>17.5</v>
          </cell>
          <cell r="D1788" t="str">
            <v>ARIVO</v>
          </cell>
          <cell r="E1788" t="str">
            <v>BUFFALO XARS92 RIB</v>
          </cell>
          <cell r="N1788">
            <v>6064.8</v>
          </cell>
        </row>
        <row r="1789">
          <cell r="A1789" t="str">
            <v>265</v>
          </cell>
          <cell r="B1789">
            <v>70</v>
          </cell>
          <cell r="C1789">
            <v>19.5</v>
          </cell>
          <cell r="D1789" t="str">
            <v>ARIVO</v>
          </cell>
          <cell r="E1789" t="str">
            <v>BUFFALO XARS91 18PR RIB</v>
          </cell>
          <cell r="N1789">
            <v>6584.64</v>
          </cell>
        </row>
        <row r="1790">
          <cell r="A1790" t="str">
            <v>10.00</v>
          </cell>
          <cell r="C1790" t="str">
            <v>R20</v>
          </cell>
          <cell r="D1790" t="str">
            <v>ARIVO</v>
          </cell>
          <cell r="E1790" t="str">
            <v>BUFFALO ARA1 MIX</v>
          </cell>
          <cell r="N1790">
            <v>10322.799999999999</v>
          </cell>
        </row>
        <row r="1791">
          <cell r="A1791" t="str">
            <v>10.00</v>
          </cell>
          <cell r="C1791" t="str">
            <v>R20</v>
          </cell>
          <cell r="D1791" t="str">
            <v>ARIVO</v>
          </cell>
          <cell r="E1791" t="str">
            <v>BUFFALO ARM2 LUG</v>
          </cell>
          <cell r="N1791">
            <v>11292.66</v>
          </cell>
        </row>
        <row r="1792">
          <cell r="A1792" t="str">
            <v>275</v>
          </cell>
          <cell r="B1792">
            <v>70</v>
          </cell>
          <cell r="C1792">
            <v>22.5</v>
          </cell>
          <cell r="D1792" t="str">
            <v>ARIVO</v>
          </cell>
          <cell r="E1792" t="str">
            <v>BUFFALO XARS91 RIB 18PR</v>
          </cell>
          <cell r="N1792">
            <v>8940.02</v>
          </cell>
        </row>
        <row r="1793">
          <cell r="A1793" t="str">
            <v>11</v>
          </cell>
          <cell r="C1793" t="str">
            <v>R22.5</v>
          </cell>
          <cell r="D1793" t="str">
            <v>ARIVO</v>
          </cell>
          <cell r="E1793" t="str">
            <v>BUFFALO XST 8 RIB</v>
          </cell>
          <cell r="N1793">
            <v>8553.17</v>
          </cell>
        </row>
        <row r="1794">
          <cell r="A1794" t="str">
            <v>11</v>
          </cell>
          <cell r="C1794" t="str">
            <v>R22.5</v>
          </cell>
          <cell r="D1794" t="str">
            <v>ARIVO</v>
          </cell>
          <cell r="E1794" t="str">
            <v>BUFFALO ARST RIB</v>
          </cell>
          <cell r="N1794">
            <v>7450</v>
          </cell>
        </row>
        <row r="1795">
          <cell r="A1795" t="str">
            <v>11</v>
          </cell>
          <cell r="C1795" t="str">
            <v>R22.5</v>
          </cell>
          <cell r="D1795" t="str">
            <v>ARIVO</v>
          </cell>
          <cell r="E1795" t="str">
            <v>BUFFALO ARA 1  MIX</v>
          </cell>
          <cell r="N1795">
            <v>8133.4</v>
          </cell>
        </row>
        <row r="1796">
          <cell r="A1796" t="str">
            <v>11</v>
          </cell>
          <cell r="C1796">
            <v>22.5</v>
          </cell>
          <cell r="D1796" t="str">
            <v>ARIVO</v>
          </cell>
          <cell r="E1796" t="str">
            <v>BUFFALO ARM1 MINING LUG</v>
          </cell>
          <cell r="N1796">
            <v>9999.7000000000007</v>
          </cell>
        </row>
        <row r="1797">
          <cell r="A1797" t="str">
            <v>11</v>
          </cell>
          <cell r="C1797" t="str">
            <v>R22.5</v>
          </cell>
          <cell r="D1797" t="str">
            <v>ARIVO</v>
          </cell>
          <cell r="E1797" t="str">
            <v>BUFFALO XARS2 RIB</v>
          </cell>
          <cell r="N1797">
            <v>7400</v>
          </cell>
        </row>
        <row r="1798">
          <cell r="A1798" t="str">
            <v>11</v>
          </cell>
          <cell r="C1798" t="str">
            <v>R22.5</v>
          </cell>
          <cell r="D1798" t="str">
            <v>ARIVO</v>
          </cell>
          <cell r="E1798" t="str">
            <v>BUFFALO XARA31 MIX 18PR</v>
          </cell>
          <cell r="N1798">
            <v>7500</v>
          </cell>
        </row>
        <row r="1799">
          <cell r="A1799" t="str">
            <v>12</v>
          </cell>
          <cell r="C1799" t="str">
            <v>R20</v>
          </cell>
          <cell r="D1799" t="str">
            <v>ARIVO</v>
          </cell>
          <cell r="E1799" t="str">
            <v>BUFFALO ARA 1 MIX</v>
          </cell>
          <cell r="N1799">
            <v>12483.38</v>
          </cell>
        </row>
        <row r="1800">
          <cell r="A1800" t="str">
            <v>12</v>
          </cell>
          <cell r="C1800">
            <v>22.5</v>
          </cell>
          <cell r="D1800" t="str">
            <v>ARIVO</v>
          </cell>
          <cell r="E1800" t="str">
            <v>BUFFALO XARA31 MIX 18PR</v>
          </cell>
          <cell r="N1800">
            <v>9842.66</v>
          </cell>
        </row>
        <row r="1801">
          <cell r="A1801" t="str">
            <v>12</v>
          </cell>
          <cell r="C1801">
            <v>22.5</v>
          </cell>
          <cell r="D1801" t="str">
            <v>ARIVO</v>
          </cell>
          <cell r="E1801" t="str">
            <v>BUFALLO RIB/MIX XARS1 18PR</v>
          </cell>
          <cell r="N1801">
            <v>9645.81</v>
          </cell>
        </row>
        <row r="1802">
          <cell r="A1802" t="str">
            <v>12</v>
          </cell>
          <cell r="C1802">
            <v>22.5</v>
          </cell>
          <cell r="D1802" t="str">
            <v>ARIVO</v>
          </cell>
          <cell r="E1802" t="str">
            <v>BUFFALO XARS2 RIB 18PR</v>
          </cell>
          <cell r="N1802">
            <v>9645.81</v>
          </cell>
        </row>
        <row r="1803">
          <cell r="A1803" t="str">
            <v>11</v>
          </cell>
          <cell r="C1803" t="str">
            <v>R22.5</v>
          </cell>
          <cell r="D1803" t="str">
            <v>AVENTUS</v>
          </cell>
          <cell r="E1803" t="str">
            <v xml:space="preserve">18PR VH200 RIB </v>
          </cell>
          <cell r="N1803">
            <v>7200</v>
          </cell>
        </row>
        <row r="1804">
          <cell r="A1804" t="str">
            <v>10.00</v>
          </cell>
          <cell r="C1804" t="str">
            <v>R20</v>
          </cell>
          <cell r="D1804" t="str">
            <v>AULICE</v>
          </cell>
          <cell r="E1804" t="str">
            <v>18PR AR101 MIX</v>
          </cell>
          <cell r="N1804">
            <v>8500</v>
          </cell>
        </row>
        <row r="1805">
          <cell r="A1805" t="str">
            <v>10.00</v>
          </cell>
          <cell r="C1805" t="str">
            <v>R20</v>
          </cell>
          <cell r="D1805" t="str">
            <v>AULICE</v>
          </cell>
          <cell r="E1805" t="str">
            <v>18PR AR3137 MIX LUG</v>
          </cell>
          <cell r="N1805">
            <v>8700</v>
          </cell>
        </row>
        <row r="1806">
          <cell r="A1806" t="str">
            <v>11.00</v>
          </cell>
          <cell r="C1806" t="str">
            <v>R20</v>
          </cell>
          <cell r="D1806" t="str">
            <v>AULICE</v>
          </cell>
          <cell r="E1806" t="str">
            <v>18PR AR1017 MIX</v>
          </cell>
          <cell r="N1806">
            <v>11562.1</v>
          </cell>
        </row>
        <row r="1807">
          <cell r="A1807" t="str">
            <v>11.00</v>
          </cell>
          <cell r="C1807" t="str">
            <v>R20</v>
          </cell>
          <cell r="D1807" t="str">
            <v>AULICE</v>
          </cell>
          <cell r="E1807" t="str">
            <v>18PR AR3137 BLK</v>
          </cell>
          <cell r="N1807">
            <v>11878.35</v>
          </cell>
        </row>
        <row r="1808">
          <cell r="A1808" t="str">
            <v>11.00</v>
          </cell>
          <cell r="C1808" t="str">
            <v>R20</v>
          </cell>
          <cell r="D1808" t="str">
            <v>AULICE</v>
          </cell>
          <cell r="E1808" t="str">
            <v>18PR AR535 LUG</v>
          </cell>
          <cell r="N1808">
            <v>12482.81</v>
          </cell>
        </row>
        <row r="1809">
          <cell r="A1809" t="str">
            <v>12.00</v>
          </cell>
          <cell r="C1809" t="str">
            <v>R20</v>
          </cell>
          <cell r="D1809" t="str">
            <v>AULICE</v>
          </cell>
          <cell r="E1809" t="str">
            <v>AR3137 20PR</v>
          </cell>
          <cell r="N1809">
            <v>14898.23</v>
          </cell>
        </row>
        <row r="1810">
          <cell r="A1810" t="str">
            <v>12.00</v>
          </cell>
          <cell r="C1810">
            <v>20</v>
          </cell>
          <cell r="D1810" t="str">
            <v>AULICE</v>
          </cell>
          <cell r="E1810" t="str">
            <v>20PR AR535 MINING LUG</v>
          </cell>
          <cell r="N1810">
            <v>15855.41</v>
          </cell>
        </row>
        <row r="1811">
          <cell r="A1811" t="str">
            <v>12.00</v>
          </cell>
          <cell r="C1811">
            <v>20</v>
          </cell>
          <cell r="D1811" t="str">
            <v>AULICE</v>
          </cell>
          <cell r="E1811" t="str">
            <v>20PR AR1017 MIX</v>
          </cell>
          <cell r="N1811">
            <v>14444.88</v>
          </cell>
        </row>
        <row r="1812">
          <cell r="A1812" t="str">
            <v>295</v>
          </cell>
          <cell r="B1812" t="str">
            <v>80</v>
          </cell>
          <cell r="C1812" t="str">
            <v>22.5</v>
          </cell>
          <cell r="D1812" t="str">
            <v>AULICE</v>
          </cell>
          <cell r="E1812" t="str">
            <v>18PR AW787 RIB</v>
          </cell>
          <cell r="N1812">
            <v>9564.0300000000007</v>
          </cell>
        </row>
        <row r="1813">
          <cell r="A1813" t="str">
            <v>11</v>
          </cell>
          <cell r="C1813" t="str">
            <v>22.5</v>
          </cell>
          <cell r="D1813" t="str">
            <v>AULICE</v>
          </cell>
          <cell r="E1813" t="str">
            <v>16PR AR818 BLK</v>
          </cell>
          <cell r="N1813">
            <v>9441.06</v>
          </cell>
        </row>
        <row r="1814">
          <cell r="A1814" t="str">
            <v>12</v>
          </cell>
          <cell r="C1814" t="str">
            <v>22.5</v>
          </cell>
          <cell r="D1814" t="str">
            <v>AULICE</v>
          </cell>
          <cell r="E1814" t="str">
            <v>18PR AR777 RIB</v>
          </cell>
          <cell r="N1814">
            <v>10692.71</v>
          </cell>
        </row>
        <row r="1815">
          <cell r="A1815" t="str">
            <v>12</v>
          </cell>
          <cell r="C1815" t="str">
            <v>22.5</v>
          </cell>
          <cell r="D1815" t="str">
            <v>AULICE</v>
          </cell>
          <cell r="E1815" t="str">
            <v>18PR AR778 MIX LUG</v>
          </cell>
          <cell r="N1815">
            <v>10468.129999999999</v>
          </cell>
        </row>
        <row r="1816">
          <cell r="A1816" t="str">
            <v>12</v>
          </cell>
          <cell r="C1816" t="str">
            <v>22.5</v>
          </cell>
          <cell r="D1816" t="str">
            <v>AULICE</v>
          </cell>
          <cell r="E1816" t="str">
            <v>18PR AR816</v>
          </cell>
          <cell r="N1816">
            <v>13063</v>
          </cell>
        </row>
        <row r="1817">
          <cell r="A1817" t="str">
            <v>20.5</v>
          </cell>
          <cell r="B1817">
            <v>70</v>
          </cell>
          <cell r="C1817">
            <v>16</v>
          </cell>
          <cell r="D1817" t="str">
            <v>ADVANCE</v>
          </cell>
          <cell r="E1817" t="str">
            <v>14PR EB/LB</v>
          </cell>
          <cell r="N1817">
            <v>9700</v>
          </cell>
        </row>
        <row r="1818">
          <cell r="A1818" t="str">
            <v>285</v>
          </cell>
          <cell r="B1818">
            <v>70</v>
          </cell>
          <cell r="C1818">
            <v>19.5</v>
          </cell>
          <cell r="D1818" t="str">
            <v>ADVANCE</v>
          </cell>
          <cell r="E1818" t="str">
            <v>GL284A</v>
          </cell>
          <cell r="N1818">
            <v>7566.01</v>
          </cell>
        </row>
        <row r="1819">
          <cell r="A1819" t="str">
            <v>13.6</v>
          </cell>
          <cell r="C1819">
            <v>24</v>
          </cell>
          <cell r="D1819" t="str">
            <v>ADVANCE</v>
          </cell>
          <cell r="E1819" t="str">
            <v>8PR R-15FZC</v>
          </cell>
          <cell r="N1819">
            <v>11640</v>
          </cell>
        </row>
        <row r="1820">
          <cell r="A1820" t="str">
            <v>26.5</v>
          </cell>
          <cell r="C1820">
            <v>25</v>
          </cell>
          <cell r="D1820" t="str">
            <v>ADVANCE</v>
          </cell>
          <cell r="E1820" t="str">
            <v xml:space="preserve">28PR E3/L3 LOADER </v>
          </cell>
          <cell r="N1820">
            <v>82450</v>
          </cell>
        </row>
        <row r="1821">
          <cell r="A1821" t="str">
            <v>11</v>
          </cell>
          <cell r="C1821" t="str">
            <v>R22.5</v>
          </cell>
          <cell r="D1821" t="str">
            <v>AGATE</v>
          </cell>
          <cell r="E1821" t="str">
            <v>18PR RIB</v>
          </cell>
          <cell r="N1821">
            <v>8600</v>
          </cell>
        </row>
        <row r="1822">
          <cell r="A1822" t="str">
            <v>11</v>
          </cell>
          <cell r="C1822" t="str">
            <v>R22.5</v>
          </cell>
          <cell r="D1822" t="str">
            <v>AGATE</v>
          </cell>
          <cell r="E1822" t="str">
            <v>HF702 MIX</v>
          </cell>
          <cell r="N1822">
            <v>8300</v>
          </cell>
        </row>
        <row r="1823">
          <cell r="A1823" t="str">
            <v>3.40/6.50</v>
          </cell>
          <cell r="C1823">
            <v>13</v>
          </cell>
          <cell r="D1823" t="str">
            <v>BONTERRA</v>
          </cell>
          <cell r="E1823" t="str">
            <v>10PR KARGADOR</v>
          </cell>
          <cell r="N1823">
            <v>2057.6999999999998</v>
          </cell>
        </row>
        <row r="1824">
          <cell r="A1824" t="str">
            <v>205</v>
          </cell>
          <cell r="B1824">
            <v>75</v>
          </cell>
          <cell r="C1824">
            <v>17.5</v>
          </cell>
          <cell r="D1824" t="str">
            <v>BONTERRA</v>
          </cell>
          <cell r="E1824" t="str">
            <v>16PR HS205 RIB</v>
          </cell>
          <cell r="N1824">
            <v>4785</v>
          </cell>
        </row>
        <row r="1825">
          <cell r="A1825" t="str">
            <v>225</v>
          </cell>
          <cell r="B1825">
            <v>80</v>
          </cell>
          <cell r="C1825">
            <v>17.5</v>
          </cell>
          <cell r="D1825" t="str">
            <v>BONTERRA</v>
          </cell>
          <cell r="E1825" t="str">
            <v>18PR BTS866</v>
          </cell>
          <cell r="N1825">
            <v>5940</v>
          </cell>
        </row>
        <row r="1826">
          <cell r="A1826" t="str">
            <v>9.5</v>
          </cell>
          <cell r="C1826" t="str">
            <v>R17.5</v>
          </cell>
          <cell r="D1826" t="str">
            <v>BONTERRA</v>
          </cell>
          <cell r="E1826" t="str">
            <v>18PR BT858</v>
          </cell>
          <cell r="N1826">
            <v>5956.5</v>
          </cell>
        </row>
        <row r="1827">
          <cell r="A1827" t="str">
            <v>9.5</v>
          </cell>
          <cell r="C1827" t="str">
            <v>R17.5</v>
          </cell>
          <cell r="D1827" t="str">
            <v>BONTERRA</v>
          </cell>
          <cell r="E1827" t="str">
            <v>18PR BTD885 LUG</v>
          </cell>
          <cell r="N1827">
            <v>6325</v>
          </cell>
        </row>
        <row r="1828">
          <cell r="A1828" t="str">
            <v>11</v>
          </cell>
          <cell r="C1828" t="str">
            <v>R22.5</v>
          </cell>
          <cell r="D1828" t="str">
            <v>BONTERRA</v>
          </cell>
          <cell r="E1828" t="str">
            <v>20PR BT818 MIX</v>
          </cell>
          <cell r="N1828">
            <v>7500</v>
          </cell>
        </row>
        <row r="1829">
          <cell r="A1829" t="str">
            <v>11</v>
          </cell>
          <cell r="C1829" t="str">
            <v>R22.5</v>
          </cell>
          <cell r="D1829" t="str">
            <v>BONTERRA</v>
          </cell>
          <cell r="E1829" t="str">
            <v>20PR BT828 RIB</v>
          </cell>
          <cell r="N1829">
            <v>7500</v>
          </cell>
        </row>
        <row r="1830">
          <cell r="A1830" t="str">
            <v>7.50</v>
          </cell>
          <cell r="C1830" t="str">
            <v>R15</v>
          </cell>
          <cell r="D1830" t="str">
            <v>BRIDGESTONE</v>
          </cell>
          <cell r="E1830" t="str">
            <v>R200 RIB</v>
          </cell>
          <cell r="N1830">
            <v>11277.6</v>
          </cell>
        </row>
        <row r="1831">
          <cell r="A1831" t="str">
            <v>10.00</v>
          </cell>
          <cell r="C1831">
            <v>20</v>
          </cell>
          <cell r="D1831" t="str">
            <v>BRIDGESTONE</v>
          </cell>
          <cell r="E1831" t="str">
            <v>L301 LUG</v>
          </cell>
          <cell r="N1831">
            <v>18900</v>
          </cell>
        </row>
        <row r="1832">
          <cell r="A1832" t="str">
            <v>11</v>
          </cell>
          <cell r="C1832" t="str">
            <v>R22.5</v>
          </cell>
          <cell r="D1832" t="str">
            <v>BRIDGESTONE</v>
          </cell>
          <cell r="E1832" t="str">
            <v>R224 RIB</v>
          </cell>
          <cell r="N1832">
            <v>17504</v>
          </cell>
        </row>
        <row r="1833">
          <cell r="A1833" t="str">
            <v>11</v>
          </cell>
          <cell r="C1833" t="str">
            <v>R22.5</v>
          </cell>
          <cell r="D1833" t="str">
            <v>BRIDGESTONE</v>
          </cell>
          <cell r="E1833" t="str">
            <v>R156 16PR RIB</v>
          </cell>
          <cell r="N1833">
            <v>19180</v>
          </cell>
        </row>
        <row r="1834">
          <cell r="A1834" t="str">
            <v>12.00</v>
          </cell>
          <cell r="C1834" t="str">
            <v>R20</v>
          </cell>
          <cell r="D1834" t="str">
            <v>BRIDGESTONE</v>
          </cell>
          <cell r="E1834" t="str">
            <v>L301 LUG</v>
          </cell>
          <cell r="N1834">
            <v>23000</v>
          </cell>
        </row>
        <row r="1835">
          <cell r="A1835" t="str">
            <v>5.00</v>
          </cell>
          <cell r="C1835">
            <v>12</v>
          </cell>
          <cell r="D1835" t="str">
            <v>CASUMINA</v>
          </cell>
          <cell r="E1835" t="str">
            <v>12PR CA405K RIB</v>
          </cell>
          <cell r="N1835">
            <v>2103</v>
          </cell>
        </row>
        <row r="1836">
          <cell r="A1836" t="str">
            <v>6.50</v>
          </cell>
          <cell r="C1836">
            <v>14</v>
          </cell>
          <cell r="D1836" t="str">
            <v>CASUMINA</v>
          </cell>
          <cell r="E1836" t="str">
            <v>14PR CA402F LUG</v>
          </cell>
          <cell r="N1836">
            <v>3632.65</v>
          </cell>
        </row>
        <row r="1837">
          <cell r="A1837" t="str">
            <v>7.00</v>
          </cell>
          <cell r="C1837">
            <v>15</v>
          </cell>
          <cell r="D1837" t="str">
            <v>CASUMINA</v>
          </cell>
          <cell r="E1837" t="str">
            <v>12PR CA405P RIB</v>
          </cell>
          <cell r="N1837">
            <v>4919</v>
          </cell>
        </row>
        <row r="1838">
          <cell r="A1838" t="str">
            <v>225</v>
          </cell>
          <cell r="B1838">
            <v>90</v>
          </cell>
          <cell r="C1838">
            <v>17.5</v>
          </cell>
          <cell r="D1838" t="str">
            <v>CASUMINA</v>
          </cell>
          <cell r="E1838" t="str">
            <v>GS622 RIB</v>
          </cell>
          <cell r="N1838">
            <v>8373</v>
          </cell>
        </row>
        <row r="1839">
          <cell r="A1839" t="str">
            <v>8.25</v>
          </cell>
          <cell r="C1839">
            <v>16</v>
          </cell>
          <cell r="D1839" t="str">
            <v>CASUMINA</v>
          </cell>
          <cell r="E1839" t="str">
            <v>18PR CA402F LUG</v>
          </cell>
          <cell r="N1839">
            <v>7654</v>
          </cell>
        </row>
        <row r="1840">
          <cell r="A1840" t="str">
            <v>10.00</v>
          </cell>
          <cell r="C1840">
            <v>20</v>
          </cell>
          <cell r="D1840" t="str">
            <v>CASUMINA</v>
          </cell>
          <cell r="E1840" t="str">
            <v>18PR LUG</v>
          </cell>
          <cell r="N1840">
            <v>12337</v>
          </cell>
        </row>
        <row r="1841">
          <cell r="A1841" t="str">
            <v>12</v>
          </cell>
          <cell r="C1841">
            <v>16.5</v>
          </cell>
          <cell r="D1841" t="str">
            <v>CAMSO</v>
          </cell>
          <cell r="E1841" t="str">
            <v>SKS532</v>
          </cell>
          <cell r="N1841">
            <v>13387.5</v>
          </cell>
        </row>
        <row r="1842">
          <cell r="A1842" t="str">
            <v>10.00</v>
          </cell>
          <cell r="C1842" t="str">
            <v>R20</v>
          </cell>
          <cell r="D1842" t="str">
            <v>CENTARA</v>
          </cell>
          <cell r="E1842" t="str">
            <v>18PR SD707 MIX</v>
          </cell>
          <cell r="N1842">
            <v>9975</v>
          </cell>
        </row>
        <row r="1843">
          <cell r="A1843" t="str">
            <v>11</v>
          </cell>
          <cell r="C1843" t="str">
            <v>R20</v>
          </cell>
          <cell r="D1843" t="str">
            <v>CENTARA</v>
          </cell>
          <cell r="E1843" t="str">
            <v>18PR SD707 MIX</v>
          </cell>
          <cell r="N1843">
            <v>9800</v>
          </cell>
        </row>
        <row r="1844">
          <cell r="A1844" t="str">
            <v>11</v>
          </cell>
          <cell r="C1844">
            <v>22.5</v>
          </cell>
          <cell r="D1844" t="str">
            <v>CENTARA</v>
          </cell>
          <cell r="E1844" t="str">
            <v>20PR SD707 MIX</v>
          </cell>
          <cell r="N1844">
            <v>7500</v>
          </cell>
        </row>
        <row r="1845">
          <cell r="A1845" t="str">
            <v>11</v>
          </cell>
          <cell r="C1845">
            <v>22.5</v>
          </cell>
          <cell r="D1845" t="str">
            <v>CENTARA</v>
          </cell>
          <cell r="E1845" t="str">
            <v>18PR SD701 RIB</v>
          </cell>
          <cell r="N1845">
            <v>7500</v>
          </cell>
        </row>
        <row r="1846">
          <cell r="A1846" t="str">
            <v>11</v>
          </cell>
          <cell r="C1846">
            <v>22.5</v>
          </cell>
          <cell r="D1846" t="str">
            <v>CENTARA</v>
          </cell>
          <cell r="E1846" t="str">
            <v>20PR SD701 RIB</v>
          </cell>
          <cell r="N1846">
            <v>7500</v>
          </cell>
        </row>
        <row r="1847">
          <cell r="A1847" t="str">
            <v>11</v>
          </cell>
          <cell r="C1847">
            <v>22.5</v>
          </cell>
          <cell r="D1847" t="str">
            <v>CENTARA</v>
          </cell>
          <cell r="E1847" t="str">
            <v>20PR SD690 LUG</v>
          </cell>
          <cell r="N1847">
            <v>8000</v>
          </cell>
        </row>
        <row r="1848">
          <cell r="A1848" t="str">
            <v>7.00</v>
          </cell>
          <cell r="C1848">
            <v>12</v>
          </cell>
          <cell r="D1848" t="str">
            <v>DEESTONE</v>
          </cell>
          <cell r="E1848" t="str">
            <v>D301 12PR</v>
          </cell>
          <cell r="N1848">
            <v>4900</v>
          </cell>
        </row>
        <row r="1849">
          <cell r="A1849" t="str">
            <v>6.40</v>
          </cell>
          <cell r="B1849">
            <v>6.5</v>
          </cell>
          <cell r="C1849">
            <v>13</v>
          </cell>
          <cell r="D1849" t="str">
            <v>DEESTONE</v>
          </cell>
          <cell r="E1849" t="str">
            <v>D502 MIX LUG 6PR</v>
          </cell>
          <cell r="N1849">
            <v>2676</v>
          </cell>
        </row>
        <row r="1850">
          <cell r="A1850" t="str">
            <v>6.50</v>
          </cell>
          <cell r="C1850">
            <v>10</v>
          </cell>
          <cell r="D1850" t="str">
            <v>DEESTONE</v>
          </cell>
          <cell r="E1850" t="str">
            <v>10PR D301 FORK LIFT LUG</v>
          </cell>
          <cell r="N1850">
            <v>3353.06</v>
          </cell>
        </row>
        <row r="1851">
          <cell r="A1851" t="str">
            <v>6.50</v>
          </cell>
          <cell r="C1851">
            <v>14</v>
          </cell>
          <cell r="D1851" t="str">
            <v>DEESTONE</v>
          </cell>
          <cell r="E1851" t="str">
            <v>D201</v>
          </cell>
          <cell r="N1851">
            <v>4250</v>
          </cell>
        </row>
        <row r="1852">
          <cell r="A1852" t="str">
            <v>3.00</v>
          </cell>
          <cell r="C1852">
            <v>15</v>
          </cell>
          <cell r="D1852" t="str">
            <v>DEESTONE</v>
          </cell>
          <cell r="E1852" t="str">
            <v>D301 20PR</v>
          </cell>
          <cell r="N1852">
            <v>13798</v>
          </cell>
        </row>
        <row r="1853">
          <cell r="A1853" t="str">
            <v>7.00</v>
          </cell>
          <cell r="C1853">
            <v>15</v>
          </cell>
          <cell r="D1853" t="str">
            <v>DEESTONE</v>
          </cell>
          <cell r="E1853" t="str">
            <v>D102 RIB 12PR</v>
          </cell>
          <cell r="N1853">
            <v>4376</v>
          </cell>
        </row>
        <row r="1854">
          <cell r="A1854" t="str">
            <v>7.00</v>
          </cell>
          <cell r="C1854">
            <v>15</v>
          </cell>
          <cell r="D1854" t="str">
            <v>DEESTONE</v>
          </cell>
          <cell r="E1854" t="str">
            <v>LUG 12PR</v>
          </cell>
          <cell r="N1854">
            <v>4638</v>
          </cell>
        </row>
        <row r="1855">
          <cell r="A1855" t="str">
            <v>7.50</v>
          </cell>
          <cell r="C1855">
            <v>15</v>
          </cell>
          <cell r="D1855" t="str">
            <v>DEESTONE</v>
          </cell>
          <cell r="E1855" t="str">
            <v>14PR RIB D102</v>
          </cell>
          <cell r="N1855">
            <v>5663</v>
          </cell>
        </row>
        <row r="1856">
          <cell r="A1856" t="str">
            <v>7.50</v>
          </cell>
          <cell r="C1856">
            <v>15</v>
          </cell>
          <cell r="D1856" t="str">
            <v>DEESTONE</v>
          </cell>
          <cell r="E1856" t="str">
            <v>14pr LUG</v>
          </cell>
          <cell r="N1856">
            <v>5421</v>
          </cell>
        </row>
        <row r="1857">
          <cell r="A1857" t="str">
            <v>7.00</v>
          </cell>
          <cell r="C1857">
            <v>16</v>
          </cell>
          <cell r="D1857" t="str">
            <v>DEESTONE</v>
          </cell>
          <cell r="E1857" t="str">
            <v xml:space="preserve"> 12PR RIB D102</v>
          </cell>
          <cell r="N1857">
            <v>4697</v>
          </cell>
        </row>
        <row r="1858">
          <cell r="A1858" t="str">
            <v>7.50</v>
          </cell>
          <cell r="C1858">
            <v>16</v>
          </cell>
          <cell r="D1858" t="str">
            <v>DEESTONE</v>
          </cell>
          <cell r="E1858" t="str">
            <v>14PR RIB D102</v>
          </cell>
          <cell r="N1858">
            <v>5819</v>
          </cell>
        </row>
        <row r="1859">
          <cell r="A1859" t="str">
            <v>10.00</v>
          </cell>
          <cell r="C1859" t="str">
            <v>16.50</v>
          </cell>
          <cell r="D1859" t="str">
            <v>DEESTONE</v>
          </cell>
          <cell r="E1859" t="str">
            <v>D304  10PR</v>
          </cell>
          <cell r="N1859">
            <v>6301</v>
          </cell>
        </row>
        <row r="1860">
          <cell r="A1860" t="str">
            <v>12</v>
          </cell>
          <cell r="C1860" t="str">
            <v>16.5</v>
          </cell>
          <cell r="D1860" t="str">
            <v>DEESTONE</v>
          </cell>
          <cell r="E1860" t="str">
            <v>D304</v>
          </cell>
          <cell r="N1860">
            <v>8976</v>
          </cell>
        </row>
        <row r="1861">
          <cell r="A1861" t="str">
            <v>11</v>
          </cell>
          <cell r="C1861" t="str">
            <v>R22.5</v>
          </cell>
          <cell r="D1861" t="str">
            <v>DEESTONE</v>
          </cell>
          <cell r="E1861" t="str">
            <v xml:space="preserve">16PR RIB </v>
          </cell>
          <cell r="N1861">
            <v>12954</v>
          </cell>
        </row>
        <row r="1862">
          <cell r="A1862" t="str">
            <v>11</v>
          </cell>
          <cell r="C1862" t="str">
            <v>R22.5</v>
          </cell>
          <cell r="D1862" t="str">
            <v>DEESTONE</v>
          </cell>
          <cell r="E1862" t="str">
            <v>16PR BLOCKMIX SK421</v>
          </cell>
          <cell r="N1862">
            <v>13235</v>
          </cell>
        </row>
        <row r="1863">
          <cell r="A1863" t="str">
            <v>11</v>
          </cell>
          <cell r="C1863" t="str">
            <v>R22.5</v>
          </cell>
          <cell r="D1863" t="str">
            <v>DEESTONE</v>
          </cell>
          <cell r="E1863" t="str">
            <v>16PR LUG SK422</v>
          </cell>
          <cell r="N1863">
            <v>13235</v>
          </cell>
        </row>
        <row r="1864">
          <cell r="A1864" t="str">
            <v>12.00</v>
          </cell>
          <cell r="C1864" t="str">
            <v>16.5</v>
          </cell>
          <cell r="D1864" t="str">
            <v>DEESTONE</v>
          </cell>
          <cell r="E1864" t="str">
            <v>12PR D304</v>
          </cell>
          <cell r="N1864">
            <v>8554</v>
          </cell>
        </row>
        <row r="1865">
          <cell r="A1865" t="str">
            <v>11</v>
          </cell>
          <cell r="C1865" t="str">
            <v>R22.5</v>
          </cell>
          <cell r="D1865" t="str">
            <v>DOUBLE COIN</v>
          </cell>
          <cell r="E1865" t="str">
            <v>16PR RR680</v>
          </cell>
          <cell r="N1865">
            <v>9270</v>
          </cell>
        </row>
        <row r="1866">
          <cell r="A1866" t="str">
            <v>12.00</v>
          </cell>
          <cell r="C1866" t="str">
            <v>R20</v>
          </cell>
          <cell r="D1866" t="str">
            <v>DOUPRO</v>
          </cell>
          <cell r="E1866" t="str">
            <v>20 PR LUG</v>
          </cell>
          <cell r="N1866">
            <v>14500</v>
          </cell>
        </row>
        <row r="1867">
          <cell r="A1867" t="str">
            <v>6.50</v>
          </cell>
          <cell r="C1867" t="str">
            <v>R16</v>
          </cell>
          <cell r="D1867" t="str">
            <v>DURATURN</v>
          </cell>
          <cell r="E1867" t="str">
            <v>Y226 RIB</v>
          </cell>
          <cell r="N1867">
            <v>4125</v>
          </cell>
        </row>
        <row r="1868">
          <cell r="A1868" t="str">
            <v>7.00</v>
          </cell>
          <cell r="C1868" t="str">
            <v>R16</v>
          </cell>
          <cell r="D1868" t="str">
            <v>DURATURN</v>
          </cell>
          <cell r="E1868" t="str">
            <v>14PR Y226 (SET)</v>
          </cell>
          <cell r="N1868">
            <v>4845</v>
          </cell>
        </row>
        <row r="1869">
          <cell r="A1869" t="str">
            <v>7.00</v>
          </cell>
          <cell r="C1869" t="str">
            <v>R16</v>
          </cell>
          <cell r="D1869" t="str">
            <v>DURATURN</v>
          </cell>
          <cell r="E1869" t="str">
            <v>Y601 MIX</v>
          </cell>
          <cell r="N1869">
            <v>4675</v>
          </cell>
        </row>
        <row r="1870">
          <cell r="N1870">
            <v>5434</v>
          </cell>
        </row>
        <row r="1871">
          <cell r="A1871" t="str">
            <v>245</v>
          </cell>
          <cell r="B1871">
            <v>70</v>
          </cell>
          <cell r="C1871">
            <v>19.5</v>
          </cell>
          <cell r="D1871" t="str">
            <v>DURATURN</v>
          </cell>
          <cell r="E1871" t="str">
            <v>16PR7201</v>
          </cell>
          <cell r="N1871">
            <v>6380</v>
          </cell>
        </row>
        <row r="1872">
          <cell r="A1872" t="str">
            <v>10.00</v>
          </cell>
          <cell r="C1872" t="str">
            <v>R20</v>
          </cell>
          <cell r="D1872" t="str">
            <v>DURATURN</v>
          </cell>
          <cell r="E1872" t="str">
            <v>18PR Y866 LUG</v>
          </cell>
          <cell r="N1872">
            <v>11495</v>
          </cell>
        </row>
        <row r="1873">
          <cell r="A1873" t="str">
            <v>12.00</v>
          </cell>
          <cell r="C1873" t="str">
            <v>R20</v>
          </cell>
          <cell r="D1873" t="str">
            <v>DURATURN</v>
          </cell>
          <cell r="E1873" t="str">
            <v>20PR Y509 LUG</v>
          </cell>
          <cell r="N1873">
            <v>15400</v>
          </cell>
        </row>
        <row r="1874">
          <cell r="A1874" t="str">
            <v>12.00</v>
          </cell>
          <cell r="C1874" t="str">
            <v>R20</v>
          </cell>
          <cell r="D1874" t="str">
            <v>DURATURN</v>
          </cell>
          <cell r="E1874" t="str">
            <v>20PR Y258 MIX</v>
          </cell>
          <cell r="N1874">
            <v>15400</v>
          </cell>
        </row>
        <row r="1875">
          <cell r="A1875" t="str">
            <v>12.00</v>
          </cell>
          <cell r="C1875" t="str">
            <v>R20</v>
          </cell>
          <cell r="D1875" t="str">
            <v>DURATURN</v>
          </cell>
          <cell r="E1875" t="str">
            <v>18PR Y868 MINING LUG</v>
          </cell>
          <cell r="N1875">
            <v>16445</v>
          </cell>
        </row>
        <row r="1876">
          <cell r="A1876" t="str">
            <v>12</v>
          </cell>
          <cell r="C1876" t="str">
            <v>R22.5</v>
          </cell>
          <cell r="D1876" t="str">
            <v>DURATURN</v>
          </cell>
          <cell r="E1876" t="str">
            <v>18PR Y501 LUG</v>
          </cell>
          <cell r="N1876">
            <v>11696.4</v>
          </cell>
        </row>
        <row r="1877">
          <cell r="A1877" t="str">
            <v>275</v>
          </cell>
          <cell r="B1877">
            <v>80</v>
          </cell>
          <cell r="C1877">
            <v>22.5</v>
          </cell>
          <cell r="D1877" t="str">
            <v>DURATURN</v>
          </cell>
          <cell r="E1877" t="str">
            <v>16PR Y237 RIB</v>
          </cell>
          <cell r="N1877">
            <v>10146</v>
          </cell>
        </row>
        <row r="1878">
          <cell r="A1878" t="str">
            <v>315</v>
          </cell>
          <cell r="B1878">
            <v>80</v>
          </cell>
          <cell r="C1878">
            <v>22.5</v>
          </cell>
          <cell r="D1878" t="str">
            <v>DURATURN</v>
          </cell>
          <cell r="E1878" t="str">
            <v>20PR Y601 MIX</v>
          </cell>
          <cell r="N1878">
            <v>11990</v>
          </cell>
        </row>
        <row r="1879">
          <cell r="A1879" t="str">
            <v>315</v>
          </cell>
          <cell r="B1879">
            <v>80</v>
          </cell>
          <cell r="C1879">
            <v>22.5</v>
          </cell>
          <cell r="D1879" t="str">
            <v>DURATURN</v>
          </cell>
          <cell r="E1879" t="str">
            <v>Y209 RIB</v>
          </cell>
          <cell r="N1879">
            <v>11390.5</v>
          </cell>
        </row>
        <row r="1880">
          <cell r="A1880" t="str">
            <v>315</v>
          </cell>
          <cell r="B1880">
            <v>80</v>
          </cell>
          <cell r="C1880">
            <v>22.5</v>
          </cell>
          <cell r="D1880" t="str">
            <v>DURATURN</v>
          </cell>
          <cell r="E1880" t="str">
            <v>Y516 LUG</v>
          </cell>
          <cell r="N1880">
            <v>11599.5</v>
          </cell>
        </row>
        <row r="1881">
          <cell r="A1881" t="str">
            <v>385</v>
          </cell>
          <cell r="B1881">
            <v>65</v>
          </cell>
          <cell r="C1881">
            <v>22.5</v>
          </cell>
          <cell r="D1881" t="str">
            <v>DURATURN</v>
          </cell>
          <cell r="E1881" t="str">
            <v>22PR Y603 RIB</v>
          </cell>
          <cell r="N1881">
            <v>13862.4</v>
          </cell>
        </row>
        <row r="1882">
          <cell r="A1882" t="str">
            <v>7.00</v>
          </cell>
          <cell r="C1882">
            <v>12</v>
          </cell>
          <cell r="D1882" t="str">
            <v>EUROGRIP</v>
          </cell>
          <cell r="E1882" t="str">
            <v>14PR IT45</v>
          </cell>
          <cell r="N1882">
            <v>15888.6</v>
          </cell>
        </row>
        <row r="1883">
          <cell r="A1883" t="str">
            <v>7.00</v>
          </cell>
          <cell r="C1883">
            <v>12</v>
          </cell>
          <cell r="D1883" t="str">
            <v>EUROGRIP</v>
          </cell>
          <cell r="E1883" t="str">
            <v>16PR IT30</v>
          </cell>
          <cell r="N1883">
            <v>7153.5</v>
          </cell>
        </row>
        <row r="1884">
          <cell r="A1884" t="str">
            <v>3.00</v>
          </cell>
          <cell r="C1884">
            <v>15</v>
          </cell>
          <cell r="D1884" t="str">
            <v>EUROGRIP</v>
          </cell>
          <cell r="E1884" t="str">
            <v>20PR IT30</v>
          </cell>
          <cell r="N1884">
            <v>5606.6</v>
          </cell>
        </row>
        <row r="1885">
          <cell r="A1885" t="str">
            <v>225</v>
          </cell>
          <cell r="B1885">
            <v>80</v>
          </cell>
          <cell r="C1885">
            <v>17.5</v>
          </cell>
          <cell r="D1885" t="str">
            <v>FALKEN</v>
          </cell>
          <cell r="E1885" t="str">
            <v>G1388</v>
          </cell>
          <cell r="N1885">
            <v>12500</v>
          </cell>
        </row>
        <row r="1886">
          <cell r="A1886" t="str">
            <v>5.00</v>
          </cell>
          <cell r="C1886">
            <v>12</v>
          </cell>
          <cell r="D1886" t="str">
            <v xml:space="preserve">GAJAH TUNGGAL </v>
          </cell>
          <cell r="E1886" t="str">
            <v>8PR MILER</v>
          </cell>
          <cell r="N1886">
            <v>2185</v>
          </cell>
        </row>
        <row r="1887">
          <cell r="A1887" t="str">
            <v>6.40</v>
          </cell>
          <cell r="C1887">
            <v>13</v>
          </cell>
          <cell r="D1887" t="str">
            <v xml:space="preserve">GAJAH TUNGGAL </v>
          </cell>
          <cell r="E1887" t="str">
            <v>8PR RIB</v>
          </cell>
          <cell r="N1887">
            <v>2688</v>
          </cell>
        </row>
        <row r="1888">
          <cell r="A1888" t="str">
            <v>6.00</v>
          </cell>
          <cell r="C1888">
            <v>14</v>
          </cell>
          <cell r="D1888" t="str">
            <v xml:space="preserve">GAJAH TUNGGAL </v>
          </cell>
          <cell r="E1888" t="str">
            <v>8PR MILER</v>
          </cell>
          <cell r="N1888">
            <v>3222</v>
          </cell>
        </row>
        <row r="1889">
          <cell r="A1889" t="str">
            <v>6.50</v>
          </cell>
          <cell r="C1889">
            <v>14</v>
          </cell>
          <cell r="D1889" t="str">
            <v xml:space="preserve">GAJAH TUNGGAL </v>
          </cell>
          <cell r="E1889" t="str">
            <v>8PR RIB</v>
          </cell>
          <cell r="N1889">
            <v>3534</v>
          </cell>
        </row>
        <row r="1890">
          <cell r="A1890" t="str">
            <v>6.50</v>
          </cell>
          <cell r="C1890">
            <v>15</v>
          </cell>
          <cell r="D1890" t="str">
            <v xml:space="preserve">GAJAH TUNGGAL </v>
          </cell>
          <cell r="E1890" t="str">
            <v>8PR RIB</v>
          </cell>
          <cell r="N1890">
            <v>4560</v>
          </cell>
        </row>
        <row r="1891">
          <cell r="A1891" t="str">
            <v>7.00</v>
          </cell>
          <cell r="C1891">
            <v>15</v>
          </cell>
          <cell r="D1891" t="str">
            <v xml:space="preserve">GAJAH TUNGGAL </v>
          </cell>
          <cell r="E1891" t="str">
            <v>10PR RIB</v>
          </cell>
          <cell r="N1891">
            <v>7100</v>
          </cell>
        </row>
        <row r="1892">
          <cell r="A1892" t="str">
            <v>7.00</v>
          </cell>
          <cell r="C1892">
            <v>15</v>
          </cell>
          <cell r="D1892" t="str">
            <v xml:space="preserve">GAJAH TUNGGAL </v>
          </cell>
          <cell r="E1892" t="str">
            <v>12PR LUG</v>
          </cell>
          <cell r="N1892">
            <v>5760</v>
          </cell>
        </row>
        <row r="1893">
          <cell r="A1893" t="str">
            <v>7.00</v>
          </cell>
          <cell r="C1893">
            <v>15</v>
          </cell>
          <cell r="D1893" t="str">
            <v xml:space="preserve">GAJAH TUNGGAL </v>
          </cell>
          <cell r="E1893" t="str">
            <v>12PR RIB</v>
          </cell>
          <cell r="N1893">
            <v>5580</v>
          </cell>
        </row>
        <row r="1894">
          <cell r="A1894" t="str">
            <v>7.50</v>
          </cell>
          <cell r="C1894">
            <v>15</v>
          </cell>
          <cell r="D1894" t="str">
            <v xml:space="preserve">GAJAH TUNGGAL </v>
          </cell>
          <cell r="E1894" t="str">
            <v>12PR LUG</v>
          </cell>
          <cell r="N1894">
            <v>6510</v>
          </cell>
        </row>
        <row r="1895">
          <cell r="A1895" t="str">
            <v>7.50</v>
          </cell>
          <cell r="C1895">
            <v>15</v>
          </cell>
          <cell r="D1895" t="str">
            <v xml:space="preserve">GAJAH TUNGGAL </v>
          </cell>
          <cell r="E1895" t="str">
            <v xml:space="preserve">12PR MILER </v>
          </cell>
          <cell r="N1895">
            <v>6510</v>
          </cell>
        </row>
        <row r="1896">
          <cell r="A1896" t="str">
            <v>6.50</v>
          </cell>
          <cell r="C1896">
            <v>16</v>
          </cell>
          <cell r="D1896" t="str">
            <v xml:space="preserve">GAJAH TUNGGAL </v>
          </cell>
          <cell r="E1896" t="str">
            <v>10PR RIB MILER</v>
          </cell>
          <cell r="N1896">
            <v>5320</v>
          </cell>
        </row>
        <row r="1897">
          <cell r="A1897" t="str">
            <v>7.00</v>
          </cell>
          <cell r="C1897">
            <v>16</v>
          </cell>
          <cell r="D1897" t="str">
            <v xml:space="preserve">GAJAH TUNGGAL </v>
          </cell>
          <cell r="E1897" t="str">
            <v>12PR MILER</v>
          </cell>
          <cell r="N1897">
            <v>6045</v>
          </cell>
        </row>
        <row r="1898">
          <cell r="A1898" t="str">
            <v>7.00</v>
          </cell>
          <cell r="C1898">
            <v>16</v>
          </cell>
          <cell r="D1898" t="str">
            <v xml:space="preserve">GAJAH TUNGGAL </v>
          </cell>
          <cell r="E1898" t="str">
            <v>12PR LUG</v>
          </cell>
          <cell r="N1898">
            <v>6175</v>
          </cell>
        </row>
        <row r="1899">
          <cell r="A1899" t="str">
            <v>7.50</v>
          </cell>
          <cell r="C1899">
            <v>16</v>
          </cell>
          <cell r="D1899" t="str">
            <v xml:space="preserve">GAJAH TUNGGAL </v>
          </cell>
          <cell r="E1899" t="str">
            <v>12PR RIB</v>
          </cell>
          <cell r="N1899">
            <v>6840</v>
          </cell>
        </row>
        <row r="1900">
          <cell r="A1900" t="str">
            <v>7.50</v>
          </cell>
          <cell r="C1900">
            <v>16</v>
          </cell>
          <cell r="D1900" t="str">
            <v xml:space="preserve">GAJAH TUNGGAL </v>
          </cell>
          <cell r="E1900" t="str">
            <v>12PR LUG</v>
          </cell>
          <cell r="N1900">
            <v>5112.5</v>
          </cell>
        </row>
        <row r="1901">
          <cell r="A1901" t="str">
            <v>7.50</v>
          </cell>
          <cell r="C1901">
            <v>16</v>
          </cell>
          <cell r="D1901" t="str">
            <v xml:space="preserve">GAJAH TUNGGAL </v>
          </cell>
          <cell r="E1901" t="str">
            <v>14PR MILER</v>
          </cell>
          <cell r="N1901">
            <v>6882</v>
          </cell>
        </row>
        <row r="1902">
          <cell r="A1902" t="str">
            <v>7.50</v>
          </cell>
          <cell r="C1902">
            <v>16</v>
          </cell>
          <cell r="D1902" t="str">
            <v xml:space="preserve">GAJAH TUNGGAL </v>
          </cell>
          <cell r="E1902" t="str">
            <v>14PR LUG</v>
          </cell>
          <cell r="N1902">
            <v>6882</v>
          </cell>
        </row>
        <row r="1903">
          <cell r="A1903" t="str">
            <v>8.25</v>
          </cell>
          <cell r="C1903">
            <v>16</v>
          </cell>
          <cell r="D1903" t="str">
            <v xml:space="preserve">GAJAH TUNGGAL </v>
          </cell>
          <cell r="E1903" t="str">
            <v>12P LUG</v>
          </cell>
          <cell r="N1903">
            <v>9120</v>
          </cell>
        </row>
        <row r="1904">
          <cell r="A1904" t="str">
            <v>8.25</v>
          </cell>
          <cell r="C1904">
            <v>16</v>
          </cell>
          <cell r="D1904" t="str">
            <v xml:space="preserve">GAJAH TUNGGAL </v>
          </cell>
          <cell r="E1904" t="str">
            <v>14PR RIB</v>
          </cell>
          <cell r="N1904">
            <v>8500</v>
          </cell>
        </row>
        <row r="1905">
          <cell r="A1905" t="str">
            <v>8.25</v>
          </cell>
          <cell r="C1905">
            <v>16</v>
          </cell>
          <cell r="D1905" t="str">
            <v xml:space="preserve">GAJAH TUNGGAL </v>
          </cell>
          <cell r="E1905" t="str">
            <v>14PR LUG</v>
          </cell>
          <cell r="N1905">
            <v>8500</v>
          </cell>
        </row>
        <row r="1906">
          <cell r="A1906" t="str">
            <v>8.25</v>
          </cell>
          <cell r="C1906">
            <v>20</v>
          </cell>
          <cell r="D1906" t="str">
            <v xml:space="preserve">GAJAH TUNGGAL </v>
          </cell>
          <cell r="E1906" t="str">
            <v>14PR RIB</v>
          </cell>
          <cell r="N1906">
            <v>10755</v>
          </cell>
        </row>
        <row r="1907">
          <cell r="A1907" t="str">
            <v>8.25</v>
          </cell>
          <cell r="C1907">
            <v>20</v>
          </cell>
          <cell r="D1907" t="str">
            <v xml:space="preserve">GAJAH TUNGGAL </v>
          </cell>
          <cell r="E1907" t="str">
            <v>14PR LUG</v>
          </cell>
          <cell r="N1907">
            <v>10200</v>
          </cell>
        </row>
        <row r="1908">
          <cell r="A1908" t="str">
            <v>9.00</v>
          </cell>
          <cell r="C1908">
            <v>20</v>
          </cell>
          <cell r="D1908" t="str">
            <v xml:space="preserve">GAJAH TUNGGAL </v>
          </cell>
          <cell r="E1908" t="str">
            <v>14PR RIB</v>
          </cell>
          <cell r="N1908">
            <v>10857</v>
          </cell>
        </row>
        <row r="1909">
          <cell r="A1909" t="str">
            <v>9.00</v>
          </cell>
          <cell r="C1909">
            <v>20</v>
          </cell>
          <cell r="D1909" t="str">
            <v xml:space="preserve">GAJAH TUNGGAL </v>
          </cell>
          <cell r="E1909" t="str">
            <v>14PR LUG</v>
          </cell>
          <cell r="N1909">
            <v>11902</v>
          </cell>
        </row>
        <row r="1910">
          <cell r="A1910" t="str">
            <v>10.00</v>
          </cell>
          <cell r="C1910">
            <v>20</v>
          </cell>
          <cell r="D1910" t="str">
            <v xml:space="preserve">GAJAH TUNGGAL </v>
          </cell>
          <cell r="E1910" t="str">
            <v>16PR RIB</v>
          </cell>
          <cell r="N1910">
            <v>12173</v>
          </cell>
        </row>
        <row r="1911">
          <cell r="A1911" t="str">
            <v>10.00</v>
          </cell>
          <cell r="C1911">
            <v>20</v>
          </cell>
          <cell r="D1911" t="str">
            <v xml:space="preserve">GAJAH TUNGGAL </v>
          </cell>
          <cell r="E1911" t="str">
            <v>16PR LUG</v>
          </cell>
          <cell r="N1911">
            <v>12314</v>
          </cell>
        </row>
        <row r="1912">
          <cell r="A1912" t="str">
            <v>11.00</v>
          </cell>
          <cell r="C1912">
            <v>20</v>
          </cell>
          <cell r="D1912" t="str">
            <v xml:space="preserve">GAJAH TUNGGAL </v>
          </cell>
          <cell r="E1912" t="str">
            <v>16P LUG</v>
          </cell>
          <cell r="N1912">
            <v>18816</v>
          </cell>
        </row>
        <row r="1913">
          <cell r="A1913" t="str">
            <v>7.00</v>
          </cell>
          <cell r="C1913">
            <v>15</v>
          </cell>
          <cell r="D1913" t="str">
            <v xml:space="preserve">GT RADIAL </v>
          </cell>
          <cell r="E1913" t="str">
            <v>10PR RIB</v>
          </cell>
          <cell r="N1913">
            <v>7100</v>
          </cell>
        </row>
        <row r="1914">
          <cell r="A1914" t="str">
            <v>245</v>
          </cell>
          <cell r="B1914">
            <v>70</v>
          </cell>
          <cell r="C1914">
            <v>19.5</v>
          </cell>
          <cell r="D1914" t="str">
            <v xml:space="preserve">GT RADIAL </v>
          </cell>
          <cell r="E1914" t="str">
            <v>GSR225</v>
          </cell>
          <cell r="N1914">
            <v>10656</v>
          </cell>
        </row>
        <row r="1915">
          <cell r="A1915" t="str">
            <v>205</v>
          </cell>
          <cell r="B1915">
            <v>85</v>
          </cell>
          <cell r="C1915">
            <v>16</v>
          </cell>
          <cell r="D1915" t="str">
            <v>GITI</v>
          </cell>
          <cell r="E1915" t="str">
            <v>GSR 235</v>
          </cell>
          <cell r="N1915">
            <v>6095</v>
          </cell>
        </row>
        <row r="1916">
          <cell r="A1916" t="str">
            <v>235</v>
          </cell>
          <cell r="B1916">
            <v>75</v>
          </cell>
          <cell r="C1916">
            <v>17.5</v>
          </cell>
          <cell r="D1916" t="str">
            <v>GITI</v>
          </cell>
          <cell r="E1916" t="str">
            <v>GAR820</v>
          </cell>
          <cell r="N1916">
            <v>8900</v>
          </cell>
        </row>
        <row r="1917">
          <cell r="A1917" t="str">
            <v>255</v>
          </cell>
          <cell r="B1917">
            <v>70</v>
          </cell>
          <cell r="C1917" t="str">
            <v>R22.5</v>
          </cell>
          <cell r="D1917" t="str">
            <v>GITI</v>
          </cell>
          <cell r="E1917" t="str">
            <v>GAL817</v>
          </cell>
          <cell r="N1917">
            <v>12500</v>
          </cell>
        </row>
        <row r="1918">
          <cell r="A1918" t="str">
            <v>9</v>
          </cell>
          <cell r="C1918">
            <v>14.5</v>
          </cell>
          <cell r="D1918" t="str">
            <v>GALAXY (INDIA)</v>
          </cell>
          <cell r="E1918" t="str">
            <v>TRAILER SPECIAL</v>
          </cell>
          <cell r="N1918">
            <v>8506.9</v>
          </cell>
        </row>
        <row r="1919">
          <cell r="A1919" t="str">
            <v>7.00</v>
          </cell>
          <cell r="C1919">
            <v>16</v>
          </cell>
          <cell r="D1919" t="str">
            <v>GOODTYRE</v>
          </cell>
          <cell r="E1919" t="str">
            <v>YB268 MIX 14PR</v>
          </cell>
          <cell r="N1919">
            <v>4754</v>
          </cell>
        </row>
        <row r="1920">
          <cell r="A1920" t="str">
            <v>10.00</v>
          </cell>
          <cell r="C1920" t="str">
            <v>R20</v>
          </cell>
          <cell r="D1920" t="str">
            <v>GOODTYRE</v>
          </cell>
          <cell r="E1920" t="str">
            <v>YB268 MIX 18PR</v>
          </cell>
          <cell r="N1920">
            <v>10693</v>
          </cell>
        </row>
        <row r="1921">
          <cell r="A1921" t="str">
            <v>11</v>
          </cell>
          <cell r="C1921" t="str">
            <v>R22.5</v>
          </cell>
          <cell r="D1921" t="str">
            <v>GOODTYRE</v>
          </cell>
          <cell r="E1921" t="str">
            <v>16PR GT298 RIB</v>
          </cell>
          <cell r="N1921">
            <v>9900</v>
          </cell>
        </row>
        <row r="1922">
          <cell r="A1922" t="str">
            <v>7.50</v>
          </cell>
          <cell r="C1922">
            <v>14</v>
          </cell>
          <cell r="D1922" t="str">
            <v>GOODYEAR</v>
          </cell>
          <cell r="E1922" t="str">
            <v>8PR G2020 RIB</v>
          </cell>
          <cell r="N1922">
            <v>4029</v>
          </cell>
        </row>
        <row r="1923">
          <cell r="A1923" t="str">
            <v>7.00</v>
          </cell>
          <cell r="C1923">
            <v>15</v>
          </cell>
          <cell r="D1923" t="str">
            <v>GOODYEAR</v>
          </cell>
          <cell r="E1923" t="str">
            <v>12PR HMG2020 RIB</v>
          </cell>
          <cell r="N1923">
            <v>7061</v>
          </cell>
        </row>
        <row r="1924">
          <cell r="A1924" t="str">
            <v>7.50</v>
          </cell>
          <cell r="C1924">
            <v>15</v>
          </cell>
          <cell r="D1924" t="str">
            <v>GOODYEAR</v>
          </cell>
          <cell r="E1924" t="str">
            <v>12PR HMG2020 RIB</v>
          </cell>
          <cell r="N1924">
            <v>8195</v>
          </cell>
        </row>
        <row r="1925">
          <cell r="A1925" t="str">
            <v>7.50</v>
          </cell>
          <cell r="C1925">
            <v>15</v>
          </cell>
          <cell r="D1925" t="str">
            <v>GOODYEAR</v>
          </cell>
          <cell r="E1925" t="str">
            <v>14PR HMG2020</v>
          </cell>
          <cell r="N1925">
            <v>8645.49</v>
          </cell>
        </row>
        <row r="1926">
          <cell r="A1926" t="str">
            <v>7.00</v>
          </cell>
          <cell r="C1926">
            <v>16</v>
          </cell>
          <cell r="D1926" t="str">
            <v>GOODYEAR</v>
          </cell>
          <cell r="E1926" t="str">
            <v>12PR HG2020</v>
          </cell>
          <cell r="N1926">
            <v>8349</v>
          </cell>
        </row>
        <row r="1927">
          <cell r="A1927" t="str">
            <v>7.00</v>
          </cell>
          <cell r="C1927">
            <v>16</v>
          </cell>
          <cell r="D1927" t="str">
            <v>GOODYEAR</v>
          </cell>
          <cell r="E1927" t="str">
            <v>14PR HMG2020</v>
          </cell>
          <cell r="N1927">
            <v>8349</v>
          </cell>
        </row>
        <row r="1928">
          <cell r="A1928" t="str">
            <v>7.50</v>
          </cell>
          <cell r="C1928">
            <v>16</v>
          </cell>
          <cell r="D1928" t="str">
            <v>GOODYEAR</v>
          </cell>
          <cell r="E1928" t="str">
            <v>12PR HMG2020</v>
          </cell>
          <cell r="N1928">
            <v>9045</v>
          </cell>
        </row>
        <row r="1929">
          <cell r="A1929" t="str">
            <v>7.50</v>
          </cell>
          <cell r="C1929">
            <v>16</v>
          </cell>
          <cell r="D1929" t="str">
            <v>GOODYEAR</v>
          </cell>
          <cell r="E1929" t="str">
            <v>14PR CT163 MIX</v>
          </cell>
          <cell r="N1929">
            <v>9086.9</v>
          </cell>
        </row>
        <row r="1930">
          <cell r="A1930" t="str">
            <v>7.50</v>
          </cell>
          <cell r="C1930">
            <v>16</v>
          </cell>
          <cell r="D1930" t="str">
            <v>GOODYEAR</v>
          </cell>
          <cell r="E1930" t="str">
            <v>14PR HMG2020</v>
          </cell>
          <cell r="N1930">
            <v>9367.99</v>
          </cell>
        </row>
        <row r="1931">
          <cell r="A1931" t="str">
            <v>11</v>
          </cell>
          <cell r="C1931" t="str">
            <v>R22.5</v>
          </cell>
          <cell r="D1931" t="str">
            <v>GOODYEAR</v>
          </cell>
          <cell r="E1931" t="str">
            <v xml:space="preserve">S200+ </v>
          </cell>
          <cell r="N1931">
            <v>15300</v>
          </cell>
        </row>
        <row r="1932">
          <cell r="A1932" t="str">
            <v>9.5</v>
          </cell>
          <cell r="C1932" t="str">
            <v>R17.5</v>
          </cell>
          <cell r="D1932" t="str">
            <v>GOODYEAR</v>
          </cell>
          <cell r="E1932" t="str">
            <v>S200 14PR</v>
          </cell>
          <cell r="N1932">
            <v>12894.5</v>
          </cell>
        </row>
        <row r="1933">
          <cell r="A1933" t="str">
            <v>8.25</v>
          </cell>
          <cell r="C1933">
            <v>16</v>
          </cell>
          <cell r="D1933" t="str">
            <v>GOODYEAR</v>
          </cell>
          <cell r="E1933" t="str">
            <v>14PR HMG2020 RIB</v>
          </cell>
          <cell r="N1933">
            <v>12340</v>
          </cell>
        </row>
        <row r="1934">
          <cell r="A1934" t="str">
            <v>8.25</v>
          </cell>
          <cell r="C1934">
            <v>20</v>
          </cell>
          <cell r="D1934" t="str">
            <v>GOODYEAR</v>
          </cell>
          <cell r="E1934" t="str">
            <v>136/132J HM G141 14 RIB</v>
          </cell>
          <cell r="N1934">
            <v>12750</v>
          </cell>
        </row>
        <row r="1935">
          <cell r="A1935" t="str">
            <v>9.00</v>
          </cell>
          <cell r="C1935">
            <v>20</v>
          </cell>
          <cell r="D1935" t="str">
            <v>GOODYEAR</v>
          </cell>
          <cell r="E1935" t="str">
            <v>HM G2020 14PR</v>
          </cell>
          <cell r="N1935">
            <v>15400</v>
          </cell>
        </row>
        <row r="1936">
          <cell r="A1936" t="str">
            <v>215</v>
          </cell>
          <cell r="B1936">
            <v>75</v>
          </cell>
          <cell r="C1936">
            <v>17.5</v>
          </cell>
          <cell r="D1936" t="str">
            <v xml:space="preserve">GOODYEAR </v>
          </cell>
          <cell r="E1936" t="str">
            <v>S200+RIB</v>
          </cell>
          <cell r="N1936">
            <v>9190</v>
          </cell>
        </row>
        <row r="1937">
          <cell r="A1937" t="str">
            <v>245</v>
          </cell>
          <cell r="B1937">
            <v>70</v>
          </cell>
          <cell r="C1937">
            <v>19.5</v>
          </cell>
          <cell r="D1937" t="str">
            <v>GREFORCE</v>
          </cell>
          <cell r="E1937" t="str">
            <v>TL GR612</v>
          </cell>
          <cell r="N1937">
            <v>6880</v>
          </cell>
        </row>
        <row r="1938">
          <cell r="A1938" t="str">
            <v>11</v>
          </cell>
          <cell r="C1938" t="str">
            <v>R22.5</v>
          </cell>
          <cell r="D1938" t="str">
            <v>GREFORCE</v>
          </cell>
          <cell r="E1938" t="str">
            <v>GR612 RIB</v>
          </cell>
          <cell r="N1938">
            <v>9000</v>
          </cell>
        </row>
        <row r="1939">
          <cell r="A1939" t="str">
            <v>11</v>
          </cell>
          <cell r="C1939" t="str">
            <v>R22.5</v>
          </cell>
          <cell r="D1939" t="str">
            <v>GREFORCE</v>
          </cell>
          <cell r="E1939" t="str">
            <v>GR881 MIX</v>
          </cell>
          <cell r="N1939">
            <v>9200</v>
          </cell>
        </row>
        <row r="1940">
          <cell r="A1940" t="str">
            <v>7.00</v>
          </cell>
          <cell r="C1940">
            <v>15</v>
          </cell>
          <cell r="D1940" t="str">
            <v>GREENTOUR</v>
          </cell>
          <cell r="E1940" t="str">
            <v>12PR RIB</v>
          </cell>
          <cell r="N1940">
            <v>3190</v>
          </cell>
        </row>
        <row r="1941">
          <cell r="A1941" t="str">
            <v>7.00</v>
          </cell>
          <cell r="C1941">
            <v>15</v>
          </cell>
          <cell r="D1941" t="str">
            <v>GREENTOUR</v>
          </cell>
          <cell r="E1941" t="str">
            <v>12PR LUG</v>
          </cell>
          <cell r="N1941">
            <v>3190</v>
          </cell>
        </row>
        <row r="1942">
          <cell r="A1942" t="str">
            <v>7.00</v>
          </cell>
          <cell r="C1942">
            <v>16</v>
          </cell>
          <cell r="D1942" t="str">
            <v>GREENTOUR</v>
          </cell>
          <cell r="E1942" t="str">
            <v>14PR RIB</v>
          </cell>
          <cell r="N1942">
            <v>3665</v>
          </cell>
        </row>
        <row r="1943">
          <cell r="A1943" t="str">
            <v>7.00</v>
          </cell>
          <cell r="C1943">
            <v>15</v>
          </cell>
          <cell r="D1943" t="str">
            <v>KINTO</v>
          </cell>
          <cell r="E1943" t="str">
            <v>12PR RIB EXTRA MILER(SET)</v>
          </cell>
          <cell r="N1943">
            <v>3575</v>
          </cell>
        </row>
        <row r="1944">
          <cell r="A1944" t="str">
            <v>7.50</v>
          </cell>
          <cell r="C1944">
            <v>15</v>
          </cell>
          <cell r="D1944" t="str">
            <v>KINTO</v>
          </cell>
          <cell r="E1944" t="str">
            <v>16PR RIB EXTRA MILER(SET)</v>
          </cell>
          <cell r="N1944">
            <v>4730</v>
          </cell>
        </row>
        <row r="1945">
          <cell r="A1945" t="str">
            <v>7.50</v>
          </cell>
          <cell r="C1945">
            <v>15</v>
          </cell>
          <cell r="D1945" t="str">
            <v>KINTO</v>
          </cell>
          <cell r="E1945" t="str">
            <v>16PR RIB LT EXTRA MILER(SET)</v>
          </cell>
          <cell r="N1945">
            <v>4730</v>
          </cell>
        </row>
        <row r="1946">
          <cell r="A1946" t="str">
            <v>7.50</v>
          </cell>
          <cell r="C1946">
            <v>15</v>
          </cell>
          <cell r="D1946" t="str">
            <v>KINTO</v>
          </cell>
          <cell r="E1946" t="str">
            <v>16PR SUPER LUG XF-126(SET)</v>
          </cell>
          <cell r="N1946">
            <v>5390</v>
          </cell>
        </row>
        <row r="1947">
          <cell r="A1947" t="str">
            <v>7.50</v>
          </cell>
          <cell r="C1947">
            <v>16</v>
          </cell>
          <cell r="D1947" t="str">
            <v>KINTO</v>
          </cell>
          <cell r="E1947" t="str">
            <v>16PR SUPER LUG XF-126(SET)</v>
          </cell>
          <cell r="N1947">
            <v>5830</v>
          </cell>
        </row>
        <row r="1948">
          <cell r="A1948" t="str">
            <v>10</v>
          </cell>
          <cell r="C1948">
            <v>16.5</v>
          </cell>
          <cell r="D1948" t="str">
            <v>KINTO</v>
          </cell>
          <cell r="E1948" t="str">
            <v>12PR SKS-1</v>
          </cell>
          <cell r="N1948">
            <v>5016</v>
          </cell>
        </row>
        <row r="1949">
          <cell r="A1949" t="str">
            <v>23.5</v>
          </cell>
          <cell r="B1949">
            <v>70</v>
          </cell>
          <cell r="C1949">
            <v>16</v>
          </cell>
          <cell r="D1949" t="str">
            <v>KINTO</v>
          </cell>
          <cell r="E1949" t="str">
            <v>E3/L3 16PR SET</v>
          </cell>
          <cell r="N1949">
            <v>9625</v>
          </cell>
        </row>
        <row r="1950">
          <cell r="A1950" t="str">
            <v>8.3</v>
          </cell>
          <cell r="C1950">
            <v>20</v>
          </cell>
          <cell r="D1950" t="str">
            <v>KINTO</v>
          </cell>
          <cell r="E1950" t="str">
            <v>10PR R1-1</v>
          </cell>
          <cell r="N1950">
            <v>4510</v>
          </cell>
        </row>
        <row r="1951">
          <cell r="A1951" t="str">
            <v>9.00</v>
          </cell>
          <cell r="C1951">
            <v>20</v>
          </cell>
          <cell r="D1951" t="str">
            <v>KINTO</v>
          </cell>
          <cell r="E1951" t="str">
            <v>20PR XF007A EXCAVATOR</v>
          </cell>
          <cell r="N1951">
            <v>9900</v>
          </cell>
        </row>
        <row r="1952">
          <cell r="A1952" t="str">
            <v>14.9</v>
          </cell>
          <cell r="C1952">
            <v>24</v>
          </cell>
          <cell r="D1952" t="str">
            <v>KINTO</v>
          </cell>
          <cell r="E1952" t="str">
            <v>12PR R1-3</v>
          </cell>
          <cell r="N1952">
            <v>13640</v>
          </cell>
        </row>
        <row r="1953">
          <cell r="A1953" t="str">
            <v>20.5</v>
          </cell>
          <cell r="C1953">
            <v>25</v>
          </cell>
          <cell r="D1953" t="str">
            <v>KINTO</v>
          </cell>
          <cell r="E1953" t="str">
            <v>E3/L3 24PR SET</v>
          </cell>
          <cell r="N1953">
            <v>32890</v>
          </cell>
        </row>
        <row r="1954">
          <cell r="A1954" t="str">
            <v>13.6</v>
          </cell>
          <cell r="C1954">
            <v>38</v>
          </cell>
          <cell r="D1954" t="str">
            <v>KINTO</v>
          </cell>
          <cell r="E1954" t="str">
            <v>R1-4 10PR W/ TUBE</v>
          </cell>
          <cell r="N1954">
            <v>18425</v>
          </cell>
        </row>
        <row r="1955">
          <cell r="A1955" t="str">
            <v>7.00</v>
          </cell>
          <cell r="C1955">
            <v>16</v>
          </cell>
          <cell r="D1955" t="str">
            <v>KELCEA</v>
          </cell>
          <cell r="E1955" t="str">
            <v>14PR RIB (SET)</v>
          </cell>
          <cell r="N1955">
            <v>5200</v>
          </cell>
        </row>
        <row r="1956">
          <cell r="A1956" t="str">
            <v>205</v>
          </cell>
          <cell r="B1956">
            <v>85</v>
          </cell>
          <cell r="C1956">
            <v>16</v>
          </cell>
          <cell r="D1956" t="str">
            <v>HAWKWAY</v>
          </cell>
          <cell r="E1956" t="str">
            <v>14PR HK802</v>
          </cell>
          <cell r="N1956">
            <v>5000</v>
          </cell>
        </row>
        <row r="1957">
          <cell r="A1957" t="str">
            <v>11</v>
          </cell>
          <cell r="C1957" t="str">
            <v>R22.5</v>
          </cell>
          <cell r="D1957" t="str">
            <v>HAWKWAY</v>
          </cell>
          <cell r="E1957" t="str">
            <v>16PR HK85 MIX</v>
          </cell>
          <cell r="N1957">
            <v>9900</v>
          </cell>
        </row>
        <row r="1958">
          <cell r="A1958" t="str">
            <v>235</v>
          </cell>
          <cell r="B1958">
            <v>75</v>
          </cell>
          <cell r="C1958" t="str">
            <v>R17.5</v>
          </cell>
          <cell r="D1958" t="str">
            <v>HAWKWAY</v>
          </cell>
          <cell r="E1958" t="str">
            <v>HK867 RIB 16PR</v>
          </cell>
          <cell r="N1958">
            <v>6033</v>
          </cell>
        </row>
        <row r="1959">
          <cell r="A1959" t="str">
            <v>245</v>
          </cell>
          <cell r="B1959">
            <v>70</v>
          </cell>
          <cell r="C1959">
            <v>19.5</v>
          </cell>
          <cell r="D1959" t="str">
            <v>HAWKWAY</v>
          </cell>
          <cell r="E1959" t="str">
            <v>HK867 RIB 16PR</v>
          </cell>
          <cell r="N1959">
            <v>6792</v>
          </cell>
        </row>
        <row r="1960">
          <cell r="A1960" t="str">
            <v>7.00</v>
          </cell>
          <cell r="C1960">
            <v>15</v>
          </cell>
          <cell r="D1960" t="str">
            <v>HUT</v>
          </cell>
          <cell r="E1960" t="str">
            <v>12PR LUG</v>
          </cell>
          <cell r="N1960">
            <v>3500</v>
          </cell>
        </row>
        <row r="1961">
          <cell r="A1961" t="str">
            <v>7.00</v>
          </cell>
          <cell r="C1961">
            <v>15</v>
          </cell>
          <cell r="D1961" t="str">
            <v>INDEL</v>
          </cell>
          <cell r="E1961" t="str">
            <v>12PR RIB</v>
          </cell>
          <cell r="N1961">
            <v>4169.55</v>
          </cell>
        </row>
        <row r="1962">
          <cell r="A1962" t="str">
            <v>7.50</v>
          </cell>
          <cell r="C1962">
            <v>15</v>
          </cell>
          <cell r="D1962" t="str">
            <v>INDEL</v>
          </cell>
          <cell r="E1962" t="str">
            <v>14PR RIB</v>
          </cell>
          <cell r="N1962">
            <v>5600</v>
          </cell>
        </row>
        <row r="1963">
          <cell r="A1963" t="str">
            <v>7.00</v>
          </cell>
          <cell r="C1963">
            <v>16</v>
          </cell>
          <cell r="D1963" t="str">
            <v>INDEL</v>
          </cell>
          <cell r="E1963" t="str">
            <v>14PR RIB</v>
          </cell>
          <cell r="N1963">
            <v>5120.5</v>
          </cell>
        </row>
        <row r="1964">
          <cell r="A1964" t="str">
            <v>7.00</v>
          </cell>
          <cell r="C1964">
            <v>16</v>
          </cell>
          <cell r="D1964" t="str">
            <v>INDEL</v>
          </cell>
          <cell r="E1964" t="str">
            <v>14PR LUG</v>
          </cell>
          <cell r="N1964">
            <v>5486.54</v>
          </cell>
        </row>
        <row r="1965">
          <cell r="A1965" t="str">
            <v>7.50</v>
          </cell>
          <cell r="C1965">
            <v>16</v>
          </cell>
          <cell r="D1965" t="str">
            <v>INDEL</v>
          </cell>
          <cell r="E1965" t="str">
            <v>16PR RIB</v>
          </cell>
          <cell r="N1965">
            <v>5323.44</v>
          </cell>
        </row>
        <row r="1966">
          <cell r="A1966" t="str">
            <v>7.50</v>
          </cell>
          <cell r="C1966">
            <v>16</v>
          </cell>
          <cell r="D1966" t="str">
            <v>INDEL</v>
          </cell>
          <cell r="E1966" t="str">
            <v>16PR LUG JT</v>
          </cell>
          <cell r="N1966">
            <v>6042</v>
          </cell>
        </row>
        <row r="1967">
          <cell r="A1967" t="str">
            <v>8.25</v>
          </cell>
          <cell r="C1967">
            <v>20</v>
          </cell>
          <cell r="D1967" t="str">
            <v>INDEL</v>
          </cell>
          <cell r="E1967" t="str">
            <v>16PR RIB</v>
          </cell>
          <cell r="N1967">
            <v>8745.2199999999993</v>
          </cell>
        </row>
        <row r="1968">
          <cell r="A1968" t="str">
            <v>9.00</v>
          </cell>
          <cell r="C1968">
            <v>20</v>
          </cell>
          <cell r="D1968" t="str">
            <v>INDEL</v>
          </cell>
          <cell r="E1968" t="str">
            <v>16PR RIB</v>
          </cell>
          <cell r="N1968">
            <v>9367.9500000000007</v>
          </cell>
        </row>
        <row r="1969">
          <cell r="A1969" t="str">
            <v>9.00</v>
          </cell>
          <cell r="C1969">
            <v>20</v>
          </cell>
          <cell r="D1969" t="str">
            <v>INDEL</v>
          </cell>
          <cell r="E1969" t="str">
            <v>16PR LUG</v>
          </cell>
          <cell r="N1969">
            <v>9566.5</v>
          </cell>
        </row>
        <row r="1970">
          <cell r="A1970" t="str">
            <v>10.00</v>
          </cell>
          <cell r="C1970">
            <v>20</v>
          </cell>
          <cell r="D1970" t="str">
            <v>INDEL</v>
          </cell>
          <cell r="E1970" t="str">
            <v>18PR RIB ACE</v>
          </cell>
          <cell r="N1970">
            <v>12103</v>
          </cell>
        </row>
        <row r="1971">
          <cell r="A1971" t="str">
            <v>12.00</v>
          </cell>
          <cell r="C1971">
            <v>20</v>
          </cell>
          <cell r="D1971" t="str">
            <v>INDEL</v>
          </cell>
          <cell r="E1971" t="str">
            <v>18PR RIB HK</v>
          </cell>
          <cell r="N1971">
            <v>12107.75</v>
          </cell>
        </row>
        <row r="1972">
          <cell r="A1972" t="str">
            <v>11</v>
          </cell>
          <cell r="C1972">
            <v>22.5</v>
          </cell>
          <cell r="D1972" t="str">
            <v>JOYROAD</v>
          </cell>
          <cell r="E1972" t="str">
            <v>18PR ZF151</v>
          </cell>
        </row>
        <row r="1973">
          <cell r="A1973" t="str">
            <v>11</v>
          </cell>
          <cell r="C1973">
            <v>22.5</v>
          </cell>
          <cell r="D1973" t="str">
            <v>JOYROAD</v>
          </cell>
          <cell r="E1973" t="str">
            <v>18PR ZA808 MIX</v>
          </cell>
          <cell r="N1973">
            <v>8300</v>
          </cell>
        </row>
        <row r="1974">
          <cell r="A1974" t="str">
            <v>11</v>
          </cell>
          <cell r="C1974">
            <v>22.5</v>
          </cell>
          <cell r="D1974" t="str">
            <v>JOYROAD</v>
          </cell>
          <cell r="E1974" t="str">
            <v>20PR ZF151 RIB</v>
          </cell>
          <cell r="N1974">
            <v>7850</v>
          </cell>
        </row>
        <row r="1975">
          <cell r="A1975" t="str">
            <v>11</v>
          </cell>
          <cell r="C1975">
            <v>22.5</v>
          </cell>
          <cell r="D1975" t="str">
            <v>JOYROAD</v>
          </cell>
          <cell r="E1975" t="str">
            <v>20PR ZD690 LUG</v>
          </cell>
          <cell r="N1975">
            <v>8621.25</v>
          </cell>
        </row>
        <row r="1976">
          <cell r="A1976" t="str">
            <v>12</v>
          </cell>
          <cell r="C1976">
            <v>22.5</v>
          </cell>
          <cell r="D1976" t="str">
            <v>JOYROAD</v>
          </cell>
          <cell r="E1976" t="str">
            <v>18PR ZF151 RIB</v>
          </cell>
          <cell r="N1976">
            <v>9600</v>
          </cell>
        </row>
        <row r="1977">
          <cell r="A1977" t="str">
            <v>8.5</v>
          </cell>
          <cell r="C1977">
            <v>17.5</v>
          </cell>
          <cell r="D1977" t="str">
            <v>LINGLONG</v>
          </cell>
          <cell r="E1977" t="str">
            <v>12PR F820 RIB</v>
          </cell>
        </row>
        <row r="1978">
          <cell r="A1978" t="str">
            <v>225</v>
          </cell>
          <cell r="B1978">
            <v>90</v>
          </cell>
          <cell r="C1978">
            <v>17.5</v>
          </cell>
          <cell r="D1978" t="str">
            <v>LINGLONG</v>
          </cell>
          <cell r="E1978" t="str">
            <v>16PR LFL866</v>
          </cell>
        </row>
        <row r="1979">
          <cell r="A1979" t="str">
            <v>10.00</v>
          </cell>
          <cell r="C1979">
            <v>20</v>
          </cell>
          <cell r="D1979" t="str">
            <v>LINGLONG</v>
          </cell>
          <cell r="E1979" t="str">
            <v>16PR LUG</v>
          </cell>
        </row>
        <row r="1980">
          <cell r="A1980" t="str">
            <v>11</v>
          </cell>
          <cell r="C1980" t="str">
            <v>R22.5</v>
          </cell>
          <cell r="D1980" t="str">
            <v>LONGPOWER</v>
          </cell>
          <cell r="E1980" t="str">
            <v>18PR LP666 RIB</v>
          </cell>
          <cell r="N1980">
            <v>8380.84</v>
          </cell>
        </row>
        <row r="1981">
          <cell r="A1981" t="str">
            <v>11</v>
          </cell>
          <cell r="C1981" t="str">
            <v>R22.5</v>
          </cell>
          <cell r="D1981" t="str">
            <v>LONGPOWER</v>
          </cell>
          <cell r="E1981" t="str">
            <v>18PR LP668 MIX</v>
          </cell>
          <cell r="N1981">
            <v>8052.89</v>
          </cell>
        </row>
        <row r="1982">
          <cell r="A1982" t="str">
            <v>12</v>
          </cell>
          <cell r="C1982" t="str">
            <v>R22.5</v>
          </cell>
          <cell r="D1982" t="str">
            <v>LONGPOWER</v>
          </cell>
          <cell r="E1982" t="str">
            <v>18PR TA280 MIX</v>
          </cell>
          <cell r="N1982">
            <v>8927</v>
          </cell>
        </row>
        <row r="1983">
          <cell r="A1983" t="str">
            <v>225</v>
          </cell>
          <cell r="B1983">
            <v>80</v>
          </cell>
          <cell r="C1983" t="str">
            <v>R17.5</v>
          </cell>
          <cell r="D1983" t="str">
            <v>LEAO</v>
          </cell>
          <cell r="E1983" t="str">
            <v>14PR RIB</v>
          </cell>
          <cell r="N1983">
            <v>7914</v>
          </cell>
        </row>
        <row r="1984">
          <cell r="A1984" t="str">
            <v>245</v>
          </cell>
          <cell r="B1984">
            <v>70</v>
          </cell>
          <cell r="C1984" t="str">
            <v>R19.5</v>
          </cell>
          <cell r="D1984" t="str">
            <v>LEAO</v>
          </cell>
          <cell r="E1984" t="str">
            <v>18PR RIB F820</v>
          </cell>
          <cell r="N1984">
            <v>8700.9</v>
          </cell>
        </row>
        <row r="1985">
          <cell r="A1985" t="str">
            <v>245</v>
          </cell>
          <cell r="B1985">
            <v>70</v>
          </cell>
          <cell r="C1985" t="str">
            <v>R19.5</v>
          </cell>
          <cell r="D1985" t="str">
            <v>LEAO</v>
          </cell>
          <cell r="E1985" t="str">
            <v>16PR D955 MIX BLOCK</v>
          </cell>
        </row>
        <row r="1986">
          <cell r="A1986" t="str">
            <v>14.90</v>
          </cell>
          <cell r="C1986">
            <v>28</v>
          </cell>
          <cell r="D1986" t="str">
            <v>LEAO</v>
          </cell>
          <cell r="E1986" t="str">
            <v>8PR LL31 (AGRI)</v>
          </cell>
          <cell r="N1986">
            <v>19031.400000000001</v>
          </cell>
        </row>
        <row r="1987">
          <cell r="A1987" t="str">
            <v>11</v>
          </cell>
          <cell r="C1987" t="str">
            <v>R22.5</v>
          </cell>
          <cell r="D1987" t="str">
            <v>MARVEMAX (CH)</v>
          </cell>
          <cell r="E1987" t="str">
            <v>16PR MX920 RIB</v>
          </cell>
          <cell r="N1987">
            <v>8200</v>
          </cell>
        </row>
        <row r="1988">
          <cell r="A1988" t="str">
            <v>7.00</v>
          </cell>
          <cell r="C1988">
            <v>15</v>
          </cell>
          <cell r="D1988" t="str">
            <v>MATRIX</v>
          </cell>
          <cell r="E1988" t="str">
            <v>12M-RIB</v>
          </cell>
          <cell r="N1988">
            <v>4398.5</v>
          </cell>
        </row>
        <row r="1989">
          <cell r="A1989" t="str">
            <v>7.50</v>
          </cell>
          <cell r="C1989">
            <v>15</v>
          </cell>
          <cell r="D1989" t="str">
            <v>MATRIX</v>
          </cell>
          <cell r="E1989" t="str">
            <v>14M-RIB</v>
          </cell>
          <cell r="N1989">
            <v>4940</v>
          </cell>
        </row>
        <row r="1990">
          <cell r="A1990" t="str">
            <v>7.50</v>
          </cell>
          <cell r="C1990">
            <v>15</v>
          </cell>
          <cell r="D1990" t="str">
            <v>MATRIX</v>
          </cell>
          <cell r="E1990" t="str">
            <v>14M-LUG</v>
          </cell>
          <cell r="N1990">
            <v>5529</v>
          </cell>
        </row>
        <row r="1991">
          <cell r="A1991" t="str">
            <v>7.00</v>
          </cell>
          <cell r="C1991">
            <v>16</v>
          </cell>
          <cell r="D1991" t="str">
            <v>MATRIX</v>
          </cell>
          <cell r="E1991" t="str">
            <v>14PR RIB</v>
          </cell>
          <cell r="N1991">
            <v>5300</v>
          </cell>
        </row>
        <row r="1992">
          <cell r="A1992" t="str">
            <v>7.00</v>
          </cell>
          <cell r="C1992">
            <v>16</v>
          </cell>
          <cell r="D1992" t="str">
            <v>MATRIX</v>
          </cell>
          <cell r="E1992" t="str">
            <v>14M-LUG</v>
          </cell>
          <cell r="N1992">
            <v>4902</v>
          </cell>
        </row>
        <row r="1993">
          <cell r="A1993" t="str">
            <v>7.50</v>
          </cell>
          <cell r="C1993">
            <v>16</v>
          </cell>
          <cell r="D1993" t="str">
            <v>MATRIX</v>
          </cell>
          <cell r="E1993" t="str">
            <v>16M-RIB</v>
          </cell>
          <cell r="N1993">
            <v>5890</v>
          </cell>
        </row>
        <row r="1994">
          <cell r="A1994" t="str">
            <v>7.50</v>
          </cell>
          <cell r="C1994">
            <v>16</v>
          </cell>
          <cell r="D1994" t="str">
            <v>MATRIX</v>
          </cell>
          <cell r="E1994" t="str">
            <v>16M-LUG</v>
          </cell>
          <cell r="N1994">
            <v>6080</v>
          </cell>
        </row>
        <row r="1995">
          <cell r="A1995" t="str">
            <v>8.25</v>
          </cell>
          <cell r="C1995">
            <v>16</v>
          </cell>
          <cell r="D1995" t="str">
            <v>MATRIX</v>
          </cell>
          <cell r="E1995" t="str">
            <v>16M-RIB</v>
          </cell>
          <cell r="N1995">
            <v>5753.44</v>
          </cell>
        </row>
        <row r="1996">
          <cell r="A1996" t="str">
            <v>8.25</v>
          </cell>
          <cell r="C1996">
            <v>20</v>
          </cell>
          <cell r="D1996" t="str">
            <v>MATRIX</v>
          </cell>
          <cell r="E1996" t="str">
            <v>16PR RIB</v>
          </cell>
          <cell r="N1996">
            <v>8315</v>
          </cell>
        </row>
        <row r="1997">
          <cell r="A1997" t="str">
            <v>7.50</v>
          </cell>
          <cell r="C1997">
            <v>15</v>
          </cell>
          <cell r="D1997" t="str">
            <v>MEGA</v>
          </cell>
          <cell r="E1997" t="str">
            <v>14PR MX218 LUG</v>
          </cell>
          <cell r="N1997">
            <v>5360.33</v>
          </cell>
        </row>
        <row r="1998">
          <cell r="A1998" t="str">
            <v>7.00</v>
          </cell>
          <cell r="C1998">
            <v>16</v>
          </cell>
          <cell r="D1998" t="str">
            <v>MEGA</v>
          </cell>
          <cell r="E1998" t="str">
            <v>14PR MX218 LUG</v>
          </cell>
          <cell r="N1998">
            <v>5483.75</v>
          </cell>
        </row>
        <row r="1999">
          <cell r="A1999" t="str">
            <v>7.00</v>
          </cell>
          <cell r="C1999">
            <v>15</v>
          </cell>
          <cell r="D1999" t="str">
            <v>MRF</v>
          </cell>
          <cell r="E1999" t="str">
            <v>SUPERLUG</v>
          </cell>
          <cell r="N1999">
            <v>5420</v>
          </cell>
        </row>
        <row r="2000">
          <cell r="A2000" t="str">
            <v>7.00</v>
          </cell>
          <cell r="C2000">
            <v>15</v>
          </cell>
          <cell r="D2000" t="str">
            <v>MRF</v>
          </cell>
          <cell r="E2000" t="str">
            <v>12PR SUPERMILER 95</v>
          </cell>
          <cell r="N2000">
            <v>5750</v>
          </cell>
        </row>
        <row r="2001">
          <cell r="A2001" t="str">
            <v>7.50</v>
          </cell>
          <cell r="C2001">
            <v>15</v>
          </cell>
          <cell r="D2001" t="str">
            <v xml:space="preserve">MRF  </v>
          </cell>
          <cell r="E2001" t="str">
            <v>14PR SUPERLUG 50</v>
          </cell>
          <cell r="N2001">
            <v>6400</v>
          </cell>
        </row>
        <row r="2002">
          <cell r="A2002" t="str">
            <v>7.50</v>
          </cell>
          <cell r="C2002">
            <v>15</v>
          </cell>
          <cell r="D2002" t="str">
            <v>MRF</v>
          </cell>
          <cell r="E2002" t="str">
            <v>14PR SUPERMILLER 99-95</v>
          </cell>
          <cell r="N2002">
            <v>6168</v>
          </cell>
        </row>
        <row r="2003">
          <cell r="A2003" t="str">
            <v>7.00</v>
          </cell>
          <cell r="C2003">
            <v>16</v>
          </cell>
          <cell r="D2003" t="str">
            <v>MRF</v>
          </cell>
          <cell r="E2003" t="str">
            <v>14PR SUPERLUG</v>
          </cell>
          <cell r="N2003">
            <v>6500</v>
          </cell>
        </row>
        <row r="2004">
          <cell r="A2004" t="str">
            <v>7.00</v>
          </cell>
          <cell r="C2004">
            <v>16</v>
          </cell>
          <cell r="D2004" t="str">
            <v>MRF</v>
          </cell>
          <cell r="E2004" t="str">
            <v>SUPERMILLER 95/99</v>
          </cell>
          <cell r="N2004">
            <v>5496</v>
          </cell>
        </row>
        <row r="2005">
          <cell r="A2005" t="str">
            <v>7.50</v>
          </cell>
          <cell r="C2005">
            <v>16</v>
          </cell>
          <cell r="D2005" t="str">
            <v>MRF</v>
          </cell>
          <cell r="E2005" t="str">
            <v>14PR SUPERMILLER 95</v>
          </cell>
          <cell r="N2005">
            <v>6250</v>
          </cell>
        </row>
        <row r="2006">
          <cell r="A2006" t="str">
            <v>7.50</v>
          </cell>
          <cell r="C2006">
            <v>16</v>
          </cell>
          <cell r="D2006" t="str">
            <v>MRF</v>
          </cell>
          <cell r="E2006" t="str">
            <v>16PR SUPERMILLER 95</v>
          </cell>
          <cell r="N2006">
            <v>6250</v>
          </cell>
        </row>
        <row r="2007">
          <cell r="A2007" t="str">
            <v>7.50</v>
          </cell>
          <cell r="C2007">
            <v>16</v>
          </cell>
          <cell r="D2007" t="str">
            <v>MRF</v>
          </cell>
          <cell r="E2007" t="str">
            <v>SUPERLUG/50</v>
          </cell>
          <cell r="N2007">
            <v>7191</v>
          </cell>
        </row>
        <row r="2008">
          <cell r="A2008" t="str">
            <v>8.25</v>
          </cell>
          <cell r="C2008">
            <v>16</v>
          </cell>
          <cell r="D2008" t="str">
            <v>MRF</v>
          </cell>
          <cell r="E2008" t="str">
            <v>SUPERLUG 16PR</v>
          </cell>
          <cell r="N2008">
            <v>7850</v>
          </cell>
        </row>
        <row r="2009">
          <cell r="A2009" t="str">
            <v>8.25</v>
          </cell>
          <cell r="C2009">
            <v>16</v>
          </cell>
          <cell r="D2009" t="str">
            <v>MRF</v>
          </cell>
          <cell r="E2009" t="str">
            <v>SUPERMILLER 16PR</v>
          </cell>
          <cell r="N2009">
            <v>8037</v>
          </cell>
        </row>
        <row r="2010">
          <cell r="A2010" t="str">
            <v>9.5</v>
          </cell>
          <cell r="C2010">
            <v>17.5</v>
          </cell>
          <cell r="D2010" t="str">
            <v>MRF</v>
          </cell>
          <cell r="E2010" t="str">
            <v>S1R4 RIB</v>
          </cell>
          <cell r="N2010">
            <v>8696</v>
          </cell>
        </row>
        <row r="2011">
          <cell r="A2011" t="str">
            <v>8.25</v>
          </cell>
          <cell r="C2011">
            <v>20</v>
          </cell>
          <cell r="D2011" t="str">
            <v>MRF</v>
          </cell>
          <cell r="E2011" t="str">
            <v>16PR SUPERMILER 99</v>
          </cell>
          <cell r="N2011">
            <v>8584</v>
          </cell>
        </row>
        <row r="2012">
          <cell r="A2012" t="str">
            <v>8.25</v>
          </cell>
          <cell r="C2012">
            <v>20</v>
          </cell>
          <cell r="D2012" t="str">
            <v>MRF</v>
          </cell>
          <cell r="E2012" t="str">
            <v>SUPERLUG 50</v>
          </cell>
          <cell r="N2012">
            <v>10014.5</v>
          </cell>
        </row>
        <row r="2013">
          <cell r="A2013" t="str">
            <v>9.00</v>
          </cell>
          <cell r="C2013">
            <v>20</v>
          </cell>
          <cell r="D2013" t="str">
            <v>MRF</v>
          </cell>
          <cell r="E2013" t="str">
            <v>SUPERLUG</v>
          </cell>
          <cell r="N2013">
            <v>10917.5</v>
          </cell>
        </row>
        <row r="2014">
          <cell r="A2014" t="str">
            <v>9.00</v>
          </cell>
          <cell r="C2014">
            <v>20</v>
          </cell>
          <cell r="D2014" t="str">
            <v>MRF</v>
          </cell>
          <cell r="E2014" t="str">
            <v>SUPERMILER 99</v>
          </cell>
          <cell r="N2014">
            <v>10600</v>
          </cell>
        </row>
        <row r="2015">
          <cell r="A2015" t="str">
            <v>10.00</v>
          </cell>
          <cell r="C2015">
            <v>20</v>
          </cell>
          <cell r="D2015" t="str">
            <v>MRF</v>
          </cell>
          <cell r="E2015" t="str">
            <v>SUPERLUG 16PR 78</v>
          </cell>
          <cell r="N2015">
            <v>13008</v>
          </cell>
        </row>
        <row r="2016">
          <cell r="A2016" t="str">
            <v>10.00</v>
          </cell>
          <cell r="C2016">
            <v>20</v>
          </cell>
          <cell r="D2016" t="str">
            <v>MRF</v>
          </cell>
          <cell r="E2016" t="str">
            <v>SUPERMILLER SED 99</v>
          </cell>
          <cell r="N2016">
            <v>12621</v>
          </cell>
        </row>
        <row r="2017">
          <cell r="A2017" t="str">
            <v>10.00</v>
          </cell>
          <cell r="C2017">
            <v>20</v>
          </cell>
          <cell r="D2017" t="str">
            <v>MRF</v>
          </cell>
          <cell r="E2017" t="str">
            <v>SUPERMILLER SLN</v>
          </cell>
          <cell r="N2017">
            <v>12273</v>
          </cell>
        </row>
        <row r="2018">
          <cell r="A2018" t="str">
            <v>10.00</v>
          </cell>
          <cell r="C2018">
            <v>20</v>
          </cell>
          <cell r="D2018" t="str">
            <v>MRF</v>
          </cell>
          <cell r="E2018" t="str">
            <v>MUSCLEMILER 16PR</v>
          </cell>
          <cell r="N2018">
            <v>10884.5</v>
          </cell>
        </row>
        <row r="2019">
          <cell r="A2019" t="str">
            <v>11.00</v>
          </cell>
          <cell r="C2019">
            <v>20</v>
          </cell>
          <cell r="D2019" t="str">
            <v>MRF</v>
          </cell>
          <cell r="E2019" t="str">
            <v>SUPERLUG 16PR</v>
          </cell>
          <cell r="N2019">
            <v>14228</v>
          </cell>
        </row>
        <row r="2020">
          <cell r="A2020" t="str">
            <v>11.00</v>
          </cell>
          <cell r="C2020">
            <v>20</v>
          </cell>
          <cell r="D2020" t="str">
            <v>MRF</v>
          </cell>
          <cell r="E2020" t="str">
            <v>MUSCLEMILER 16PR</v>
          </cell>
          <cell r="N2020">
            <v>15905</v>
          </cell>
        </row>
        <row r="2021">
          <cell r="A2021" t="str">
            <v>11</v>
          </cell>
          <cell r="C2021">
            <v>20</v>
          </cell>
          <cell r="D2021" t="str">
            <v>MRF</v>
          </cell>
          <cell r="E2021" t="str">
            <v>16PR SUPERMILLER 99</v>
          </cell>
          <cell r="N2021">
            <v>14324.5</v>
          </cell>
        </row>
        <row r="2022">
          <cell r="A2022" t="str">
            <v>11</v>
          </cell>
          <cell r="C2022" t="str">
            <v>R22.5</v>
          </cell>
          <cell r="D2022" t="str">
            <v xml:space="preserve">MRF  </v>
          </cell>
          <cell r="E2022" t="str">
            <v>RIB S1R6</v>
          </cell>
          <cell r="N2022">
            <v>13000</v>
          </cell>
        </row>
        <row r="2023">
          <cell r="A2023" t="str">
            <v>11</v>
          </cell>
          <cell r="C2023" t="str">
            <v>R22.5</v>
          </cell>
          <cell r="D2023" t="str">
            <v>MRF</v>
          </cell>
          <cell r="E2023" t="str">
            <v>BLK STEEL S3K4</v>
          </cell>
          <cell r="N2023">
            <v>13937</v>
          </cell>
        </row>
        <row r="2024">
          <cell r="A2024" t="str">
            <v>11</v>
          </cell>
          <cell r="C2024" t="str">
            <v>R22.5</v>
          </cell>
          <cell r="D2024" t="str">
            <v>MRF</v>
          </cell>
          <cell r="E2024" t="str">
            <v>16PR STEEL S1R6 RIB</v>
          </cell>
          <cell r="N2024">
            <v>13000</v>
          </cell>
        </row>
        <row r="2025">
          <cell r="A2025" t="str">
            <v>11</v>
          </cell>
          <cell r="C2025" t="str">
            <v>R22.5</v>
          </cell>
          <cell r="D2025" t="str">
            <v>MRF</v>
          </cell>
          <cell r="E2025" t="str">
            <v>S1N4 MIX</v>
          </cell>
          <cell r="N2025">
            <v>14000</v>
          </cell>
        </row>
        <row r="2026">
          <cell r="A2026" t="str">
            <v>315</v>
          </cell>
          <cell r="B2026">
            <v>80</v>
          </cell>
          <cell r="C2026">
            <v>22.5</v>
          </cell>
          <cell r="D2026" t="str">
            <v>MRF</v>
          </cell>
          <cell r="E2026" t="str">
            <v>RIB S1R4</v>
          </cell>
          <cell r="N2026">
            <v>16000</v>
          </cell>
        </row>
        <row r="2027">
          <cell r="A2027" t="str">
            <v>315</v>
          </cell>
          <cell r="B2027">
            <v>80</v>
          </cell>
          <cell r="C2027">
            <v>22.5</v>
          </cell>
          <cell r="D2027" t="str">
            <v>MRF</v>
          </cell>
          <cell r="E2027" t="str">
            <v>MIX 18PR S1N4</v>
          </cell>
          <cell r="N2027">
            <v>15585.5</v>
          </cell>
        </row>
        <row r="2028">
          <cell r="A2028" t="str">
            <v>205</v>
          </cell>
          <cell r="B2028">
            <v>50</v>
          </cell>
          <cell r="C2028">
            <v>10</v>
          </cell>
          <cell r="D2028" t="str">
            <v>MRL</v>
          </cell>
          <cell r="E2028" t="str">
            <v>6PR MG45</v>
          </cell>
          <cell r="N2028">
            <v>1978.8</v>
          </cell>
        </row>
        <row r="2029">
          <cell r="A2029" t="str">
            <v>10.00</v>
          </cell>
          <cell r="C2029">
            <v>16.5</v>
          </cell>
          <cell r="D2029" t="str">
            <v>MRL</v>
          </cell>
          <cell r="E2029" t="str">
            <v>12PR ML2 482</v>
          </cell>
          <cell r="N2029">
            <v>10505.1</v>
          </cell>
        </row>
        <row r="2030">
          <cell r="A2030" t="str">
            <v>8.30</v>
          </cell>
          <cell r="C2030">
            <v>20</v>
          </cell>
          <cell r="D2030" t="str">
            <v>MRL</v>
          </cell>
          <cell r="E2030" t="str">
            <v>MRT329 (TRACTOR)</v>
          </cell>
          <cell r="N2030">
            <v>6402</v>
          </cell>
        </row>
        <row r="2031">
          <cell r="A2031" t="str">
            <v>12.40</v>
          </cell>
          <cell r="C2031">
            <v>24</v>
          </cell>
          <cell r="D2031" t="str">
            <v>MRL</v>
          </cell>
          <cell r="E2031" t="str">
            <v>MRT329 (TRACTOR)</v>
          </cell>
          <cell r="N2031">
            <v>13512.1</v>
          </cell>
        </row>
        <row r="2032">
          <cell r="A2032" t="str">
            <v>12.40</v>
          </cell>
          <cell r="C2032">
            <v>28</v>
          </cell>
          <cell r="D2032" t="str">
            <v>MRL</v>
          </cell>
          <cell r="E2032" t="str">
            <v>MRT329 (TRACTOR)</v>
          </cell>
          <cell r="N2032">
            <v>16005</v>
          </cell>
        </row>
        <row r="2033">
          <cell r="A2033" t="str">
            <v>14.9</v>
          </cell>
          <cell r="C2033">
            <v>28</v>
          </cell>
          <cell r="D2033" t="str">
            <v>MRL (INDIA)</v>
          </cell>
          <cell r="E2033" t="str">
            <v>MRT329TT 14PR</v>
          </cell>
          <cell r="N2033">
            <v>19400</v>
          </cell>
        </row>
        <row r="2034">
          <cell r="A2034" t="str">
            <v>16.90</v>
          </cell>
          <cell r="C2034">
            <v>34</v>
          </cell>
          <cell r="D2034" t="str">
            <v>MRL (INDIA)</v>
          </cell>
          <cell r="E2034" t="str">
            <v>MRT329TT 14PR</v>
          </cell>
          <cell r="N2034">
            <v>30002.1</v>
          </cell>
        </row>
        <row r="2035">
          <cell r="A2035" t="str">
            <v>7.00</v>
          </cell>
          <cell r="C2035">
            <v>15</v>
          </cell>
          <cell r="D2035" t="str">
            <v>ORNET (INDIA)</v>
          </cell>
          <cell r="E2035" t="str">
            <v>12PR RIB</v>
          </cell>
          <cell r="N2035">
            <v>5044.5</v>
          </cell>
        </row>
        <row r="2036">
          <cell r="A2036" t="str">
            <v>7.00</v>
          </cell>
          <cell r="C2036">
            <v>15</v>
          </cell>
          <cell r="D2036" t="str">
            <v>ORNET (INDIA)</v>
          </cell>
          <cell r="E2036" t="str">
            <v>12PR LUG 909</v>
          </cell>
          <cell r="N2036">
            <v>5472</v>
          </cell>
        </row>
        <row r="2037">
          <cell r="A2037" t="str">
            <v>7.50</v>
          </cell>
          <cell r="C2037">
            <v>15</v>
          </cell>
          <cell r="D2037" t="str">
            <v>ORNET (INDIA)</v>
          </cell>
          <cell r="E2037" t="str">
            <v>14PR R709 RIB</v>
          </cell>
          <cell r="N2037">
            <v>5101.5</v>
          </cell>
        </row>
        <row r="2038">
          <cell r="A2038" t="str">
            <v>7.50</v>
          </cell>
          <cell r="C2038">
            <v>15</v>
          </cell>
          <cell r="D2038" t="str">
            <v>ORNET (INDIA)</v>
          </cell>
          <cell r="E2038" t="str">
            <v>14PR L909 LUG</v>
          </cell>
          <cell r="N2038">
            <v>4997</v>
          </cell>
        </row>
        <row r="2039">
          <cell r="A2039" t="str">
            <v>7.00</v>
          </cell>
          <cell r="C2039">
            <v>16</v>
          </cell>
          <cell r="D2039" t="str">
            <v>ORNET (INDIA)</v>
          </cell>
          <cell r="E2039" t="str">
            <v xml:space="preserve">14PR 707 RIB </v>
          </cell>
          <cell r="N2039">
            <v>5472</v>
          </cell>
        </row>
        <row r="2040">
          <cell r="A2040" t="str">
            <v>7.00</v>
          </cell>
          <cell r="C2040">
            <v>16</v>
          </cell>
          <cell r="D2040" t="str">
            <v>ORNET (INDIA)</v>
          </cell>
          <cell r="E2040" t="str">
            <v>14PR 909 LUG</v>
          </cell>
          <cell r="N2040">
            <v>6441</v>
          </cell>
        </row>
        <row r="2041">
          <cell r="A2041" t="str">
            <v>7.50</v>
          </cell>
          <cell r="C2041">
            <v>16</v>
          </cell>
          <cell r="D2041" t="str">
            <v>ORNET (INDIA)</v>
          </cell>
          <cell r="E2041" t="str">
            <v>16PR 707 RIB</v>
          </cell>
          <cell r="N2041">
            <v>6526.5</v>
          </cell>
        </row>
        <row r="2042">
          <cell r="A2042" t="str">
            <v>7.50</v>
          </cell>
          <cell r="C2042">
            <v>16</v>
          </cell>
          <cell r="D2042" t="str">
            <v>ORNET (INDIA)</v>
          </cell>
          <cell r="E2042" t="str">
            <v>16PR 909 LUG</v>
          </cell>
          <cell r="N2042">
            <v>6802</v>
          </cell>
        </row>
        <row r="2043">
          <cell r="A2043" t="str">
            <v>8.25</v>
          </cell>
          <cell r="C2043">
            <v>16</v>
          </cell>
          <cell r="D2043" t="str">
            <v>ORNET (INDIA)</v>
          </cell>
          <cell r="E2043" t="str">
            <v>16PR R707 RIB</v>
          </cell>
          <cell r="N2043">
            <v>7524</v>
          </cell>
        </row>
        <row r="2044">
          <cell r="A2044" t="str">
            <v>8.25</v>
          </cell>
          <cell r="C2044">
            <v>16</v>
          </cell>
          <cell r="D2044" t="str">
            <v>ORNET (INDIA)</v>
          </cell>
          <cell r="E2044" t="str">
            <v>16PR LUG</v>
          </cell>
          <cell r="N2044">
            <v>7685.5</v>
          </cell>
        </row>
        <row r="2045">
          <cell r="A2045" t="str">
            <v>8.25</v>
          </cell>
          <cell r="C2045">
            <v>20</v>
          </cell>
          <cell r="D2045" t="str">
            <v>ORNET (INDIA)</v>
          </cell>
          <cell r="E2045" t="str">
            <v>16PR RIB 707</v>
          </cell>
          <cell r="N2045">
            <v>9063</v>
          </cell>
        </row>
        <row r="2046">
          <cell r="A2046" t="str">
            <v>8.25</v>
          </cell>
          <cell r="C2046">
            <v>20</v>
          </cell>
          <cell r="D2046" t="str">
            <v>ORNET (INDIA)</v>
          </cell>
          <cell r="E2046" t="str">
            <v>16PR LUG 909</v>
          </cell>
          <cell r="N2046">
            <v>9528.5</v>
          </cell>
        </row>
        <row r="2047">
          <cell r="A2047" t="str">
            <v>10</v>
          </cell>
          <cell r="C2047" t="str">
            <v>R20</v>
          </cell>
          <cell r="D2047" t="str">
            <v>ORNET (CHINA)</v>
          </cell>
          <cell r="E2047" t="str">
            <v>18 PR OR106 MIX</v>
          </cell>
          <cell r="N2047">
            <v>10000</v>
          </cell>
        </row>
        <row r="2048">
          <cell r="A2048" t="str">
            <v>11</v>
          </cell>
          <cell r="C2048" t="str">
            <v>R22.5</v>
          </cell>
          <cell r="D2048" t="str">
            <v>ORNET (CHINA)</v>
          </cell>
          <cell r="E2048" t="str">
            <v>16PR OR 104 RIB</v>
          </cell>
          <cell r="N2048">
            <v>10390</v>
          </cell>
        </row>
        <row r="2049">
          <cell r="A2049" t="str">
            <v>11</v>
          </cell>
          <cell r="C2049" t="str">
            <v>R22.5</v>
          </cell>
          <cell r="D2049" t="str">
            <v>ORNET (CHINA)</v>
          </cell>
          <cell r="E2049" t="str">
            <v>16PR OR106 MIX</v>
          </cell>
          <cell r="N2049">
            <v>8970</v>
          </cell>
        </row>
        <row r="2050">
          <cell r="A2050" t="str">
            <v>12</v>
          </cell>
          <cell r="C2050" t="str">
            <v>R20</v>
          </cell>
          <cell r="D2050" t="str">
            <v>ORNET (CHINA)</v>
          </cell>
          <cell r="E2050" t="str">
            <v>OR306</v>
          </cell>
          <cell r="N2050">
            <v>13850</v>
          </cell>
        </row>
        <row r="2051">
          <cell r="A2051" t="str">
            <v>12</v>
          </cell>
          <cell r="C2051" t="str">
            <v>R20</v>
          </cell>
          <cell r="D2051" t="str">
            <v>ORNET (CHINA)</v>
          </cell>
          <cell r="E2051" t="str">
            <v>12PR OR968</v>
          </cell>
          <cell r="N2051">
            <v>14400</v>
          </cell>
        </row>
        <row r="2052">
          <cell r="A2052" t="str">
            <v>12</v>
          </cell>
          <cell r="C2052" t="str">
            <v>R22.5</v>
          </cell>
          <cell r="D2052" t="str">
            <v>ORNET (CHINA)</v>
          </cell>
          <cell r="E2052" t="str">
            <v>18PR OR306 MIX</v>
          </cell>
          <cell r="N2052">
            <v>10700</v>
          </cell>
        </row>
        <row r="2053">
          <cell r="A2053" t="str">
            <v>6.50</v>
          </cell>
          <cell r="C2053">
            <v>14</v>
          </cell>
          <cell r="D2053" t="str">
            <v>OTANI</v>
          </cell>
          <cell r="E2053" t="str">
            <v>8PR RIB</v>
          </cell>
          <cell r="N2053">
            <v>2829.75</v>
          </cell>
        </row>
        <row r="2054">
          <cell r="A2054" t="str">
            <v>7.50</v>
          </cell>
          <cell r="C2054">
            <v>15</v>
          </cell>
          <cell r="D2054" t="str">
            <v>OTANI</v>
          </cell>
          <cell r="E2054" t="str">
            <v>14PR RIB</v>
          </cell>
          <cell r="N2054">
            <v>5400</v>
          </cell>
        </row>
        <row r="2055">
          <cell r="A2055" t="str">
            <v>7.00</v>
          </cell>
          <cell r="C2055">
            <v>16</v>
          </cell>
          <cell r="D2055" t="str">
            <v>OTANI</v>
          </cell>
          <cell r="E2055" t="str">
            <v>12PR RIB</v>
          </cell>
          <cell r="N2055">
            <v>5625</v>
          </cell>
        </row>
        <row r="2056">
          <cell r="A2056" t="str">
            <v>8</v>
          </cell>
          <cell r="C2056">
            <v>18</v>
          </cell>
          <cell r="D2056" t="str">
            <v>OTANI</v>
          </cell>
          <cell r="E2056" t="str">
            <v>6P F-33</v>
          </cell>
          <cell r="N2056">
            <v>4779</v>
          </cell>
        </row>
        <row r="2057">
          <cell r="A2057" t="str">
            <v>8.25</v>
          </cell>
          <cell r="C2057">
            <v>20</v>
          </cell>
          <cell r="D2057" t="str">
            <v>OTANI</v>
          </cell>
          <cell r="E2057" t="str">
            <v>U77 14PR</v>
          </cell>
          <cell r="N2057">
            <v>8677.5</v>
          </cell>
        </row>
        <row r="2058">
          <cell r="A2058" t="str">
            <v>11.00</v>
          </cell>
          <cell r="C2058">
            <v>20</v>
          </cell>
          <cell r="D2058" t="str">
            <v>OTANI</v>
          </cell>
          <cell r="E2058" t="str">
            <v>16PR U77 LUG</v>
          </cell>
          <cell r="N2058">
            <v>13509</v>
          </cell>
        </row>
        <row r="2059">
          <cell r="A2059" t="str">
            <v>11.00</v>
          </cell>
          <cell r="C2059">
            <v>20</v>
          </cell>
          <cell r="D2059" t="str">
            <v>OTANI</v>
          </cell>
          <cell r="E2059" t="str">
            <v>18PR S-67</v>
          </cell>
          <cell r="N2059">
            <v>13893.75</v>
          </cell>
        </row>
        <row r="2060">
          <cell r="A2060" t="str">
            <v>12.00</v>
          </cell>
          <cell r="C2060">
            <v>20</v>
          </cell>
          <cell r="D2060" t="str">
            <v>OTANI</v>
          </cell>
          <cell r="E2060" t="str">
            <v>18PR U77 LUG</v>
          </cell>
          <cell r="N2060">
            <v>14805</v>
          </cell>
        </row>
        <row r="2061">
          <cell r="A2061" t="str">
            <v>11</v>
          </cell>
          <cell r="C2061">
            <v>22.5</v>
          </cell>
          <cell r="D2061" t="str">
            <v>OTANI</v>
          </cell>
          <cell r="E2061" t="str">
            <v>16PR OH-301 LUG</v>
          </cell>
          <cell r="N2061">
            <v>12980.1</v>
          </cell>
        </row>
        <row r="2062">
          <cell r="A2062" t="str">
            <v>12</v>
          </cell>
          <cell r="C2062">
            <v>22.5</v>
          </cell>
          <cell r="D2062" t="str">
            <v>OTANI</v>
          </cell>
          <cell r="E2062" t="str">
            <v>16PR OH-301 LUG</v>
          </cell>
          <cell r="N2062">
            <v>15364.44</v>
          </cell>
        </row>
        <row r="2063">
          <cell r="A2063" t="str">
            <v>12</v>
          </cell>
          <cell r="C2063">
            <v>16.5</v>
          </cell>
          <cell r="D2063" t="str">
            <v>OTANI</v>
          </cell>
          <cell r="E2063" t="str">
            <v>12PR RK 214</v>
          </cell>
          <cell r="N2063">
            <v>9603.75</v>
          </cell>
        </row>
        <row r="2064">
          <cell r="A2064" t="str">
            <v>9.5</v>
          </cell>
          <cell r="C2064">
            <v>17.5</v>
          </cell>
          <cell r="D2064" t="str">
            <v>OTANI</v>
          </cell>
          <cell r="E2064" t="str">
            <v>OH-112 14PR</v>
          </cell>
          <cell r="N2064">
            <v>9300</v>
          </cell>
        </row>
        <row r="2065">
          <cell r="A2065" t="str">
            <v>235</v>
          </cell>
          <cell r="B2065">
            <v>75</v>
          </cell>
          <cell r="C2065">
            <v>17.5</v>
          </cell>
          <cell r="D2065" t="str">
            <v>OTANI</v>
          </cell>
          <cell r="E2065" t="str">
            <v>14PR OH-115 TL</v>
          </cell>
          <cell r="N2065">
            <v>7650</v>
          </cell>
        </row>
        <row r="2066">
          <cell r="A2066" t="str">
            <v>225</v>
          </cell>
          <cell r="B2066">
            <v>80</v>
          </cell>
          <cell r="C2066">
            <v>17.5</v>
          </cell>
          <cell r="D2066" t="str">
            <v>OTANI</v>
          </cell>
          <cell r="E2066" t="str">
            <v>OH-112</v>
          </cell>
          <cell r="N2066">
            <v>7875</v>
          </cell>
        </row>
        <row r="2067">
          <cell r="A2067" t="str">
            <v>275</v>
          </cell>
          <cell r="B2067">
            <v>70</v>
          </cell>
          <cell r="C2067">
            <v>22.5</v>
          </cell>
          <cell r="D2067" t="str">
            <v>OTANI</v>
          </cell>
          <cell r="E2067" t="str">
            <v>16PR OH-107</v>
          </cell>
          <cell r="N2067">
            <v>12532.49</v>
          </cell>
        </row>
        <row r="2068">
          <cell r="A2068" t="str">
            <v>295</v>
          </cell>
          <cell r="B2068">
            <v>80</v>
          </cell>
          <cell r="C2068">
            <v>22.5</v>
          </cell>
          <cell r="D2068" t="str">
            <v>OTANI</v>
          </cell>
          <cell r="E2068" t="str">
            <v>OH-101 RIB</v>
          </cell>
          <cell r="N2068">
            <v>14391.3</v>
          </cell>
        </row>
        <row r="2069">
          <cell r="A2069" t="str">
            <v>295</v>
          </cell>
          <cell r="B2069">
            <v>80</v>
          </cell>
          <cell r="C2069">
            <v>22.5</v>
          </cell>
          <cell r="D2069" t="str">
            <v>OTANI</v>
          </cell>
          <cell r="E2069" t="str">
            <v>OH-107 RIB 16PR</v>
          </cell>
          <cell r="N2069">
            <v>13952.51</v>
          </cell>
        </row>
        <row r="2070">
          <cell r="A2070" t="str">
            <v>9.00</v>
          </cell>
          <cell r="C2070">
            <v>20</v>
          </cell>
          <cell r="D2070" t="str">
            <v>PETLAS</v>
          </cell>
          <cell r="E2070" t="str">
            <v>NB38 14PR</v>
          </cell>
          <cell r="N2070">
            <v>15331.92</v>
          </cell>
        </row>
        <row r="2071">
          <cell r="A2071" t="str">
            <v>10</v>
          </cell>
          <cell r="C2071">
            <v>16.5</v>
          </cell>
          <cell r="D2071" t="str">
            <v>PETLAS</v>
          </cell>
          <cell r="E2071" t="str">
            <v>8PR IND15</v>
          </cell>
          <cell r="N2071">
            <v>8598.81</v>
          </cell>
        </row>
        <row r="2072">
          <cell r="A2072" t="str">
            <v>12.4</v>
          </cell>
          <cell r="B2072">
            <v>11</v>
          </cell>
          <cell r="C2072">
            <v>28</v>
          </cell>
          <cell r="D2072" t="str">
            <v>PETLAS</v>
          </cell>
          <cell r="E2072" t="str">
            <v>8PR TA60</v>
          </cell>
          <cell r="N2072">
            <v>16078.66</v>
          </cell>
        </row>
        <row r="2073">
          <cell r="A2073" t="str">
            <v>14.9</v>
          </cell>
          <cell r="B2073">
            <v>13</v>
          </cell>
          <cell r="C2073">
            <v>28</v>
          </cell>
          <cell r="D2073" t="str">
            <v>PETLAS</v>
          </cell>
          <cell r="E2073" t="str">
            <v>8PR TA60</v>
          </cell>
          <cell r="N2073">
            <v>22854.080000000002</v>
          </cell>
        </row>
        <row r="2074">
          <cell r="A2074" t="str">
            <v>16.9</v>
          </cell>
          <cell r="C2074">
            <v>24</v>
          </cell>
          <cell r="D2074" t="str">
            <v>PETLAS</v>
          </cell>
          <cell r="E2074" t="str">
            <v>IND25 12PR</v>
          </cell>
          <cell r="N2074">
            <v>26019.96</v>
          </cell>
        </row>
        <row r="2075">
          <cell r="A2075" t="str">
            <v>12</v>
          </cell>
          <cell r="C2075" t="str">
            <v>R22.5</v>
          </cell>
          <cell r="D2075" t="str">
            <v>ROADWING</v>
          </cell>
          <cell r="E2075" t="str">
            <v>18PR WS678 MINING-LUG</v>
          </cell>
          <cell r="N2075">
            <v>9322.83</v>
          </cell>
        </row>
        <row r="2076">
          <cell r="A2076" t="str">
            <v>12</v>
          </cell>
          <cell r="C2076" t="str">
            <v>R22.5</v>
          </cell>
          <cell r="D2076" t="str">
            <v>ROADWING</v>
          </cell>
          <cell r="E2076" t="str">
            <v>18PR WS118 MIX</v>
          </cell>
          <cell r="N2076">
            <v>9115.25</v>
          </cell>
        </row>
        <row r="2077">
          <cell r="A2077" t="str">
            <v>12.00</v>
          </cell>
          <cell r="C2077" t="str">
            <v>R20</v>
          </cell>
          <cell r="D2077" t="str">
            <v>ROADMAX</v>
          </cell>
          <cell r="E2077" t="str">
            <v>22PR ST986 MINING LUG</v>
          </cell>
          <cell r="N2077">
            <v>11200</v>
          </cell>
        </row>
        <row r="2078">
          <cell r="A2078" t="str">
            <v>23.5</v>
          </cell>
          <cell r="C2078">
            <v>25</v>
          </cell>
          <cell r="D2078" t="str">
            <v>ROMAX</v>
          </cell>
          <cell r="E2078" t="str">
            <v>24PR E3/L3</v>
          </cell>
          <cell r="N2078">
            <v>46851</v>
          </cell>
        </row>
        <row r="2079">
          <cell r="A2079" t="str">
            <v>7.50</v>
          </cell>
          <cell r="C2079">
            <v>14</v>
          </cell>
          <cell r="D2079" t="str">
            <v>SANLI</v>
          </cell>
          <cell r="E2079" t="str">
            <v>8PR RIB</v>
          </cell>
          <cell r="N2079">
            <v>2600</v>
          </cell>
        </row>
        <row r="2080">
          <cell r="A2080" t="str">
            <v>7.00</v>
          </cell>
          <cell r="C2080">
            <v>12</v>
          </cell>
          <cell r="D2080" t="str">
            <v>SOLIDEAL</v>
          </cell>
          <cell r="E2080" t="str">
            <v>RFS330 SOLID</v>
          </cell>
          <cell r="N2080">
            <v>14464</v>
          </cell>
        </row>
        <row r="2081">
          <cell r="A2081" t="str">
            <v>7.00</v>
          </cell>
          <cell r="C2081">
            <v>12</v>
          </cell>
          <cell r="D2081" t="str">
            <v>SOLIDEAL</v>
          </cell>
          <cell r="E2081" t="str">
            <v>14PR ED SET</v>
          </cell>
          <cell r="N2081">
            <v>8200</v>
          </cell>
        </row>
        <row r="2082">
          <cell r="A2082" t="str">
            <v>26.5</v>
          </cell>
          <cell r="C2082">
            <v>25</v>
          </cell>
          <cell r="D2082" t="str">
            <v>SOLIDEAL/CAMSO</v>
          </cell>
          <cell r="E2082" t="str">
            <v>28PR LM L3 TL</v>
          </cell>
          <cell r="N2082">
            <v>135975</v>
          </cell>
        </row>
        <row r="2083">
          <cell r="A2083">
            <v>7</v>
          </cell>
          <cell r="C2083">
            <v>15</v>
          </cell>
          <cell r="D2083" t="str">
            <v>STUD</v>
          </cell>
          <cell r="E2083" t="str">
            <v>12PR 222 RIB</v>
          </cell>
          <cell r="N2083">
            <v>4326.3</v>
          </cell>
        </row>
        <row r="2084">
          <cell r="A2084">
            <v>7</v>
          </cell>
          <cell r="C2084">
            <v>15</v>
          </cell>
          <cell r="D2084" t="str">
            <v>STUD</v>
          </cell>
          <cell r="E2084" t="str">
            <v>12PR 444 LUG</v>
          </cell>
          <cell r="N2084">
            <v>4510.22</v>
          </cell>
        </row>
        <row r="2085">
          <cell r="A2085">
            <v>7.5</v>
          </cell>
          <cell r="C2085">
            <v>15</v>
          </cell>
          <cell r="D2085" t="str">
            <v>STUD</v>
          </cell>
          <cell r="E2085" t="str">
            <v>14PR 222 RIB</v>
          </cell>
          <cell r="N2085">
            <v>4556.2</v>
          </cell>
        </row>
        <row r="2086">
          <cell r="A2086">
            <v>7</v>
          </cell>
          <cell r="C2086">
            <v>16</v>
          </cell>
          <cell r="D2086" t="str">
            <v>STUD</v>
          </cell>
          <cell r="E2086" t="str">
            <v>14PR 222 RIB</v>
          </cell>
          <cell r="N2086">
            <v>4430.8</v>
          </cell>
        </row>
        <row r="2087">
          <cell r="A2087">
            <v>7</v>
          </cell>
          <cell r="C2087">
            <v>16</v>
          </cell>
          <cell r="D2087" t="str">
            <v>STUD</v>
          </cell>
          <cell r="E2087" t="str">
            <v>14PR 444 LUG</v>
          </cell>
          <cell r="N2087">
            <v>4953.3</v>
          </cell>
        </row>
        <row r="2088">
          <cell r="A2088">
            <v>6.4</v>
          </cell>
          <cell r="C2088" t="str">
            <v>13</v>
          </cell>
          <cell r="D2088" t="str">
            <v>SWALLOW</v>
          </cell>
          <cell r="E2088" t="str">
            <v>LUG</v>
          </cell>
          <cell r="N2088">
            <v>4200</v>
          </cell>
        </row>
        <row r="2089">
          <cell r="A2089">
            <v>7.5</v>
          </cell>
          <cell r="C2089" t="str">
            <v>16</v>
          </cell>
          <cell r="D2089" t="str">
            <v>SUNNY</v>
          </cell>
          <cell r="E2089" t="str">
            <v>14PR SN225C RIB</v>
          </cell>
          <cell r="N2089">
            <v>4617</v>
          </cell>
        </row>
        <row r="2090">
          <cell r="A2090">
            <v>205</v>
          </cell>
          <cell r="B2090" t="str">
            <v>85</v>
          </cell>
          <cell r="C2090" t="str">
            <v>16</v>
          </cell>
          <cell r="D2090" t="str">
            <v>SAILUN</v>
          </cell>
          <cell r="E2090" t="str">
            <v>SAR16 LT</v>
          </cell>
          <cell r="N2090">
            <v>5600</v>
          </cell>
        </row>
        <row r="2091">
          <cell r="A2091">
            <v>205</v>
          </cell>
          <cell r="B2091" t="str">
            <v>75</v>
          </cell>
          <cell r="C2091" t="str">
            <v>17.5</v>
          </cell>
          <cell r="D2091" t="str">
            <v>SAILUN</v>
          </cell>
          <cell r="E2091" t="str">
            <v>S637 16PR</v>
          </cell>
          <cell r="N2091">
            <v>6500</v>
          </cell>
        </row>
        <row r="2092">
          <cell r="A2092">
            <v>215</v>
          </cell>
          <cell r="B2092" t="str">
            <v>75</v>
          </cell>
          <cell r="C2092" t="str">
            <v>17.5</v>
          </cell>
          <cell r="D2092" t="str">
            <v>SAILUN</v>
          </cell>
          <cell r="E2092" t="str">
            <v>S637 16PR</v>
          </cell>
          <cell r="N2092">
            <v>6300</v>
          </cell>
        </row>
        <row r="2093">
          <cell r="A2093">
            <v>10</v>
          </cell>
          <cell r="C2093" t="str">
            <v>R20</v>
          </cell>
          <cell r="D2093" t="str">
            <v>SAILUN</v>
          </cell>
          <cell r="E2093" t="str">
            <v>S811 MIX 18PR</v>
          </cell>
          <cell r="N2093">
            <v>12000</v>
          </cell>
        </row>
        <row r="2094">
          <cell r="A2094">
            <v>10</v>
          </cell>
          <cell r="C2094" t="str">
            <v>R20</v>
          </cell>
          <cell r="D2094" t="str">
            <v>SAILUN</v>
          </cell>
          <cell r="E2094" t="str">
            <v>S889</v>
          </cell>
          <cell r="N2094">
            <v>12000</v>
          </cell>
        </row>
        <row r="2095">
          <cell r="A2095">
            <v>12</v>
          </cell>
          <cell r="C2095" t="str">
            <v>R20</v>
          </cell>
          <cell r="D2095" t="str">
            <v>THREE A</v>
          </cell>
          <cell r="E2095" t="str">
            <v xml:space="preserve">MIX </v>
          </cell>
          <cell r="N2095">
            <v>13230</v>
          </cell>
        </row>
        <row r="2096">
          <cell r="A2096">
            <v>11</v>
          </cell>
          <cell r="C2096" t="str">
            <v>R22.5</v>
          </cell>
          <cell r="D2096" t="str">
            <v>TIREBOT</v>
          </cell>
          <cell r="E2096" t="str">
            <v>16PR TR201 MIX</v>
          </cell>
          <cell r="N2096">
            <v>7900</v>
          </cell>
        </row>
        <row r="2097">
          <cell r="A2097">
            <v>11</v>
          </cell>
          <cell r="C2097" t="str">
            <v>R22.5</v>
          </cell>
          <cell r="D2097" t="str">
            <v>TIREBOT</v>
          </cell>
          <cell r="E2097" t="str">
            <v>BLOCKTYPE TRANS 221</v>
          </cell>
          <cell r="N2097">
            <v>8600</v>
          </cell>
        </row>
        <row r="2098">
          <cell r="A2098">
            <v>18</v>
          </cell>
          <cell r="B2098">
            <v>18.5</v>
          </cell>
          <cell r="C2098">
            <v>8</v>
          </cell>
          <cell r="D2098" t="str">
            <v>TIRON</v>
          </cell>
          <cell r="E2098" t="str">
            <v>HF481 RIB</v>
          </cell>
          <cell r="N2098">
            <v>1800</v>
          </cell>
        </row>
        <row r="2099">
          <cell r="A2099" t="str">
            <v>235</v>
          </cell>
          <cell r="B2099">
            <v>75</v>
          </cell>
          <cell r="C2099">
            <v>17.5</v>
          </cell>
          <cell r="D2099" t="str">
            <v>THUNDERER</v>
          </cell>
          <cell r="E2099" t="str">
            <v>RA401 RIB 16PR</v>
          </cell>
          <cell r="N2099">
            <v>7350</v>
          </cell>
        </row>
        <row r="2100">
          <cell r="A2100">
            <v>7</v>
          </cell>
          <cell r="C2100" t="str">
            <v>R16</v>
          </cell>
          <cell r="D2100" t="str">
            <v>THUNDERER</v>
          </cell>
          <cell r="E2100" t="str">
            <v>16PR RA402</v>
          </cell>
          <cell r="N2100">
            <v>5652</v>
          </cell>
        </row>
        <row r="2101">
          <cell r="A2101">
            <v>265</v>
          </cell>
          <cell r="B2101">
            <v>70</v>
          </cell>
          <cell r="C2101">
            <v>19.5</v>
          </cell>
          <cell r="D2101" t="str">
            <v>THUNDERER</v>
          </cell>
          <cell r="E2101" t="str">
            <v>RA401 RIB 16PR</v>
          </cell>
          <cell r="N2101">
            <v>8136</v>
          </cell>
        </row>
        <row r="2102">
          <cell r="A2102">
            <v>7</v>
          </cell>
          <cell r="C2102">
            <v>15</v>
          </cell>
          <cell r="D2102" t="str">
            <v>UNITED</v>
          </cell>
          <cell r="E2102" t="str">
            <v>10PR UT777 RIB</v>
          </cell>
          <cell r="N2102">
            <v>4200</v>
          </cell>
        </row>
        <row r="2103">
          <cell r="A2103">
            <v>7</v>
          </cell>
          <cell r="C2103">
            <v>15</v>
          </cell>
          <cell r="D2103" t="str">
            <v>UNITED</v>
          </cell>
          <cell r="E2103" t="str">
            <v>12PR SEMI LUG UT808</v>
          </cell>
          <cell r="N2103">
            <v>4607.5</v>
          </cell>
        </row>
        <row r="2104">
          <cell r="A2104">
            <v>7.5</v>
          </cell>
          <cell r="C2104">
            <v>15</v>
          </cell>
          <cell r="D2104" t="str">
            <v>UNITED</v>
          </cell>
          <cell r="E2104" t="str">
            <v>14PR UT777 RIB</v>
          </cell>
          <cell r="N2104">
            <v>5049.82</v>
          </cell>
        </row>
        <row r="2105">
          <cell r="A2105">
            <v>7</v>
          </cell>
          <cell r="C2105">
            <v>16</v>
          </cell>
          <cell r="D2105" t="str">
            <v>UNITED</v>
          </cell>
          <cell r="E2105" t="str">
            <v>14PR R-UT777 RIB</v>
          </cell>
          <cell r="N2105">
            <v>4420</v>
          </cell>
        </row>
        <row r="2106">
          <cell r="A2106">
            <v>8.25</v>
          </cell>
          <cell r="C2106">
            <v>20</v>
          </cell>
          <cell r="D2106" t="str">
            <v>UNITED</v>
          </cell>
          <cell r="E2106" t="str">
            <v>14PR UT77 RIB</v>
          </cell>
          <cell r="N2106">
            <v>8315</v>
          </cell>
        </row>
        <row r="2107">
          <cell r="A2107">
            <v>7.5</v>
          </cell>
          <cell r="C2107">
            <v>15</v>
          </cell>
          <cell r="D2107" t="str">
            <v>VEE RUBBER</v>
          </cell>
          <cell r="E2107" t="str">
            <v>RIB</v>
          </cell>
          <cell r="N2107">
            <v>5000</v>
          </cell>
        </row>
        <row r="2108">
          <cell r="A2108">
            <v>7</v>
          </cell>
          <cell r="C2108" t="str">
            <v>R16</v>
          </cell>
          <cell r="D2108" t="str">
            <v>VIKRANT</v>
          </cell>
          <cell r="E2108" t="str">
            <v>VUH5 RIB 14PR SET</v>
          </cell>
          <cell r="N2108">
            <v>7430</v>
          </cell>
        </row>
        <row r="2109">
          <cell r="A2109">
            <v>7.5</v>
          </cell>
          <cell r="C2109" t="str">
            <v>R16</v>
          </cell>
          <cell r="D2109" t="str">
            <v>VIKRANT</v>
          </cell>
          <cell r="E2109" t="str">
            <v>VUH5 RIB TL</v>
          </cell>
          <cell r="N2109">
            <v>6440</v>
          </cell>
        </row>
        <row r="2110">
          <cell r="A2110" t="str">
            <v>215</v>
          </cell>
          <cell r="B2110">
            <v>75</v>
          </cell>
          <cell r="C2110">
            <v>17.5</v>
          </cell>
          <cell r="D2110" t="str">
            <v>VIKRANT</v>
          </cell>
          <cell r="E2110" t="str">
            <v>VUL3 TL</v>
          </cell>
          <cell r="N2110">
            <v>6516</v>
          </cell>
        </row>
        <row r="2111">
          <cell r="A2111">
            <v>11</v>
          </cell>
          <cell r="C2111" t="str">
            <v>R22.5</v>
          </cell>
          <cell r="D2111" t="str">
            <v>VIKRANT</v>
          </cell>
          <cell r="E2111" t="str">
            <v>VUH5 RIB</v>
          </cell>
          <cell r="N2111">
            <v>13440</v>
          </cell>
        </row>
        <row r="2112">
          <cell r="A2112">
            <v>225</v>
          </cell>
          <cell r="B2112">
            <v>80</v>
          </cell>
          <cell r="C2112">
            <v>17.5</v>
          </cell>
          <cell r="D2112" t="str">
            <v>WANLI (CH)</v>
          </cell>
          <cell r="E2112" t="str">
            <v>16PR SFR628</v>
          </cell>
          <cell r="N2112">
            <v>5850</v>
          </cell>
        </row>
        <row r="2113">
          <cell r="A2113">
            <v>245</v>
          </cell>
          <cell r="B2113">
            <v>70</v>
          </cell>
          <cell r="C2113" t="str">
            <v>R19.5</v>
          </cell>
          <cell r="D2113" t="str">
            <v>WANLI (CH)</v>
          </cell>
          <cell r="E2113" t="str">
            <v>18PR SAH01</v>
          </cell>
          <cell r="N2113">
            <v>5800</v>
          </cell>
        </row>
        <row r="2114">
          <cell r="A2114">
            <v>275</v>
          </cell>
          <cell r="B2114">
            <v>80</v>
          </cell>
          <cell r="C2114" t="str">
            <v>R22.5</v>
          </cell>
          <cell r="D2114" t="str">
            <v>WANLI (CH)</v>
          </cell>
          <cell r="E2114" t="str">
            <v>18PR SFR01</v>
          </cell>
          <cell r="N2114">
            <v>9069.51</v>
          </cell>
        </row>
        <row r="2115">
          <cell r="A2115">
            <v>7</v>
          </cell>
          <cell r="C2115" t="str">
            <v>R15</v>
          </cell>
          <cell r="D2115" t="str">
            <v>WANLI (CH)</v>
          </cell>
          <cell r="E2115" t="str">
            <v>12PR S2021 RIB</v>
          </cell>
          <cell r="N2115">
            <v>4150</v>
          </cell>
        </row>
        <row r="2116">
          <cell r="A2116" t="str">
            <v>7.50</v>
          </cell>
          <cell r="C2116" t="str">
            <v>R16</v>
          </cell>
          <cell r="D2116" t="str">
            <v>WANLI (CH)</v>
          </cell>
          <cell r="E2116" t="str">
            <v>14PR S2055+ RIB</v>
          </cell>
          <cell r="N2116">
            <v>4650</v>
          </cell>
        </row>
        <row r="2117">
          <cell r="A2117" t="str">
            <v>6.40/6.50</v>
          </cell>
          <cell r="C2117">
            <v>13</v>
          </cell>
          <cell r="D2117" t="str">
            <v>WESTLAKE</v>
          </cell>
          <cell r="E2117" t="str">
            <v>CM882 6PR</v>
          </cell>
          <cell r="N2117">
            <v>2759</v>
          </cell>
        </row>
        <row r="2118">
          <cell r="A2118">
            <v>7</v>
          </cell>
          <cell r="C2118">
            <v>15</v>
          </cell>
          <cell r="D2118" t="str">
            <v>WESTLAKE</v>
          </cell>
          <cell r="E2118" t="str">
            <v xml:space="preserve">RIB CR892 </v>
          </cell>
          <cell r="N2118">
            <v>3054</v>
          </cell>
        </row>
        <row r="2119">
          <cell r="A2119">
            <v>7.5</v>
          </cell>
          <cell r="C2119">
            <v>15</v>
          </cell>
          <cell r="D2119" t="str">
            <v>WESTLAKE</v>
          </cell>
          <cell r="E2119" t="str">
            <v>14PR RIB CR852</v>
          </cell>
          <cell r="N2119">
            <v>4800</v>
          </cell>
        </row>
        <row r="2120">
          <cell r="A2120">
            <v>7</v>
          </cell>
          <cell r="C2120" t="str">
            <v>R16</v>
          </cell>
          <cell r="D2120" t="str">
            <v>WESTLAKE</v>
          </cell>
          <cell r="E2120" t="str">
            <v>14PR RIB EZ525</v>
          </cell>
          <cell r="N2120">
            <v>4717</v>
          </cell>
        </row>
        <row r="2121">
          <cell r="A2121">
            <v>225</v>
          </cell>
          <cell r="B2121">
            <v>80</v>
          </cell>
          <cell r="C2121">
            <v>17.5</v>
          </cell>
          <cell r="D2121" t="str">
            <v>WESTLAKE</v>
          </cell>
          <cell r="E2121" t="str">
            <v>16PR RIB CM958</v>
          </cell>
          <cell r="N2121">
            <v>7120</v>
          </cell>
        </row>
        <row r="2122">
          <cell r="A2122">
            <v>225</v>
          </cell>
          <cell r="B2122">
            <v>80</v>
          </cell>
          <cell r="C2122">
            <v>17.5</v>
          </cell>
          <cell r="D2122" t="str">
            <v>WESTLAKE</v>
          </cell>
          <cell r="E2122" t="str">
            <v>AZ53416PR RIB</v>
          </cell>
          <cell r="N2122">
            <v>6641.75</v>
          </cell>
        </row>
        <row r="2123">
          <cell r="A2123" t="str">
            <v>11</v>
          </cell>
          <cell r="B2123" t="str">
            <v xml:space="preserve"> </v>
          </cell>
          <cell r="C2123" t="str">
            <v>R22.5</v>
          </cell>
          <cell r="D2123" t="str">
            <v>WOSEN</v>
          </cell>
          <cell r="E2123" t="str">
            <v>18PR WS712 RIB</v>
          </cell>
          <cell r="N2123">
            <v>8521.5</v>
          </cell>
        </row>
        <row r="2124">
          <cell r="A2124" t="str">
            <v>11</v>
          </cell>
          <cell r="C2124" t="str">
            <v>R22.5</v>
          </cell>
          <cell r="D2124" t="str">
            <v>WOSEN</v>
          </cell>
          <cell r="E2124" t="str">
            <v>WS712RIB 16PR</v>
          </cell>
          <cell r="N2124">
            <v>7753</v>
          </cell>
        </row>
        <row r="2125">
          <cell r="A2125" t="str">
            <v>11</v>
          </cell>
          <cell r="C2125" t="str">
            <v>R22.5</v>
          </cell>
          <cell r="D2125" t="str">
            <v>WOSEN</v>
          </cell>
          <cell r="E2125" t="str">
            <v>16PR WS118 MIX</v>
          </cell>
          <cell r="N2125">
            <v>8550</v>
          </cell>
        </row>
        <row r="2126">
          <cell r="A2126" t="str">
            <v>11</v>
          </cell>
          <cell r="C2126">
            <v>22.5</v>
          </cell>
          <cell r="D2126" t="str">
            <v>WOSEN</v>
          </cell>
          <cell r="E2126" t="str">
            <v>16PR WS826 MINING LUG</v>
          </cell>
          <cell r="N2126">
            <v>9034.5</v>
          </cell>
        </row>
        <row r="2127">
          <cell r="A2127" t="str">
            <v>11</v>
          </cell>
          <cell r="C2127">
            <v>22.5</v>
          </cell>
          <cell r="D2127" t="str">
            <v>WOSEN</v>
          </cell>
          <cell r="E2127" t="str">
            <v>16PR WS806</v>
          </cell>
          <cell r="N2127">
            <v>8740</v>
          </cell>
        </row>
        <row r="2128">
          <cell r="A2128" t="str">
            <v>12.00</v>
          </cell>
          <cell r="C2128">
            <v>20</v>
          </cell>
          <cell r="D2128" t="str">
            <v>WOSEN</v>
          </cell>
          <cell r="E2128" t="str">
            <v>WS118</v>
          </cell>
          <cell r="N2128">
            <v>11580</v>
          </cell>
        </row>
        <row r="2129">
          <cell r="A2129" t="str">
            <v>205</v>
          </cell>
          <cell r="B2129">
            <v>85</v>
          </cell>
          <cell r="C2129">
            <v>16</v>
          </cell>
          <cell r="D2129" t="str">
            <v>YOKOHAMA</v>
          </cell>
          <cell r="E2129" t="str">
            <v>12PR LT151R</v>
          </cell>
          <cell r="N2129">
            <v>8053.5</v>
          </cell>
        </row>
        <row r="2130">
          <cell r="A2130" t="str">
            <v>7.00</v>
          </cell>
          <cell r="C2130">
            <v>15</v>
          </cell>
          <cell r="D2130" t="str">
            <v>YOKOHAMA</v>
          </cell>
          <cell r="E2130" t="str">
            <v>12PR Y45 RIB</v>
          </cell>
          <cell r="N2130">
            <v>4543.5</v>
          </cell>
        </row>
        <row r="2131">
          <cell r="A2131" t="str">
            <v>7.50</v>
          </cell>
          <cell r="C2131">
            <v>15</v>
          </cell>
          <cell r="D2131" t="str">
            <v>YOKOHAMA</v>
          </cell>
          <cell r="E2131" t="str">
            <v>12PR Y45 RIB</v>
          </cell>
          <cell r="N2131">
            <v>4842.5</v>
          </cell>
        </row>
        <row r="2132">
          <cell r="A2132" t="str">
            <v>7.00</v>
          </cell>
          <cell r="C2132">
            <v>16</v>
          </cell>
          <cell r="D2132" t="str">
            <v>YOKOHAMA</v>
          </cell>
          <cell r="E2132" t="str">
            <v>12PR Y755 RIB</v>
          </cell>
          <cell r="N2132">
            <v>4849</v>
          </cell>
        </row>
        <row r="2133">
          <cell r="A2133" t="str">
            <v>7.50</v>
          </cell>
          <cell r="C2133">
            <v>16</v>
          </cell>
          <cell r="D2133" t="str">
            <v>YOKOHAMA</v>
          </cell>
          <cell r="E2133" t="str">
            <v>14PR Y776 RIB</v>
          </cell>
          <cell r="N2133">
            <v>6071</v>
          </cell>
        </row>
      </sheetData>
      <sheetData sheetId="1"/>
      <sheetData sheetId="2"/>
      <sheetData sheetId="3"/>
      <sheetData sheetId="4"/>
      <sheetData sheetId="5"/>
      <sheetData sheetId="6"/>
      <sheetData sheetId="7"/>
      <sheetData sheetId="8"/>
      <sheetData sheetId="9"/>
      <sheetData sheetId="10"/>
      <sheetData sheetId="11"/>
      <sheetData sheetId="12">
        <row r="168">
          <cell r="A168">
            <v>265</v>
          </cell>
          <cell r="B168">
            <v>70</v>
          </cell>
          <cell r="C168">
            <v>17</v>
          </cell>
          <cell r="D168" t="str">
            <v>RADAR</v>
          </cell>
          <cell r="E168" t="str">
            <v>RXS9 H/T</v>
          </cell>
        </row>
        <row r="169">
          <cell r="A169" t="str">
            <v>265</v>
          </cell>
          <cell r="B169">
            <v>70</v>
          </cell>
          <cell r="C169">
            <v>17</v>
          </cell>
          <cell r="D169" t="str">
            <v>RADAR</v>
          </cell>
          <cell r="E169" t="str">
            <v>RENEGADE A/T</v>
          </cell>
        </row>
      </sheetData>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223F4-DD9E-0547-ACD3-C93BF3B11F2A}">
  <dimension ref="A1:M2135"/>
  <sheetViews>
    <sheetView tabSelected="1" workbookViewId="0">
      <selection sqref="A1:M2135"/>
    </sheetView>
  </sheetViews>
  <sheetFormatPr baseColWidth="10" defaultRowHeight="16" x14ac:dyDescent="0.2"/>
  <sheetData>
    <row r="1" spans="1:13" x14ac:dyDescent="0.2">
      <c r="A1" s="1" t="s">
        <v>0</v>
      </c>
      <c r="B1" s="2"/>
      <c r="C1" s="2"/>
      <c r="D1" s="2"/>
      <c r="E1" s="3"/>
      <c r="F1" s="4"/>
      <c r="G1" s="4"/>
      <c r="H1" s="4"/>
      <c r="I1" s="5"/>
      <c r="J1" s="6"/>
      <c r="K1" s="7"/>
      <c r="L1" s="8"/>
      <c r="M1" s="9"/>
    </row>
    <row r="2" spans="1:13" ht="76" x14ac:dyDescent="0.2">
      <c r="A2" s="10" t="s">
        <v>1</v>
      </c>
      <c r="B2" s="10" t="s">
        <v>2</v>
      </c>
      <c r="C2" s="10" t="s">
        <v>3</v>
      </c>
      <c r="D2" s="10" t="s">
        <v>4</v>
      </c>
      <c r="E2" s="10" t="s">
        <v>5</v>
      </c>
      <c r="F2" s="11" t="s">
        <v>6</v>
      </c>
      <c r="G2" s="11" t="s">
        <v>7</v>
      </c>
      <c r="H2" s="11" t="s">
        <v>8</v>
      </c>
      <c r="I2" s="12" t="s">
        <v>9</v>
      </c>
      <c r="J2" s="13" t="s">
        <v>10</v>
      </c>
      <c r="K2" s="14" t="s">
        <v>9</v>
      </c>
      <c r="L2" s="15"/>
      <c r="M2" s="16"/>
    </row>
    <row r="3" spans="1:13" x14ac:dyDescent="0.2">
      <c r="A3" s="17" t="str">
        <f>[1]SUMMARY!A4</f>
        <v>165</v>
      </c>
      <c r="B3" s="18">
        <f>[1]SUMMARY!B4</f>
        <v>65</v>
      </c>
      <c r="C3" s="18">
        <f>[1]SUMMARY!C4</f>
        <v>13</v>
      </c>
      <c r="D3" s="19" t="str">
        <f>[1]SUMMARY!D4</f>
        <v>ACCELERA (IDN)</v>
      </c>
      <c r="E3" s="19" t="str">
        <f>[1]SUMMARY!E4</f>
        <v>EPSILON</v>
      </c>
      <c r="F3" s="20"/>
      <c r="G3" s="20"/>
      <c r="H3" s="20"/>
      <c r="I3" s="21">
        <f t="shared" ref="I3:I257" si="0">F3+G3-H3</f>
        <v>0</v>
      </c>
      <c r="J3" s="22">
        <f>[1]SUMMARY!N4</f>
        <v>1593.75</v>
      </c>
      <c r="K3" s="23">
        <f t="shared" ref="K3:K33" si="1">I3*J3</f>
        <v>0</v>
      </c>
      <c r="L3" s="8"/>
      <c r="M3" s="8"/>
    </row>
    <row r="4" spans="1:13" x14ac:dyDescent="0.2">
      <c r="A4" s="17" t="str">
        <f>[1]SUMMARY!A5</f>
        <v>165</v>
      </c>
      <c r="B4" s="18">
        <f>[1]SUMMARY!B5</f>
        <v>65</v>
      </c>
      <c r="C4" s="18">
        <f>[1]SUMMARY!C5</f>
        <v>13</v>
      </c>
      <c r="D4" s="19" t="str">
        <f>[1]SUMMARY!D5</f>
        <v>ACCELERA (IDN)</v>
      </c>
      <c r="E4" s="19" t="str">
        <f>[1]SUMMARY!E5</f>
        <v>GAMMA</v>
      </c>
      <c r="F4" s="20"/>
      <c r="G4" s="20">
        <v>28</v>
      </c>
      <c r="H4" s="20">
        <v>24</v>
      </c>
      <c r="I4" s="24">
        <f t="shared" si="0"/>
        <v>4</v>
      </c>
      <c r="J4" s="22">
        <f>[1]SUMMARY!N5</f>
        <v>1778</v>
      </c>
      <c r="K4" s="23">
        <f t="shared" si="1"/>
        <v>7112</v>
      </c>
      <c r="L4" s="8"/>
      <c r="M4" s="8"/>
    </row>
    <row r="5" spans="1:13" x14ac:dyDescent="0.2">
      <c r="A5" s="17" t="str">
        <f>[1]SUMMARY!A6</f>
        <v>165</v>
      </c>
      <c r="B5" s="18">
        <f>[1]SUMMARY!B6</f>
        <v>80</v>
      </c>
      <c r="C5" s="18">
        <f>[1]SUMMARY!C6</f>
        <v>13</v>
      </c>
      <c r="D5" s="19" t="str">
        <f>[1]SUMMARY!D6</f>
        <v>ACCELERA (IDN)</v>
      </c>
      <c r="E5" s="19" t="str">
        <f>[1]SUMMARY!E6</f>
        <v>ECO PLUSH</v>
      </c>
      <c r="F5" s="20"/>
      <c r="G5" s="20">
        <v>44</v>
      </c>
      <c r="H5" s="20">
        <v>44</v>
      </c>
      <c r="I5" s="24">
        <f t="shared" si="0"/>
        <v>0</v>
      </c>
      <c r="J5" s="22">
        <f>[1]SUMMARY!N6</f>
        <v>1848</v>
      </c>
      <c r="K5" s="23">
        <f t="shared" si="1"/>
        <v>0</v>
      </c>
      <c r="L5" s="8"/>
      <c r="M5" s="8"/>
    </row>
    <row r="6" spans="1:13" x14ac:dyDescent="0.2">
      <c r="A6" s="17" t="str">
        <f>[1]SUMMARY!A7</f>
        <v>175</v>
      </c>
      <c r="B6" s="18">
        <f>[1]SUMMARY!B7</f>
        <v>60</v>
      </c>
      <c r="C6" s="18">
        <f>[1]SUMMARY!C7</f>
        <v>13</v>
      </c>
      <c r="D6" s="19" t="str">
        <f>[1]SUMMARY!D7</f>
        <v>ACCELERA (IDN)</v>
      </c>
      <c r="E6" s="19" t="str">
        <f>[1]SUMMARY!E7</f>
        <v>GAMMA</v>
      </c>
      <c r="F6" s="20"/>
      <c r="G6" s="20"/>
      <c r="H6" s="20"/>
      <c r="I6" s="21">
        <f t="shared" si="0"/>
        <v>0</v>
      </c>
      <c r="J6" s="22">
        <f>[1]SUMMARY!N7</f>
        <v>2136</v>
      </c>
      <c r="K6" s="23">
        <f t="shared" si="1"/>
        <v>0</v>
      </c>
      <c r="L6" s="8"/>
      <c r="M6" s="8"/>
    </row>
    <row r="7" spans="1:13" x14ac:dyDescent="0.2">
      <c r="A7" s="17">
        <f>[1]SUMMARY!A8</f>
        <v>185</v>
      </c>
      <c r="B7" s="18">
        <f>[1]SUMMARY!B8</f>
        <v>60</v>
      </c>
      <c r="C7" s="18">
        <f>[1]SUMMARY!C8</f>
        <v>13</v>
      </c>
      <c r="D7" s="19" t="str">
        <f>[1]SUMMARY!D8</f>
        <v>ACCELERA (IDN)</v>
      </c>
      <c r="E7" s="19" t="str">
        <f>[1]SUMMARY!E8</f>
        <v>ALPHA</v>
      </c>
      <c r="F7" s="20"/>
      <c r="G7" s="20"/>
      <c r="H7" s="20"/>
      <c r="I7" s="21">
        <f t="shared" si="0"/>
        <v>0</v>
      </c>
      <c r="J7" s="22">
        <f>[1]SUMMARY!N8</f>
        <v>2180</v>
      </c>
      <c r="K7" s="23">
        <f t="shared" si="1"/>
        <v>0</v>
      </c>
      <c r="L7" s="8"/>
      <c r="M7" s="8"/>
    </row>
    <row r="8" spans="1:13" x14ac:dyDescent="0.2">
      <c r="A8" s="17" t="str">
        <f>[1]SUMMARY!A9</f>
        <v>175</v>
      </c>
      <c r="B8" s="18">
        <f>[1]SUMMARY!B9</f>
        <v>0</v>
      </c>
      <c r="C8" s="18">
        <f>[1]SUMMARY!C9</f>
        <v>13</v>
      </c>
      <c r="D8" s="19" t="str">
        <f>[1]SUMMARY!D9</f>
        <v>ACCELERA (IDN)</v>
      </c>
      <c r="E8" s="19" t="str">
        <f>[1]SUMMARY!E9</f>
        <v>ULTRA 5</v>
      </c>
      <c r="F8" s="20"/>
      <c r="G8" s="20">
        <v>16</v>
      </c>
      <c r="H8" s="20">
        <v>12</v>
      </c>
      <c r="I8" s="24">
        <f t="shared" si="0"/>
        <v>4</v>
      </c>
      <c r="J8" s="22">
        <f>[1]SUMMARY!N9</f>
        <v>2618</v>
      </c>
      <c r="K8" s="23">
        <f t="shared" si="1"/>
        <v>10472</v>
      </c>
      <c r="L8" s="8"/>
      <c r="M8" s="8"/>
    </row>
    <row r="9" spans="1:13" x14ac:dyDescent="0.2">
      <c r="A9" s="17" t="str">
        <f>[1]SUMMARY!A10</f>
        <v>165</v>
      </c>
      <c r="B9" s="18">
        <f>[1]SUMMARY!B10</f>
        <v>60</v>
      </c>
      <c r="C9" s="18">
        <f>[1]SUMMARY!C10</f>
        <v>14</v>
      </c>
      <c r="D9" s="19" t="str">
        <f>[1]SUMMARY!D10</f>
        <v>ACCELERA (IDN)</v>
      </c>
      <c r="E9" s="19" t="str">
        <f>[1]SUMMARY!E10</f>
        <v>ECOPLUSH</v>
      </c>
      <c r="F9" s="20"/>
      <c r="G9" s="20">
        <v>9</v>
      </c>
      <c r="H9" s="20">
        <v>5</v>
      </c>
      <c r="I9" s="24">
        <f t="shared" si="0"/>
        <v>4</v>
      </c>
      <c r="J9" s="22">
        <f>[1]SUMMARY!N10</f>
        <v>2114</v>
      </c>
      <c r="K9" s="23">
        <f t="shared" si="1"/>
        <v>8456</v>
      </c>
      <c r="L9" s="8"/>
      <c r="M9" s="8"/>
    </row>
    <row r="10" spans="1:13" x14ac:dyDescent="0.2">
      <c r="A10" s="17" t="str">
        <f>[1]SUMMARY!A11</f>
        <v>165</v>
      </c>
      <c r="B10" s="18">
        <f>[1]SUMMARY!B11</f>
        <v>65</v>
      </c>
      <c r="C10" s="18">
        <f>[1]SUMMARY!C11</f>
        <v>14</v>
      </c>
      <c r="D10" s="19" t="str">
        <f>[1]SUMMARY!D11</f>
        <v>ACCELERA (IDN)</v>
      </c>
      <c r="E10" s="19" t="str">
        <f>[1]SUMMARY!E11</f>
        <v>ECOPLUSH</v>
      </c>
      <c r="F10" s="20"/>
      <c r="G10" s="20">
        <v>4</v>
      </c>
      <c r="H10" s="20"/>
      <c r="I10" s="24">
        <f t="shared" si="0"/>
        <v>4</v>
      </c>
      <c r="J10" s="22">
        <f>[1]SUMMARY!N11</f>
        <v>2058</v>
      </c>
      <c r="K10" s="23">
        <f t="shared" si="1"/>
        <v>8232</v>
      </c>
      <c r="L10" s="8"/>
      <c r="M10" s="8"/>
    </row>
    <row r="11" spans="1:13" x14ac:dyDescent="0.2">
      <c r="A11" s="17" t="str">
        <f>[1]SUMMARY!A12</f>
        <v>175</v>
      </c>
      <c r="B11" s="18">
        <f>[1]SUMMARY!B12</f>
        <v>65</v>
      </c>
      <c r="C11" s="18">
        <f>[1]SUMMARY!C12</f>
        <v>14</v>
      </c>
      <c r="D11" s="19" t="str">
        <f>[1]SUMMARY!D12</f>
        <v>ACCELERA (IDN)</v>
      </c>
      <c r="E11" s="19" t="str">
        <f>[1]SUMMARY!E12</f>
        <v>ECO PLUSH</v>
      </c>
      <c r="F11" s="20"/>
      <c r="G11" s="20">
        <v>61</v>
      </c>
      <c r="H11" s="20">
        <v>57</v>
      </c>
      <c r="I11" s="24">
        <f t="shared" si="0"/>
        <v>4</v>
      </c>
      <c r="J11" s="22">
        <f>[1]SUMMARY!N12</f>
        <v>1862</v>
      </c>
      <c r="K11" s="23">
        <f t="shared" si="1"/>
        <v>7448</v>
      </c>
      <c r="L11" s="8"/>
      <c r="M11" s="8"/>
    </row>
    <row r="12" spans="1:13" x14ac:dyDescent="0.2">
      <c r="A12" s="17" t="str">
        <f>[1]SUMMARY!A13</f>
        <v>185</v>
      </c>
      <c r="B12" s="18">
        <f>[1]SUMMARY!B13</f>
        <v>65</v>
      </c>
      <c r="C12" s="18">
        <f>[1]SUMMARY!C13</f>
        <v>14</v>
      </c>
      <c r="D12" s="19" t="str">
        <f>[1]SUMMARY!D13</f>
        <v>ACCELERA (IDN)</v>
      </c>
      <c r="E12" s="19" t="str">
        <f>[1]SUMMARY!E13</f>
        <v>ECO PLUSH</v>
      </c>
      <c r="F12" s="20"/>
      <c r="G12" s="20">
        <v>23</v>
      </c>
      <c r="H12" s="20">
        <v>19</v>
      </c>
      <c r="I12" s="24">
        <f t="shared" si="0"/>
        <v>4</v>
      </c>
      <c r="J12" s="22">
        <f>[1]SUMMARY!N13</f>
        <v>2121</v>
      </c>
      <c r="K12" s="23">
        <f t="shared" si="1"/>
        <v>8484</v>
      </c>
      <c r="L12" s="8"/>
      <c r="M12" s="8"/>
    </row>
    <row r="13" spans="1:13" x14ac:dyDescent="0.2">
      <c r="A13" s="17" t="str">
        <f>[1]SUMMARY!A14</f>
        <v>175</v>
      </c>
      <c r="B13" s="18">
        <f>[1]SUMMARY!B14</f>
        <v>70</v>
      </c>
      <c r="C13" s="18">
        <f>[1]SUMMARY!C14</f>
        <v>14</v>
      </c>
      <c r="D13" s="19" t="str">
        <f>[1]SUMMARY!D14</f>
        <v>ACCELERA (IDN)</v>
      </c>
      <c r="E13" s="19" t="str">
        <f>[1]SUMMARY!E14</f>
        <v>ECO PLUSH</v>
      </c>
      <c r="F13" s="20"/>
      <c r="G13" s="20">
        <v>4</v>
      </c>
      <c r="H13" s="20">
        <v>4</v>
      </c>
      <c r="I13" s="21">
        <f t="shared" si="0"/>
        <v>0</v>
      </c>
      <c r="J13" s="22">
        <f>[1]SUMMARY!N14</f>
        <v>2268</v>
      </c>
      <c r="K13" s="23">
        <f t="shared" si="1"/>
        <v>0</v>
      </c>
      <c r="L13" s="8"/>
      <c r="M13" s="8"/>
    </row>
    <row r="14" spans="1:13" x14ac:dyDescent="0.2">
      <c r="A14" s="17" t="str">
        <f>[1]SUMMARY!A15</f>
        <v>185</v>
      </c>
      <c r="B14" s="18">
        <f>[1]SUMMARY!B15</f>
        <v>70</v>
      </c>
      <c r="C14" s="18">
        <f>[1]SUMMARY!C15</f>
        <v>14</v>
      </c>
      <c r="D14" s="19" t="str">
        <f>[1]SUMMARY!D15</f>
        <v>ACCELERA (IDN)</v>
      </c>
      <c r="E14" s="19" t="str">
        <f>[1]SUMMARY!E15</f>
        <v>ECO PLUSH</v>
      </c>
      <c r="F14" s="20"/>
      <c r="G14" s="20">
        <v>12</v>
      </c>
      <c r="H14" s="20">
        <v>10</v>
      </c>
      <c r="I14" s="24">
        <f t="shared" si="0"/>
        <v>2</v>
      </c>
      <c r="J14" s="22">
        <f>[1]SUMMARY!N15</f>
        <v>2320</v>
      </c>
      <c r="K14" s="23">
        <f t="shared" si="1"/>
        <v>4640</v>
      </c>
      <c r="L14" s="8"/>
      <c r="M14" s="8"/>
    </row>
    <row r="15" spans="1:13" x14ac:dyDescent="0.2">
      <c r="A15" s="17" t="str">
        <f>[1]SUMMARY!A16</f>
        <v>185</v>
      </c>
      <c r="B15" s="18">
        <f>[1]SUMMARY!B16</f>
        <v>0</v>
      </c>
      <c r="C15" s="18" t="str">
        <f>[1]SUMMARY!C16</f>
        <v>14C</v>
      </c>
      <c r="D15" s="19" t="str">
        <f>[1]SUMMARY!D16</f>
        <v>ACCELERA (IDN)</v>
      </c>
      <c r="E15" s="19" t="str">
        <f>[1]SUMMARY!E16</f>
        <v>ULTRA 3</v>
      </c>
      <c r="F15" s="20"/>
      <c r="G15" s="20">
        <v>46</v>
      </c>
      <c r="H15" s="20">
        <v>42</v>
      </c>
      <c r="I15" s="24">
        <f t="shared" si="0"/>
        <v>4</v>
      </c>
      <c r="J15" s="22">
        <f>[1]SUMMARY!N16</f>
        <v>2646</v>
      </c>
      <c r="K15" s="23">
        <f t="shared" si="1"/>
        <v>10584</v>
      </c>
      <c r="L15" s="8"/>
      <c r="M15" s="8"/>
    </row>
    <row r="16" spans="1:13" x14ac:dyDescent="0.2">
      <c r="A16" s="17" t="str">
        <f>[1]SUMMARY!A17</f>
        <v>195</v>
      </c>
      <c r="B16" s="18">
        <f>[1]SUMMARY!B17</f>
        <v>0</v>
      </c>
      <c r="C16" s="18" t="str">
        <f>[1]SUMMARY!C17</f>
        <v>14C</v>
      </c>
      <c r="D16" s="19" t="str">
        <f>[1]SUMMARY!D17</f>
        <v>ACCELERA (IDN)</v>
      </c>
      <c r="E16" s="19" t="str">
        <f>[1]SUMMARY!E17</f>
        <v>ULTRA 3</v>
      </c>
      <c r="F16" s="20"/>
      <c r="G16" s="20">
        <v>14</v>
      </c>
      <c r="H16" s="20">
        <v>14</v>
      </c>
      <c r="I16" s="21">
        <f t="shared" si="0"/>
        <v>0</v>
      </c>
      <c r="J16" s="22">
        <f>[1]SUMMARY!N17</f>
        <v>2940</v>
      </c>
      <c r="K16" s="23">
        <f t="shared" si="1"/>
        <v>0</v>
      </c>
      <c r="L16" s="8"/>
      <c r="M16" s="8"/>
    </row>
    <row r="17" spans="1:13" x14ac:dyDescent="0.2">
      <c r="A17" s="17" t="str">
        <f>[1]SUMMARY!A18</f>
        <v>195</v>
      </c>
      <c r="B17" s="18">
        <f>[1]SUMMARY!B18</f>
        <v>0</v>
      </c>
      <c r="C17" s="18" t="str">
        <f>[1]SUMMARY!C18</f>
        <v>14C</v>
      </c>
      <c r="D17" s="19" t="str">
        <f>[1]SUMMARY!D18</f>
        <v>ACCELERA (IDN)</v>
      </c>
      <c r="E17" s="19" t="str">
        <f>[1]SUMMARY!E18</f>
        <v>ULTRA 3 (WHITE LETTER)</v>
      </c>
      <c r="F17" s="20"/>
      <c r="G17" s="20">
        <v>13</v>
      </c>
      <c r="H17" s="20">
        <v>9</v>
      </c>
      <c r="I17" s="24">
        <f t="shared" si="0"/>
        <v>4</v>
      </c>
      <c r="J17" s="22">
        <f>[1]SUMMARY!N18</f>
        <v>3269</v>
      </c>
      <c r="K17" s="23">
        <f t="shared" si="1"/>
        <v>13076</v>
      </c>
      <c r="L17" s="8"/>
      <c r="M17" s="8"/>
    </row>
    <row r="18" spans="1:13" x14ac:dyDescent="0.2">
      <c r="A18" s="17" t="str">
        <f>[1]SUMMARY!A19</f>
        <v>195</v>
      </c>
      <c r="B18" s="18">
        <f>[1]SUMMARY!B19</f>
        <v>50</v>
      </c>
      <c r="C18" s="18">
        <f>[1]SUMMARY!C19</f>
        <v>15</v>
      </c>
      <c r="D18" s="19" t="str">
        <f>[1]SUMMARY!D19</f>
        <v>ACCELERA (IDN)</v>
      </c>
      <c r="E18" s="19" t="str">
        <f>[1]SUMMARY!E19</f>
        <v>651 SPORT TW200</v>
      </c>
      <c r="F18" s="20"/>
      <c r="G18" s="20">
        <v>12</v>
      </c>
      <c r="H18" s="20">
        <v>8</v>
      </c>
      <c r="I18" s="21">
        <f t="shared" si="0"/>
        <v>4</v>
      </c>
      <c r="J18" s="22">
        <f>[1]SUMMARY!N19</f>
        <v>2660</v>
      </c>
      <c r="K18" s="23">
        <f t="shared" si="1"/>
        <v>10640</v>
      </c>
      <c r="L18" s="8"/>
      <c r="M18" s="8"/>
    </row>
    <row r="19" spans="1:13" x14ac:dyDescent="0.2">
      <c r="A19" s="17" t="str">
        <f>[1]SUMMARY!A20</f>
        <v>195</v>
      </c>
      <c r="B19" s="18">
        <f>[1]SUMMARY!B20</f>
        <v>50</v>
      </c>
      <c r="C19" s="18">
        <f>[1]SUMMARY!C20</f>
        <v>15</v>
      </c>
      <c r="D19" s="19" t="str">
        <f>[1]SUMMARY!D20</f>
        <v>ACCELERA (IDN)</v>
      </c>
      <c r="E19" s="19" t="str">
        <f>[1]SUMMARY!E20</f>
        <v>PHI-R</v>
      </c>
      <c r="F19" s="20"/>
      <c r="G19" s="20">
        <v>4</v>
      </c>
      <c r="H19" s="20">
        <v>2</v>
      </c>
      <c r="I19" s="24">
        <f t="shared" si="0"/>
        <v>2</v>
      </c>
      <c r="J19" s="22">
        <f>[1]SUMMARY!N20</f>
        <v>2464</v>
      </c>
      <c r="K19" s="23">
        <f t="shared" si="1"/>
        <v>4928</v>
      </c>
      <c r="L19" s="8"/>
      <c r="M19" s="8"/>
    </row>
    <row r="20" spans="1:13" x14ac:dyDescent="0.2">
      <c r="A20" s="17" t="str">
        <f>[1]SUMMARY!A21</f>
        <v>185</v>
      </c>
      <c r="B20" s="18">
        <f>[1]SUMMARY!B21</f>
        <v>60</v>
      </c>
      <c r="C20" s="18">
        <f>[1]SUMMARY!C21</f>
        <v>15</v>
      </c>
      <c r="D20" s="19" t="str">
        <f>[1]SUMMARY!D21</f>
        <v>ACCELERA (IDN)</v>
      </c>
      <c r="E20" s="19" t="str">
        <f>[1]SUMMARY!E21</f>
        <v>ECO PLUSH</v>
      </c>
      <c r="F20" s="20"/>
      <c r="G20" s="20">
        <v>58</v>
      </c>
      <c r="H20" s="20">
        <v>54</v>
      </c>
      <c r="I20" s="24">
        <f t="shared" si="0"/>
        <v>4</v>
      </c>
      <c r="J20" s="22">
        <f>[1]SUMMARY!N21</f>
        <v>2733.15</v>
      </c>
      <c r="K20" s="23">
        <f t="shared" si="1"/>
        <v>10932.6</v>
      </c>
      <c r="L20" s="8"/>
      <c r="M20" s="8"/>
    </row>
    <row r="21" spans="1:13" x14ac:dyDescent="0.2">
      <c r="A21" s="17" t="str">
        <f>[1]SUMMARY!A22</f>
        <v>195</v>
      </c>
      <c r="B21" s="18">
        <f>[1]SUMMARY!B22</f>
        <v>60</v>
      </c>
      <c r="C21" s="18">
        <f>[1]SUMMARY!C22</f>
        <v>15</v>
      </c>
      <c r="D21" s="19" t="str">
        <f>[1]SUMMARY!D22</f>
        <v>ACCELERA (IDN)</v>
      </c>
      <c r="E21" s="19" t="str">
        <f>[1]SUMMARY!E22</f>
        <v>ECO PLUSH</v>
      </c>
      <c r="F21" s="20"/>
      <c r="G21" s="20">
        <v>24</v>
      </c>
      <c r="H21" s="20">
        <v>20</v>
      </c>
      <c r="I21" s="24">
        <f t="shared" si="0"/>
        <v>4</v>
      </c>
      <c r="J21" s="22">
        <f>[1]SUMMARY!N22</f>
        <v>3072.3</v>
      </c>
      <c r="K21" s="23">
        <f t="shared" si="1"/>
        <v>12289.2</v>
      </c>
      <c r="L21" s="8"/>
      <c r="M21" s="8"/>
    </row>
    <row r="22" spans="1:13" x14ac:dyDescent="0.2">
      <c r="A22" s="17" t="str">
        <f>[1]SUMMARY!A23</f>
        <v>195</v>
      </c>
      <c r="B22" s="18">
        <f>[1]SUMMARY!B23</f>
        <v>65</v>
      </c>
      <c r="C22" s="18">
        <f>[1]SUMMARY!C23</f>
        <v>15</v>
      </c>
      <c r="D22" s="19" t="str">
        <f>[1]SUMMARY!D23</f>
        <v>ACCELERA (IDN)</v>
      </c>
      <c r="E22" s="19" t="str">
        <f>[1]SUMMARY!E23</f>
        <v>ECO PLUSH</v>
      </c>
      <c r="F22" s="20"/>
      <c r="G22" s="20">
        <v>16</v>
      </c>
      <c r="H22" s="20">
        <v>12</v>
      </c>
      <c r="I22" s="24">
        <f t="shared" si="0"/>
        <v>4</v>
      </c>
      <c r="J22" s="22">
        <f>[1]SUMMARY!N23</f>
        <v>2702</v>
      </c>
      <c r="K22" s="23">
        <f t="shared" si="1"/>
        <v>10808</v>
      </c>
      <c r="L22" s="8"/>
      <c r="M22" s="8"/>
    </row>
    <row r="23" spans="1:13" x14ac:dyDescent="0.2">
      <c r="A23" s="17" t="str">
        <f>[1]SUMMARY!A24</f>
        <v>195</v>
      </c>
      <c r="B23" s="18">
        <f>[1]SUMMARY!B24</f>
        <v>0</v>
      </c>
      <c r="C23" s="18" t="str">
        <f>[1]SUMMARY!C24</f>
        <v>15C</v>
      </c>
      <c r="D23" s="19" t="str">
        <f>[1]SUMMARY!D24</f>
        <v>ACCELERA (IDN)</v>
      </c>
      <c r="E23" s="19" t="str">
        <f>[1]SUMMARY!E24</f>
        <v>ULTRA 3</v>
      </c>
      <c r="F23" s="20"/>
      <c r="G23" s="20">
        <v>44</v>
      </c>
      <c r="H23" s="20">
        <v>40</v>
      </c>
      <c r="I23" s="24">
        <f t="shared" si="0"/>
        <v>4</v>
      </c>
      <c r="J23" s="22">
        <f>[1]SUMMARY!N24</f>
        <v>3479</v>
      </c>
      <c r="K23" s="23">
        <f t="shared" si="1"/>
        <v>13916</v>
      </c>
      <c r="L23" s="8"/>
      <c r="M23" s="8"/>
    </row>
    <row r="24" spans="1:13" x14ac:dyDescent="0.2">
      <c r="A24" s="17" t="str">
        <f>[1]SUMMARY!A25</f>
        <v>175</v>
      </c>
      <c r="B24" s="18">
        <f>[1]SUMMARY!B25</f>
        <v>55</v>
      </c>
      <c r="C24" s="18">
        <f>[1]SUMMARY!C25</f>
        <v>15</v>
      </c>
      <c r="D24" s="19" t="str">
        <f>[1]SUMMARY!D25</f>
        <v>ACCELERA (IDN)</v>
      </c>
      <c r="E24" s="19" t="str">
        <f>[1]SUMMARY!E25</f>
        <v>PHI-R</v>
      </c>
      <c r="F24" s="20"/>
      <c r="G24" s="20">
        <v>41</v>
      </c>
      <c r="H24" s="20">
        <v>37</v>
      </c>
      <c r="I24" s="24">
        <f t="shared" si="0"/>
        <v>4</v>
      </c>
      <c r="J24" s="22">
        <f>[1]SUMMARY!N25</f>
        <v>2450</v>
      </c>
      <c r="K24" s="23">
        <f t="shared" si="1"/>
        <v>9800</v>
      </c>
      <c r="L24" s="8"/>
      <c r="M24" s="8"/>
    </row>
    <row r="25" spans="1:13" x14ac:dyDescent="0.2">
      <c r="A25" s="17" t="str">
        <f>[1]SUMMARY!A26</f>
        <v>185</v>
      </c>
      <c r="B25" s="18">
        <f>[1]SUMMARY!B26</f>
        <v>55</v>
      </c>
      <c r="C25" s="18">
        <f>[1]SUMMARY!C26</f>
        <v>15</v>
      </c>
      <c r="D25" s="19" t="str">
        <f>[1]SUMMARY!D26</f>
        <v>ACCELERA (IDN)</v>
      </c>
      <c r="E25" s="19" t="str">
        <f>[1]SUMMARY!E26</f>
        <v>PHI-R</v>
      </c>
      <c r="F25" s="20"/>
      <c r="G25" s="20">
        <v>33</v>
      </c>
      <c r="H25" s="20">
        <v>29</v>
      </c>
      <c r="I25" s="24">
        <f t="shared" si="0"/>
        <v>4</v>
      </c>
      <c r="J25" s="22">
        <f>[1]SUMMARY!N26</f>
        <v>2835</v>
      </c>
      <c r="K25" s="23">
        <f t="shared" si="1"/>
        <v>11340</v>
      </c>
      <c r="L25" s="8"/>
      <c r="M25" s="8"/>
    </row>
    <row r="26" spans="1:13" x14ac:dyDescent="0.2">
      <c r="A26" s="17" t="str">
        <f>[1]SUMMARY!A27</f>
        <v>195</v>
      </c>
      <c r="B26" s="18">
        <f>[1]SUMMARY!B27</f>
        <v>55</v>
      </c>
      <c r="C26" s="18">
        <f>[1]SUMMARY!C27</f>
        <v>15</v>
      </c>
      <c r="D26" s="19" t="str">
        <f>[1]SUMMARY!D27</f>
        <v>ACCELERA (IDN)</v>
      </c>
      <c r="E26" s="19" t="str">
        <f>[1]SUMMARY!E27</f>
        <v>PHI-R</v>
      </c>
      <c r="F26" s="20"/>
      <c r="G26" s="20">
        <v>32</v>
      </c>
      <c r="H26" s="20">
        <v>28</v>
      </c>
      <c r="I26" s="24">
        <f t="shared" si="0"/>
        <v>4</v>
      </c>
      <c r="J26" s="22">
        <f>[1]SUMMARY!N27</f>
        <v>2534</v>
      </c>
      <c r="K26" s="23">
        <f t="shared" si="1"/>
        <v>10136</v>
      </c>
      <c r="L26" s="8"/>
      <c r="M26" s="8"/>
    </row>
    <row r="27" spans="1:13" x14ac:dyDescent="0.2">
      <c r="A27" s="17" t="str">
        <f>[1]SUMMARY!A28</f>
        <v>195</v>
      </c>
      <c r="B27" s="18">
        <f>[1]SUMMARY!B28</f>
        <v>55</v>
      </c>
      <c r="C27" s="18">
        <f>[1]SUMMARY!C28</f>
        <v>15</v>
      </c>
      <c r="D27" s="19" t="str">
        <f>[1]SUMMARY!D28</f>
        <v>ACCELERA (IDN)</v>
      </c>
      <c r="E27" s="19" t="str">
        <f>[1]SUMMARY!E28</f>
        <v>651 SPORT</v>
      </c>
      <c r="F27" s="20"/>
      <c r="G27" s="20">
        <v>12</v>
      </c>
      <c r="H27" s="20"/>
      <c r="I27" s="24">
        <f t="shared" si="0"/>
        <v>12</v>
      </c>
      <c r="J27" s="22">
        <f>[1]SUMMARY!N28</f>
        <v>2744</v>
      </c>
      <c r="K27" s="23">
        <f t="shared" si="1"/>
        <v>32928</v>
      </c>
      <c r="L27" s="8"/>
      <c r="M27" s="8"/>
    </row>
    <row r="28" spans="1:13" x14ac:dyDescent="0.2">
      <c r="A28" s="17" t="str">
        <f>[1]SUMMARY!A29</f>
        <v>175</v>
      </c>
      <c r="B28" s="18">
        <f>[1]SUMMARY!B29</f>
        <v>65</v>
      </c>
      <c r="C28" s="18">
        <f>[1]SUMMARY!C29</f>
        <v>15</v>
      </c>
      <c r="D28" s="19" t="str">
        <f>[1]SUMMARY!D29</f>
        <v>ACCELERA (IDN)</v>
      </c>
      <c r="E28" s="19" t="str">
        <f>[1]SUMMARY!E29</f>
        <v>ECO PLUSH</v>
      </c>
      <c r="F28" s="20"/>
      <c r="G28" s="20">
        <v>22</v>
      </c>
      <c r="H28" s="20">
        <v>18</v>
      </c>
      <c r="I28" s="24">
        <f t="shared" si="0"/>
        <v>4</v>
      </c>
      <c r="J28" s="22">
        <f>[1]SUMMARY!N29</f>
        <v>2415</v>
      </c>
      <c r="K28" s="23">
        <f t="shared" si="1"/>
        <v>9660</v>
      </c>
      <c r="L28" s="8"/>
      <c r="M28" s="8"/>
    </row>
    <row r="29" spans="1:13" x14ac:dyDescent="0.2">
      <c r="A29" s="17" t="str">
        <f>[1]SUMMARY!A30</f>
        <v>185</v>
      </c>
      <c r="B29" s="18">
        <f>[1]SUMMARY!B30</f>
        <v>65</v>
      </c>
      <c r="C29" s="18">
        <f>[1]SUMMARY!C30</f>
        <v>15</v>
      </c>
      <c r="D29" s="19" t="str">
        <f>[1]SUMMARY!D30</f>
        <v>ACCELERA (IDN)</v>
      </c>
      <c r="E29" s="19" t="str">
        <f>[1]SUMMARY!E30</f>
        <v>ECO PLUSH</v>
      </c>
      <c r="F29" s="20"/>
      <c r="G29" s="20">
        <v>28</v>
      </c>
      <c r="H29" s="20">
        <v>24</v>
      </c>
      <c r="I29" s="24">
        <f t="shared" si="0"/>
        <v>4</v>
      </c>
      <c r="J29" s="22">
        <f>[1]SUMMARY!N30</f>
        <v>2807</v>
      </c>
      <c r="K29" s="23">
        <f t="shared" si="1"/>
        <v>11228</v>
      </c>
      <c r="L29" s="8"/>
      <c r="M29" s="8"/>
    </row>
    <row r="30" spans="1:13" x14ac:dyDescent="0.2">
      <c r="A30" s="17" t="str">
        <f>[1]SUMMARY!A31</f>
        <v>205</v>
      </c>
      <c r="B30" s="18">
        <f>[1]SUMMARY!B31</f>
        <v>65</v>
      </c>
      <c r="C30" s="18">
        <f>[1]SUMMARY!C31</f>
        <v>15</v>
      </c>
      <c r="D30" s="19" t="str">
        <f>[1]SUMMARY!D31</f>
        <v>ACCELERA (IDN)</v>
      </c>
      <c r="E30" s="19" t="str">
        <f>[1]SUMMARY!E31</f>
        <v>ECO PLUSH</v>
      </c>
      <c r="F30" s="20"/>
      <c r="G30" s="20">
        <v>40</v>
      </c>
      <c r="H30" s="20">
        <v>40</v>
      </c>
      <c r="I30" s="21">
        <f t="shared" si="0"/>
        <v>0</v>
      </c>
      <c r="J30" s="22">
        <f>[1]SUMMARY!N31</f>
        <v>2779</v>
      </c>
      <c r="K30" s="23">
        <f t="shared" si="1"/>
        <v>0</v>
      </c>
      <c r="L30" s="8"/>
      <c r="M30" s="8"/>
    </row>
    <row r="31" spans="1:13" x14ac:dyDescent="0.2">
      <c r="A31" s="17" t="str">
        <f>[1]SUMMARY!A32</f>
        <v>195</v>
      </c>
      <c r="B31" s="18">
        <f>[1]SUMMARY!B32</f>
        <v>70</v>
      </c>
      <c r="C31" s="18" t="str">
        <f>[1]SUMMARY!C32</f>
        <v>15C</v>
      </c>
      <c r="D31" s="19" t="str">
        <f>[1]SUMMARY!D32</f>
        <v>ACCELERA (IDN)</v>
      </c>
      <c r="E31" s="19" t="str">
        <f>[1]SUMMARY!E32</f>
        <v>ULTRA 8pr</v>
      </c>
      <c r="F31" s="20"/>
      <c r="G31" s="20">
        <v>9</v>
      </c>
      <c r="H31" s="20">
        <v>5</v>
      </c>
      <c r="I31" s="24">
        <f t="shared" si="0"/>
        <v>4</v>
      </c>
      <c r="J31" s="22">
        <f>[1]SUMMARY!N32</f>
        <v>4046</v>
      </c>
      <c r="K31" s="23">
        <f t="shared" si="1"/>
        <v>16184</v>
      </c>
      <c r="L31" s="8"/>
      <c r="M31" s="8"/>
    </row>
    <row r="32" spans="1:13" x14ac:dyDescent="0.2">
      <c r="A32" s="17" t="str">
        <f>[1]SUMMARY!A33</f>
        <v>205</v>
      </c>
      <c r="B32" s="18">
        <f>[1]SUMMARY!B33</f>
        <v>70</v>
      </c>
      <c r="C32" s="18">
        <f>[1]SUMMARY!C33</f>
        <v>15</v>
      </c>
      <c r="D32" s="19" t="str">
        <f>[1]SUMMARY!D33</f>
        <v>ACCELERA (IDN)</v>
      </c>
      <c r="E32" s="19" t="str">
        <f>[1]SUMMARY!E33</f>
        <v>ECO PLUSH</v>
      </c>
      <c r="F32" s="20"/>
      <c r="G32" s="20">
        <v>14</v>
      </c>
      <c r="H32" s="20">
        <v>10</v>
      </c>
      <c r="I32" s="21">
        <f t="shared" si="0"/>
        <v>4</v>
      </c>
      <c r="J32" s="22">
        <f>[1]SUMMARY!N33</f>
        <v>3486</v>
      </c>
      <c r="K32" s="23">
        <f t="shared" si="1"/>
        <v>13944</v>
      </c>
      <c r="L32" s="8"/>
      <c r="M32" s="8"/>
    </row>
    <row r="33" spans="1:13" x14ac:dyDescent="0.2">
      <c r="A33" s="17" t="str">
        <f>[1]SUMMARY!A34</f>
        <v>235</v>
      </c>
      <c r="B33" s="18">
        <f>[1]SUMMARY!B34</f>
        <v>70</v>
      </c>
      <c r="C33" s="18">
        <f>[1]SUMMARY!C34</f>
        <v>15</v>
      </c>
      <c r="D33" s="19" t="str">
        <f>[1]SUMMARY!D34</f>
        <v>ACCELERA (IDN)</v>
      </c>
      <c r="E33" s="19" t="str">
        <f>[1]SUMMARY!E34</f>
        <v>OMIKRON A/T OWL</v>
      </c>
      <c r="F33" s="20"/>
      <c r="G33" s="20">
        <v>34</v>
      </c>
      <c r="H33" s="20">
        <v>22</v>
      </c>
      <c r="I33" s="24">
        <f t="shared" si="0"/>
        <v>12</v>
      </c>
      <c r="J33" s="22">
        <f>[1]SUMMARY!N34</f>
        <v>4760</v>
      </c>
      <c r="K33" s="23">
        <f t="shared" si="1"/>
        <v>57120</v>
      </c>
      <c r="L33" s="8"/>
      <c r="M33" s="8"/>
    </row>
    <row r="34" spans="1:13" x14ac:dyDescent="0.2">
      <c r="A34" s="17" t="str">
        <f>[1]SUMMARY!A35</f>
        <v xml:space="preserve">235 </v>
      </c>
      <c r="B34" s="17">
        <f>[1]SUMMARY!B35</f>
        <v>75</v>
      </c>
      <c r="C34" s="17">
        <f>[1]SUMMARY!C35</f>
        <v>15</v>
      </c>
      <c r="D34" s="25" t="str">
        <f>[1]SUMMARY!D35</f>
        <v>ACCELERA (IDN)</v>
      </c>
      <c r="E34" s="25" t="str">
        <f>[1]SUMMARY!E35</f>
        <v>OMICRON A\T OWL</v>
      </c>
      <c r="F34" s="20"/>
      <c r="G34" s="20">
        <v>10</v>
      </c>
      <c r="H34" s="20">
        <v>6</v>
      </c>
      <c r="I34" s="21">
        <f t="shared" si="0"/>
        <v>4</v>
      </c>
      <c r="J34" s="22">
        <f>[1]SUMMARY!N35</f>
        <v>4960.8999999999996</v>
      </c>
      <c r="K34" s="23">
        <f t="shared" ref="K34:K288" si="2">J34*I34</f>
        <v>19843.599999999999</v>
      </c>
      <c r="L34" s="8"/>
      <c r="M34" s="8"/>
    </row>
    <row r="35" spans="1:13" x14ac:dyDescent="0.2">
      <c r="A35" s="17">
        <f>[1]SUMMARY!A36</f>
        <v>30</v>
      </c>
      <c r="B35" s="17">
        <f>[1]SUMMARY!B36</f>
        <v>9.5</v>
      </c>
      <c r="C35" s="17">
        <f>[1]SUMMARY!C36</f>
        <v>15</v>
      </c>
      <c r="D35" s="25" t="str">
        <f>[1]SUMMARY!D36</f>
        <v>ACCELERA (IDN)</v>
      </c>
      <c r="E35" s="25" t="str">
        <f>[1]SUMMARY!E36</f>
        <v>LT MT-01</v>
      </c>
      <c r="F35" s="20"/>
      <c r="G35" s="20"/>
      <c r="H35" s="20"/>
      <c r="I35" s="21">
        <f t="shared" si="0"/>
        <v>0</v>
      </c>
      <c r="J35" s="22">
        <f>[1]SUMMARY!N36</f>
        <v>6762</v>
      </c>
      <c r="K35" s="23">
        <f t="shared" si="2"/>
        <v>0</v>
      </c>
      <c r="L35" s="8"/>
      <c r="M35" s="8"/>
    </row>
    <row r="36" spans="1:13" x14ac:dyDescent="0.2">
      <c r="A36" s="17">
        <f>[1]SUMMARY!A37</f>
        <v>31</v>
      </c>
      <c r="B36" s="17">
        <f>[1]SUMMARY!B37</f>
        <v>10.5</v>
      </c>
      <c r="C36" s="17">
        <f>[1]SUMMARY!C37</f>
        <v>15</v>
      </c>
      <c r="D36" s="25" t="str">
        <f>[1]SUMMARY!D37</f>
        <v>ACCELERA (IDN)</v>
      </c>
      <c r="E36" s="25" t="str">
        <f>[1]SUMMARY!E37</f>
        <v>6PR LT MT/01</v>
      </c>
      <c r="F36" s="20"/>
      <c r="G36" s="20">
        <v>6</v>
      </c>
      <c r="H36" s="20">
        <v>6</v>
      </c>
      <c r="I36" s="21">
        <f t="shared" si="0"/>
        <v>0</v>
      </c>
      <c r="J36" s="22">
        <f>[1]SUMMARY!N37</f>
        <v>6930</v>
      </c>
      <c r="K36" s="23">
        <f t="shared" si="2"/>
        <v>0</v>
      </c>
      <c r="L36" s="8"/>
      <c r="M36" s="8"/>
    </row>
    <row r="37" spans="1:13" x14ac:dyDescent="0.2">
      <c r="A37" s="17">
        <f>[1]SUMMARY!A38</f>
        <v>31</v>
      </c>
      <c r="B37" s="17">
        <f>[1]SUMMARY!B38</f>
        <v>10.5</v>
      </c>
      <c r="C37" s="17">
        <f>[1]SUMMARY!C38</f>
        <v>15</v>
      </c>
      <c r="D37" s="25" t="str">
        <f>[1]SUMMARY!D38</f>
        <v>ACCELERA (IDN)</v>
      </c>
      <c r="E37" s="25" t="str">
        <f>[1]SUMMARY!E38</f>
        <v>LT BADAK X-TREME</v>
      </c>
      <c r="F37" s="20"/>
      <c r="G37" s="20">
        <v>4</v>
      </c>
      <c r="H37" s="20">
        <v>0</v>
      </c>
      <c r="I37" s="24">
        <f t="shared" si="0"/>
        <v>4</v>
      </c>
      <c r="J37" s="22">
        <f>[1]SUMMARY!N38</f>
        <v>9135</v>
      </c>
      <c r="K37" s="23">
        <f t="shared" si="2"/>
        <v>36540</v>
      </c>
      <c r="L37" s="8"/>
      <c r="M37" s="8"/>
    </row>
    <row r="38" spans="1:13" x14ac:dyDescent="0.2">
      <c r="A38" s="17">
        <f>[1]SUMMARY!A39</f>
        <v>185</v>
      </c>
      <c r="B38" s="17">
        <f>[1]SUMMARY!B39</f>
        <v>50</v>
      </c>
      <c r="C38" s="17">
        <f>[1]SUMMARY!C39</f>
        <v>16</v>
      </c>
      <c r="D38" s="25" t="str">
        <f>[1]SUMMARY!D39</f>
        <v>ACCELERA (IDN)</v>
      </c>
      <c r="E38" s="25" t="str">
        <f>[1]SUMMARY!E39</f>
        <v>PHI R</v>
      </c>
      <c r="F38" s="20"/>
      <c r="G38" s="20"/>
      <c r="H38" s="20"/>
      <c r="I38" s="21">
        <f t="shared" si="0"/>
        <v>0</v>
      </c>
      <c r="J38" s="22">
        <f>[1]SUMMARY!N39</f>
        <v>2896</v>
      </c>
      <c r="K38" s="23">
        <f t="shared" si="2"/>
        <v>0</v>
      </c>
      <c r="L38" s="8"/>
      <c r="M38" s="8"/>
    </row>
    <row r="39" spans="1:13" x14ac:dyDescent="0.2">
      <c r="A39" s="17" t="str">
        <f>[1]SUMMARY!A40</f>
        <v>195</v>
      </c>
      <c r="B39" s="17">
        <f>[1]SUMMARY!B40</f>
        <v>50</v>
      </c>
      <c r="C39" s="17">
        <f>[1]SUMMARY!C40</f>
        <v>16</v>
      </c>
      <c r="D39" s="25" t="str">
        <f>[1]SUMMARY!D40</f>
        <v>ACCELERA (IDN)</v>
      </c>
      <c r="E39" s="25" t="str">
        <f>[1]SUMMARY!E40</f>
        <v>651 SPORT TW200</v>
      </c>
      <c r="F39" s="20"/>
      <c r="G39" s="20">
        <v>12</v>
      </c>
      <c r="H39" s="20">
        <v>8</v>
      </c>
      <c r="I39" s="24">
        <f t="shared" si="0"/>
        <v>4</v>
      </c>
      <c r="J39" s="22">
        <f>[1]SUMMARY!N40</f>
        <v>3906</v>
      </c>
      <c r="K39" s="23">
        <f t="shared" si="2"/>
        <v>15624</v>
      </c>
      <c r="L39" s="8"/>
      <c r="M39" s="8"/>
    </row>
    <row r="40" spans="1:13" x14ac:dyDescent="0.2">
      <c r="A40" s="17" t="str">
        <f>[1]SUMMARY!A41</f>
        <v>185</v>
      </c>
      <c r="B40" s="17">
        <f>[1]SUMMARY!B41</f>
        <v>55</v>
      </c>
      <c r="C40" s="17">
        <f>[1]SUMMARY!C41</f>
        <v>16</v>
      </c>
      <c r="D40" s="25" t="str">
        <f>[1]SUMMARY!D41</f>
        <v>ACCELERA (IDN)</v>
      </c>
      <c r="E40" s="25" t="str">
        <f>[1]SUMMARY!E41</f>
        <v>PHI R</v>
      </c>
      <c r="F40" s="20"/>
      <c r="G40" s="20">
        <v>30</v>
      </c>
      <c r="H40" s="20">
        <v>26</v>
      </c>
      <c r="I40" s="24">
        <f t="shared" si="0"/>
        <v>4</v>
      </c>
      <c r="J40" s="22">
        <f>[1]SUMMARY!N41</f>
        <v>2835</v>
      </c>
      <c r="K40" s="23">
        <f t="shared" si="2"/>
        <v>11340</v>
      </c>
      <c r="L40" s="8"/>
      <c r="M40" s="8"/>
    </row>
    <row r="41" spans="1:13" x14ac:dyDescent="0.2">
      <c r="A41" s="17" t="str">
        <f>[1]SUMMARY!A42</f>
        <v>195</v>
      </c>
      <c r="B41" s="17">
        <f>[1]SUMMARY!B42</f>
        <v>55</v>
      </c>
      <c r="C41" s="17">
        <f>[1]SUMMARY!C42</f>
        <v>16</v>
      </c>
      <c r="D41" s="25" t="str">
        <f>[1]SUMMARY!D42</f>
        <v>ACCELERA (IDN)</v>
      </c>
      <c r="E41" s="25" t="str">
        <f>[1]SUMMARY!E42</f>
        <v>PHI R</v>
      </c>
      <c r="F41" s="20"/>
      <c r="G41" s="20">
        <v>21</v>
      </c>
      <c r="H41" s="20">
        <v>17</v>
      </c>
      <c r="I41" s="24">
        <f t="shared" si="0"/>
        <v>4</v>
      </c>
      <c r="J41" s="22">
        <f>[1]SUMMARY!N42</f>
        <v>3234</v>
      </c>
      <c r="K41" s="23">
        <f t="shared" si="2"/>
        <v>12936</v>
      </c>
      <c r="L41" s="8"/>
      <c r="M41" s="8"/>
    </row>
    <row r="42" spans="1:13" x14ac:dyDescent="0.2">
      <c r="A42" s="17" t="str">
        <f>[1]SUMMARY!A43</f>
        <v>205</v>
      </c>
      <c r="B42" s="17">
        <f>[1]SUMMARY!B43</f>
        <v>45</v>
      </c>
      <c r="C42" s="17">
        <f>[1]SUMMARY!C43</f>
        <v>16</v>
      </c>
      <c r="D42" s="25" t="str">
        <f>[1]SUMMARY!D43</f>
        <v>ACCELERA (IDN)</v>
      </c>
      <c r="E42" s="25" t="str">
        <f>[1]SUMMARY!E43</f>
        <v>XL PHI-R</v>
      </c>
      <c r="F42" s="20"/>
      <c r="G42" s="20">
        <v>21</v>
      </c>
      <c r="H42" s="20">
        <v>17</v>
      </c>
      <c r="I42" s="24">
        <f t="shared" si="0"/>
        <v>4</v>
      </c>
      <c r="J42" s="22">
        <f>[1]SUMMARY!N43</f>
        <v>3150</v>
      </c>
      <c r="K42" s="23">
        <f t="shared" si="2"/>
        <v>12600</v>
      </c>
      <c r="L42" s="8"/>
      <c r="M42" s="8"/>
    </row>
    <row r="43" spans="1:13" x14ac:dyDescent="0.2">
      <c r="A43" s="17" t="str">
        <f>[1]SUMMARY!A44</f>
        <v>205</v>
      </c>
      <c r="B43" s="17">
        <f>[1]SUMMARY!B44</f>
        <v>50</v>
      </c>
      <c r="C43" s="17">
        <f>[1]SUMMARY!C44</f>
        <v>16</v>
      </c>
      <c r="D43" s="25" t="str">
        <f>[1]SUMMARY!D44</f>
        <v>ACCELERA (IDN)</v>
      </c>
      <c r="E43" s="25" t="str">
        <f>[1]SUMMARY!E44</f>
        <v>651 SPORT</v>
      </c>
      <c r="F43" s="20"/>
      <c r="G43" s="20">
        <v>4</v>
      </c>
      <c r="H43" s="20">
        <v>4</v>
      </c>
      <c r="I43" s="24">
        <f t="shared" si="0"/>
        <v>0</v>
      </c>
      <c r="J43" s="22">
        <f>[1]SUMMARY!N44</f>
        <v>3990</v>
      </c>
      <c r="K43" s="23">
        <f t="shared" si="2"/>
        <v>0</v>
      </c>
      <c r="L43" s="8"/>
      <c r="M43" s="8"/>
    </row>
    <row r="44" spans="1:13" x14ac:dyDescent="0.2">
      <c r="A44" s="17">
        <f>[1]SUMMARY!A45</f>
        <v>205</v>
      </c>
      <c r="B44" s="17">
        <f>[1]SUMMARY!B45</f>
        <v>55</v>
      </c>
      <c r="C44" s="17">
        <f>[1]SUMMARY!C45</f>
        <v>16</v>
      </c>
      <c r="D44" s="25" t="str">
        <f>[1]SUMMARY!D45</f>
        <v>ACCELERA (IDN)</v>
      </c>
      <c r="E44" s="25" t="str">
        <f>[1]SUMMARY!E45</f>
        <v>PHI</v>
      </c>
      <c r="F44" s="20"/>
      <c r="G44" s="20">
        <v>17</v>
      </c>
      <c r="H44" s="20">
        <v>17</v>
      </c>
      <c r="I44" s="21">
        <f t="shared" si="0"/>
        <v>0</v>
      </c>
      <c r="J44" s="22">
        <f>[1]SUMMARY!N45</f>
        <v>2975</v>
      </c>
      <c r="K44" s="23">
        <f t="shared" si="2"/>
        <v>0</v>
      </c>
      <c r="L44" s="8"/>
      <c r="M44" s="8"/>
    </row>
    <row r="45" spans="1:13" x14ac:dyDescent="0.2">
      <c r="A45" s="17" t="str">
        <f>[1]SUMMARY!A46</f>
        <v>195</v>
      </c>
      <c r="B45" s="17">
        <f>[1]SUMMARY!B46</f>
        <v>60</v>
      </c>
      <c r="C45" s="17">
        <f>[1]SUMMARY!C46</f>
        <v>16</v>
      </c>
      <c r="D45" s="25" t="str">
        <f>[1]SUMMARY!D46</f>
        <v>ACCELERA (IDN)</v>
      </c>
      <c r="E45" s="25" t="str">
        <f>[1]SUMMARY!E46</f>
        <v>ECO PLUSH</v>
      </c>
      <c r="F45" s="20"/>
      <c r="G45" s="20">
        <v>12</v>
      </c>
      <c r="H45" s="20">
        <v>8</v>
      </c>
      <c r="I45" s="24">
        <f t="shared" si="0"/>
        <v>4</v>
      </c>
      <c r="J45" s="22">
        <f>[1]SUMMARY!N46</f>
        <v>3234</v>
      </c>
      <c r="K45" s="23">
        <f t="shared" si="2"/>
        <v>12936</v>
      </c>
      <c r="L45" s="8"/>
      <c r="M45" s="8"/>
    </row>
    <row r="46" spans="1:13" x14ac:dyDescent="0.2">
      <c r="A46" s="17" t="str">
        <f>[1]SUMMARY!A47</f>
        <v>205</v>
      </c>
      <c r="B46" s="17">
        <f>[1]SUMMARY!B47</f>
        <v>60</v>
      </c>
      <c r="C46" s="17">
        <f>[1]SUMMARY!C47</f>
        <v>16</v>
      </c>
      <c r="D46" s="25" t="str">
        <f>[1]SUMMARY!D47</f>
        <v>ACCELERA (IDN)</v>
      </c>
      <c r="E46" s="25" t="str">
        <f>[1]SUMMARY!E47</f>
        <v>ECO PLUSH</v>
      </c>
      <c r="F46" s="20"/>
      <c r="G46" s="20">
        <v>27</v>
      </c>
      <c r="H46" s="20">
        <v>24</v>
      </c>
      <c r="I46" s="24">
        <f t="shared" si="0"/>
        <v>3</v>
      </c>
      <c r="J46" s="22">
        <f>[1]SUMMARY!N47</f>
        <v>3381</v>
      </c>
      <c r="K46" s="23">
        <f t="shared" si="2"/>
        <v>10143</v>
      </c>
      <c r="L46" s="8"/>
      <c r="M46" s="8"/>
    </row>
    <row r="47" spans="1:13" x14ac:dyDescent="0.2">
      <c r="A47" s="17" t="str">
        <f>[1]SUMMARY!A48</f>
        <v>205</v>
      </c>
      <c r="B47" s="17">
        <f>[1]SUMMARY!B48</f>
        <v>65</v>
      </c>
      <c r="C47" s="17">
        <f>[1]SUMMARY!C48</f>
        <v>16</v>
      </c>
      <c r="D47" s="25" t="str">
        <f>[1]SUMMARY!D48</f>
        <v>ACCELERA (IDN)</v>
      </c>
      <c r="E47" s="25" t="str">
        <f>[1]SUMMARY!E48</f>
        <v>ECO PLUSH</v>
      </c>
      <c r="F47" s="20"/>
      <c r="G47" s="20">
        <v>21</v>
      </c>
      <c r="H47" s="20">
        <v>14</v>
      </c>
      <c r="I47" s="24">
        <f t="shared" si="0"/>
        <v>7</v>
      </c>
      <c r="J47" s="22">
        <f>[1]SUMMARY!N48</f>
        <v>3654</v>
      </c>
      <c r="K47" s="23">
        <f t="shared" si="2"/>
        <v>25578</v>
      </c>
      <c r="L47" s="8"/>
      <c r="M47" s="26"/>
    </row>
    <row r="48" spans="1:13" x14ac:dyDescent="0.2">
      <c r="A48" s="17" t="str">
        <f>[1]SUMMARY!A49</f>
        <v>225</v>
      </c>
      <c r="B48" s="17">
        <f>[1]SUMMARY!B49</f>
        <v>70</v>
      </c>
      <c r="C48" s="17">
        <f>[1]SUMMARY!C49</f>
        <v>16</v>
      </c>
      <c r="D48" s="25" t="str">
        <f>[1]SUMMARY!D49</f>
        <v>ACCELERA (IDN)</v>
      </c>
      <c r="E48" s="25" t="str">
        <f>[1]SUMMARY!E49</f>
        <v>OMIKRON C/T</v>
      </c>
      <c r="F48" s="20"/>
      <c r="G48" s="20">
        <v>12</v>
      </c>
      <c r="H48" s="20">
        <v>8</v>
      </c>
      <c r="I48" s="24">
        <f t="shared" si="0"/>
        <v>4</v>
      </c>
      <c r="J48" s="22">
        <f>[1]SUMMARY!N49</f>
        <v>5852</v>
      </c>
      <c r="K48" s="23">
        <f t="shared" si="2"/>
        <v>23408</v>
      </c>
      <c r="L48" s="8"/>
      <c r="M48" s="8"/>
    </row>
    <row r="49" spans="1:13" x14ac:dyDescent="0.2">
      <c r="A49" s="17">
        <f>[1]SUMMARY!A50</f>
        <v>265</v>
      </c>
      <c r="B49" s="17">
        <f>[1]SUMMARY!B50</f>
        <v>70</v>
      </c>
      <c r="C49" s="17">
        <f>[1]SUMMARY!C50</f>
        <v>16</v>
      </c>
      <c r="D49" s="25" t="str">
        <f>[1]SUMMARY!D50</f>
        <v>ACCELERA (IDN)</v>
      </c>
      <c r="E49" s="25" t="str">
        <f>[1]SUMMARY!E50</f>
        <v>IOTA ST68</v>
      </c>
      <c r="F49" s="20"/>
      <c r="G49" s="20">
        <v>12</v>
      </c>
      <c r="H49" s="20">
        <v>8</v>
      </c>
      <c r="I49" s="24">
        <f t="shared" si="0"/>
        <v>4</v>
      </c>
      <c r="J49" s="22">
        <f>[1]SUMMARY!N50</f>
        <v>5453</v>
      </c>
      <c r="K49" s="23">
        <f t="shared" si="2"/>
        <v>21812</v>
      </c>
      <c r="L49" s="8"/>
      <c r="M49" s="8"/>
    </row>
    <row r="50" spans="1:13" x14ac:dyDescent="0.2">
      <c r="A50" s="17" t="str">
        <f>[1]SUMMARY!A51</f>
        <v>245</v>
      </c>
      <c r="B50" s="17">
        <f>[1]SUMMARY!B51</f>
        <v>75</v>
      </c>
      <c r="C50" s="17">
        <f>[1]SUMMARY!C51</f>
        <v>16</v>
      </c>
      <c r="D50" s="25" t="str">
        <f>[1]SUMMARY!D51</f>
        <v>ACCELERA (IDN)</v>
      </c>
      <c r="E50" s="25" t="str">
        <f>[1]SUMMARY!E51</f>
        <v>OMIKRON AT</v>
      </c>
      <c r="F50" s="20"/>
      <c r="G50" s="20"/>
      <c r="H50" s="20"/>
      <c r="I50" s="21">
        <f t="shared" si="0"/>
        <v>0</v>
      </c>
      <c r="J50" s="22">
        <f>[1]SUMMARY!N51</f>
        <v>5876</v>
      </c>
      <c r="K50" s="23">
        <f t="shared" si="2"/>
        <v>0</v>
      </c>
      <c r="L50" s="8"/>
      <c r="M50" s="8"/>
    </row>
    <row r="51" spans="1:13" x14ac:dyDescent="0.2">
      <c r="A51" s="17">
        <f>[1]SUMMARY!A52</f>
        <v>35</v>
      </c>
      <c r="B51" s="17">
        <f>[1]SUMMARY!B52</f>
        <v>10.5</v>
      </c>
      <c r="C51" s="17">
        <f>[1]SUMMARY!C52</f>
        <v>16</v>
      </c>
      <c r="D51" s="25" t="str">
        <f>[1]SUMMARY!D52</f>
        <v>ACCELERA (IDN)</v>
      </c>
      <c r="E51" s="25" t="str">
        <f>[1]SUMMARY!E52</f>
        <v>LT BADAK X-TREME</v>
      </c>
      <c r="F51" s="20"/>
      <c r="G51" s="20"/>
      <c r="H51" s="20"/>
      <c r="I51" s="21">
        <f t="shared" si="0"/>
        <v>0</v>
      </c>
      <c r="J51" s="22">
        <f>[1]SUMMARY!N52</f>
        <v>11207</v>
      </c>
      <c r="K51" s="23">
        <f t="shared" si="2"/>
        <v>0</v>
      </c>
      <c r="L51" s="8"/>
      <c r="M51" s="8"/>
    </row>
    <row r="52" spans="1:13" x14ac:dyDescent="0.2">
      <c r="A52" s="17">
        <f>[1]SUMMARY!A53</f>
        <v>205</v>
      </c>
      <c r="B52" s="17">
        <f>[1]SUMMARY!B53</f>
        <v>45</v>
      </c>
      <c r="C52" s="17">
        <f>[1]SUMMARY!C53</f>
        <v>17</v>
      </c>
      <c r="D52" s="25" t="str">
        <f>[1]SUMMARY!D53</f>
        <v>ACCELERA (IDN)</v>
      </c>
      <c r="E52" s="25" t="str">
        <f>[1]SUMMARY!E53</f>
        <v>651 SPORT</v>
      </c>
      <c r="F52" s="20"/>
      <c r="G52" s="20">
        <v>28</v>
      </c>
      <c r="H52" s="20">
        <v>28</v>
      </c>
      <c r="I52" s="24">
        <f t="shared" si="0"/>
        <v>0</v>
      </c>
      <c r="J52" s="22">
        <f>[1]SUMMARY!N53</f>
        <v>3437</v>
      </c>
      <c r="K52" s="23">
        <f t="shared" si="2"/>
        <v>0</v>
      </c>
      <c r="L52" s="8"/>
      <c r="M52" s="8"/>
    </row>
    <row r="53" spans="1:13" x14ac:dyDescent="0.2">
      <c r="A53" s="17">
        <f>[1]SUMMARY!A54</f>
        <v>215</v>
      </c>
      <c r="B53" s="17">
        <f>[1]SUMMARY!B54</f>
        <v>45</v>
      </c>
      <c r="C53" s="17">
        <f>[1]SUMMARY!C54</f>
        <v>17</v>
      </c>
      <c r="D53" s="25" t="str">
        <f>[1]SUMMARY!D54</f>
        <v>ACCELERA (IDN)</v>
      </c>
      <c r="E53" s="25" t="str">
        <f>[1]SUMMARY!E54</f>
        <v>651 SPORT TW200</v>
      </c>
      <c r="F53" s="20"/>
      <c r="G53" s="20">
        <v>10</v>
      </c>
      <c r="H53" s="20">
        <v>2</v>
      </c>
      <c r="I53" s="24">
        <f t="shared" si="0"/>
        <v>8</v>
      </c>
      <c r="J53" s="22">
        <f>[1]SUMMARY!N54</f>
        <v>3519.25</v>
      </c>
      <c r="K53" s="23">
        <f t="shared" si="2"/>
        <v>28154</v>
      </c>
      <c r="L53" s="8"/>
      <c r="M53" s="8"/>
    </row>
    <row r="54" spans="1:13" x14ac:dyDescent="0.2">
      <c r="A54" s="17">
        <f>[1]SUMMARY!A55</f>
        <v>205</v>
      </c>
      <c r="B54" s="17">
        <f>[1]SUMMARY!B55</f>
        <v>50</v>
      </c>
      <c r="C54" s="17">
        <f>[1]SUMMARY!C55</f>
        <v>17</v>
      </c>
      <c r="D54" s="25" t="str">
        <f>[1]SUMMARY!D55</f>
        <v>ACCELERA (IDN)</v>
      </c>
      <c r="E54" s="25" t="str">
        <f>[1]SUMMARY!E55</f>
        <v>PHI</v>
      </c>
      <c r="F54" s="20"/>
      <c r="G54" s="20">
        <v>17</v>
      </c>
      <c r="H54" s="20">
        <v>13</v>
      </c>
      <c r="I54" s="21">
        <f t="shared" si="0"/>
        <v>4</v>
      </c>
      <c r="J54" s="22">
        <f>[1]SUMMARY!N55</f>
        <v>3948</v>
      </c>
      <c r="K54" s="23">
        <f t="shared" si="2"/>
        <v>15792</v>
      </c>
      <c r="L54" s="8"/>
      <c r="M54" s="8"/>
    </row>
    <row r="55" spans="1:13" x14ac:dyDescent="0.2">
      <c r="A55" s="17">
        <f>[1]SUMMARY!A56</f>
        <v>205</v>
      </c>
      <c r="B55" s="17">
        <f>[1]SUMMARY!B56</f>
        <v>55</v>
      </c>
      <c r="C55" s="17">
        <f>[1]SUMMARY!C56</f>
        <v>17</v>
      </c>
      <c r="D55" s="25" t="str">
        <f>[1]SUMMARY!D56</f>
        <v>ACCELERA (IDN)</v>
      </c>
      <c r="E55" s="25" t="str">
        <f>[1]SUMMARY!E56</f>
        <v>PHI-R</v>
      </c>
      <c r="F55" s="20"/>
      <c r="G55" s="20">
        <v>17</v>
      </c>
      <c r="H55" s="20">
        <v>17</v>
      </c>
      <c r="I55" s="21">
        <f t="shared" si="0"/>
        <v>0</v>
      </c>
      <c r="J55" s="22">
        <f>[1]SUMMARY!N56</f>
        <v>3857</v>
      </c>
      <c r="K55" s="23">
        <f t="shared" si="2"/>
        <v>0</v>
      </c>
      <c r="L55" s="8"/>
      <c r="M55" s="8"/>
    </row>
    <row r="56" spans="1:13" x14ac:dyDescent="0.2">
      <c r="A56" s="17">
        <f>[1]SUMMARY!A57</f>
        <v>225</v>
      </c>
      <c r="B56" s="17">
        <f>[1]SUMMARY!B57</f>
        <v>55</v>
      </c>
      <c r="C56" s="17">
        <f>[1]SUMMARY!C57</f>
        <v>17</v>
      </c>
      <c r="D56" s="25" t="str">
        <f>[1]SUMMARY!D57</f>
        <v>ACCELERA (IDN)</v>
      </c>
      <c r="E56" s="25" t="str">
        <f>[1]SUMMARY!E57</f>
        <v>PHI-R</v>
      </c>
      <c r="F56" s="20"/>
      <c r="G56" s="20">
        <v>8</v>
      </c>
      <c r="H56" s="20">
        <v>5</v>
      </c>
      <c r="I56" s="24">
        <f t="shared" si="0"/>
        <v>3</v>
      </c>
      <c r="J56" s="22">
        <f>[1]SUMMARY!N57</f>
        <v>4277</v>
      </c>
      <c r="K56" s="23">
        <f t="shared" si="2"/>
        <v>12831</v>
      </c>
      <c r="L56" s="8"/>
      <c r="M56" s="8"/>
    </row>
    <row r="57" spans="1:13" x14ac:dyDescent="0.2">
      <c r="A57" s="17">
        <f>[1]SUMMARY!A58</f>
        <v>35</v>
      </c>
      <c r="B57" s="17">
        <f>[1]SUMMARY!B58</f>
        <v>12.5</v>
      </c>
      <c r="C57" s="17">
        <f>[1]SUMMARY!C58</f>
        <v>17</v>
      </c>
      <c r="D57" s="25" t="str">
        <f>[1]SUMMARY!D58</f>
        <v>ACCELERA (IDN)</v>
      </c>
      <c r="E57" s="25" t="str">
        <f>[1]SUMMARY!E58</f>
        <v>M/T01</v>
      </c>
      <c r="F57" s="20"/>
      <c r="G57" s="20"/>
      <c r="H57" s="20"/>
      <c r="I57" s="21">
        <f t="shared" si="0"/>
        <v>0</v>
      </c>
      <c r="J57" s="22">
        <f>[1]SUMMARY!N58</f>
        <v>8977.5</v>
      </c>
      <c r="K57" s="23">
        <f t="shared" si="2"/>
        <v>0</v>
      </c>
      <c r="L57" s="8"/>
      <c r="M57" s="8"/>
    </row>
    <row r="58" spans="1:13" x14ac:dyDescent="0.2">
      <c r="A58" s="17" t="str">
        <f>[1]SUMMARY!A59</f>
        <v>37</v>
      </c>
      <c r="B58" s="17">
        <f>[1]SUMMARY!B59</f>
        <v>11.5</v>
      </c>
      <c r="C58" s="17">
        <f>[1]SUMMARY!C59</f>
        <v>17</v>
      </c>
      <c r="D58" s="25" t="str">
        <f>[1]SUMMARY!D59</f>
        <v>ACCELERA (IDN)</v>
      </c>
      <c r="E58" s="25" t="str">
        <f>[1]SUMMARY!E59</f>
        <v>LT BADAK X-TREME</v>
      </c>
      <c r="F58" s="20"/>
      <c r="G58" s="20"/>
      <c r="H58" s="20"/>
      <c r="I58" s="21">
        <f t="shared" si="0"/>
        <v>0</v>
      </c>
      <c r="J58" s="22">
        <f>[1]SUMMARY!N59</f>
        <v>12677</v>
      </c>
      <c r="K58" s="23">
        <f t="shared" si="2"/>
        <v>0</v>
      </c>
      <c r="L58" s="8"/>
      <c r="M58" s="8"/>
    </row>
    <row r="59" spans="1:13" x14ac:dyDescent="0.2">
      <c r="A59" s="17" t="str">
        <f>[1]SUMMARY!A60</f>
        <v>225</v>
      </c>
      <c r="B59" s="17">
        <f>[1]SUMMARY!B60</f>
        <v>60</v>
      </c>
      <c r="C59" s="17">
        <f>[1]SUMMARY!C60</f>
        <v>17</v>
      </c>
      <c r="D59" s="25" t="str">
        <f>[1]SUMMARY!D60</f>
        <v>ACCELERA (IDN)</v>
      </c>
      <c r="E59" s="25" t="str">
        <f>[1]SUMMARY!E60</f>
        <v>IOTA ST68</v>
      </c>
      <c r="F59" s="20"/>
      <c r="G59" s="20">
        <v>12</v>
      </c>
      <c r="H59" s="20">
        <v>8</v>
      </c>
      <c r="I59" s="24">
        <f t="shared" si="0"/>
        <v>4</v>
      </c>
      <c r="J59" s="22">
        <f>[1]SUMMARY!N60</f>
        <v>5796</v>
      </c>
      <c r="K59" s="23">
        <f t="shared" si="2"/>
        <v>23184</v>
      </c>
      <c r="L59" s="8"/>
      <c r="M59" s="8"/>
    </row>
    <row r="60" spans="1:13" x14ac:dyDescent="0.2">
      <c r="A60" s="27" t="str">
        <f>[1]SUMMARY!A61</f>
        <v>225</v>
      </c>
      <c r="B60" s="17">
        <f>[1]SUMMARY!B61</f>
        <v>65</v>
      </c>
      <c r="C60" s="17">
        <f>[1]SUMMARY!C61</f>
        <v>17</v>
      </c>
      <c r="D60" s="25" t="str">
        <f>[1]SUMMARY!D61</f>
        <v>ACCELERA (IDN)</v>
      </c>
      <c r="E60" s="25" t="str">
        <f>[1]SUMMARY!E61</f>
        <v>IOTA 6</v>
      </c>
      <c r="F60" s="20"/>
      <c r="G60" s="20"/>
      <c r="H60" s="20"/>
      <c r="I60" s="21">
        <f t="shared" si="0"/>
        <v>0</v>
      </c>
      <c r="J60" s="22">
        <f>[1]SUMMARY!N61</f>
        <v>4931.25</v>
      </c>
      <c r="K60" s="23">
        <f t="shared" si="2"/>
        <v>0</v>
      </c>
      <c r="L60" s="8"/>
      <c r="M60" s="8"/>
    </row>
    <row r="61" spans="1:13" x14ac:dyDescent="0.2">
      <c r="A61" s="17" t="str">
        <f>[1]SUMMARY!A62</f>
        <v>225</v>
      </c>
      <c r="B61" s="17">
        <f>[1]SUMMARY!B62</f>
        <v>65</v>
      </c>
      <c r="C61" s="17">
        <f>[1]SUMMARY!C62</f>
        <v>17</v>
      </c>
      <c r="D61" s="25" t="str">
        <f>[1]SUMMARY!D62</f>
        <v>ACCELERA (IDN)</v>
      </c>
      <c r="E61" s="25" t="str">
        <f>[1]SUMMARY!E62</f>
        <v>OMIKRON C/T</v>
      </c>
      <c r="F61" s="20"/>
      <c r="G61" s="20">
        <v>4</v>
      </c>
      <c r="H61" s="20">
        <v>4</v>
      </c>
      <c r="I61" s="21">
        <f t="shared" si="0"/>
        <v>0</v>
      </c>
      <c r="J61" s="22">
        <f>[1]SUMMARY!N62</f>
        <v>6671</v>
      </c>
      <c r="K61" s="23">
        <f t="shared" si="2"/>
        <v>0</v>
      </c>
      <c r="L61" s="8"/>
      <c r="M61" s="8"/>
    </row>
    <row r="62" spans="1:13" x14ac:dyDescent="0.2">
      <c r="A62" s="17" t="str">
        <f>[1]SUMMARY!A63</f>
        <v>265</v>
      </c>
      <c r="B62" s="17">
        <f>[1]SUMMARY!B63</f>
        <v>65</v>
      </c>
      <c r="C62" s="17">
        <f>[1]SUMMARY!C63</f>
        <v>17</v>
      </c>
      <c r="D62" s="25" t="str">
        <f>[1]SUMMARY!D63</f>
        <v>ACCELERA (IDN)</v>
      </c>
      <c r="E62" s="25" t="str">
        <f>[1]SUMMARY!E63</f>
        <v>OMIKRON A/T</v>
      </c>
      <c r="F62" s="20"/>
      <c r="G62" s="20">
        <v>4</v>
      </c>
      <c r="H62" s="20"/>
      <c r="I62" s="24">
        <f t="shared" si="0"/>
        <v>4</v>
      </c>
      <c r="J62" s="22">
        <f>[1]SUMMARY!N63</f>
        <v>6730</v>
      </c>
      <c r="K62" s="23">
        <f t="shared" si="2"/>
        <v>26920</v>
      </c>
      <c r="L62" s="8"/>
      <c r="M62" s="8"/>
    </row>
    <row r="63" spans="1:13" x14ac:dyDescent="0.2">
      <c r="A63" s="27" t="str">
        <f>[1]SUMMARY!A64</f>
        <v>265</v>
      </c>
      <c r="B63" s="17">
        <f>[1]SUMMARY!B64</f>
        <v>65</v>
      </c>
      <c r="C63" s="17">
        <f>[1]SUMMARY!C64</f>
        <v>17</v>
      </c>
      <c r="D63" s="25" t="str">
        <f>[1]SUMMARY!D64</f>
        <v>ACCELERA (IDN)</v>
      </c>
      <c r="E63" s="25" t="str">
        <f>[1]SUMMARY!E64</f>
        <v>IOTA ST68</v>
      </c>
      <c r="F63" s="20"/>
      <c r="G63" s="20">
        <v>6</v>
      </c>
      <c r="H63" s="20">
        <v>2</v>
      </c>
      <c r="I63" s="24">
        <f t="shared" si="0"/>
        <v>4</v>
      </c>
      <c r="J63" s="22">
        <f>[1]SUMMARY!N64</f>
        <v>5820</v>
      </c>
      <c r="K63" s="23">
        <f t="shared" si="2"/>
        <v>23280</v>
      </c>
      <c r="L63" s="8"/>
      <c r="M63" s="8"/>
    </row>
    <row r="64" spans="1:13" x14ac:dyDescent="0.2">
      <c r="A64" s="27" t="str">
        <f>[1]SUMMARY!A65</f>
        <v>265</v>
      </c>
      <c r="B64" s="17">
        <f>[1]SUMMARY!B65</f>
        <v>70</v>
      </c>
      <c r="C64" s="17">
        <f>[1]SUMMARY!C65</f>
        <v>17</v>
      </c>
      <c r="D64" s="25" t="str">
        <f>[1]SUMMARY!D65</f>
        <v>ACCELERA (IDN)</v>
      </c>
      <c r="E64" s="25" t="str">
        <f>[1]SUMMARY!E65</f>
        <v>OMIKRON H/T</v>
      </c>
      <c r="F64" s="20"/>
      <c r="G64" s="20"/>
      <c r="H64" s="20"/>
      <c r="I64" s="21">
        <f t="shared" si="0"/>
        <v>0</v>
      </c>
      <c r="J64" s="22">
        <f>[1]SUMMARY!N65</f>
        <v>6728</v>
      </c>
      <c r="K64" s="23">
        <f t="shared" si="2"/>
        <v>0</v>
      </c>
      <c r="L64" s="8"/>
      <c r="M64" s="8"/>
    </row>
    <row r="65" spans="1:13" x14ac:dyDescent="0.2">
      <c r="A65" s="27" t="str">
        <f>[1]SUMMARY!A66</f>
        <v>265</v>
      </c>
      <c r="B65" s="17">
        <f>[1]SUMMARY!B66</f>
        <v>70</v>
      </c>
      <c r="C65" s="17">
        <f>[1]SUMMARY!C66</f>
        <v>17</v>
      </c>
      <c r="D65" s="25" t="str">
        <f>[1]SUMMARY!D66</f>
        <v>ACCELERA (IDN)</v>
      </c>
      <c r="E65" s="25" t="str">
        <f>[1]SUMMARY!E66</f>
        <v>OMIKRON A/T</v>
      </c>
      <c r="F65" s="20"/>
      <c r="G65" s="20">
        <v>6</v>
      </c>
      <c r="H65" s="20">
        <v>6</v>
      </c>
      <c r="I65" s="21">
        <f t="shared" si="0"/>
        <v>0</v>
      </c>
      <c r="J65" s="22">
        <f>[1]SUMMARY!N66</f>
        <v>7049</v>
      </c>
      <c r="K65" s="23">
        <f t="shared" si="2"/>
        <v>0</v>
      </c>
      <c r="L65" s="8"/>
      <c r="M65" s="8"/>
    </row>
    <row r="66" spans="1:13" x14ac:dyDescent="0.2">
      <c r="A66" s="17">
        <f>[1]SUMMARY!A67</f>
        <v>285</v>
      </c>
      <c r="B66" s="17">
        <f>[1]SUMMARY!B67</f>
        <v>70</v>
      </c>
      <c r="C66" s="17">
        <f>[1]SUMMARY!C67</f>
        <v>17</v>
      </c>
      <c r="D66" s="25" t="str">
        <f>[1]SUMMARY!D67</f>
        <v>ACCELERA (IDN)</v>
      </c>
      <c r="E66" s="25" t="str">
        <f>[1]SUMMARY!E67</f>
        <v>OMIKRON AT (OWL)</v>
      </c>
      <c r="F66" s="20"/>
      <c r="G66" s="20">
        <v>6</v>
      </c>
      <c r="H66" s="20">
        <v>2</v>
      </c>
      <c r="I66" s="24">
        <f t="shared" si="0"/>
        <v>4</v>
      </c>
      <c r="J66" s="22">
        <f>[1]SUMMARY!N67</f>
        <v>7723.83</v>
      </c>
      <c r="K66" s="23">
        <f t="shared" si="2"/>
        <v>30895.32</v>
      </c>
      <c r="L66" s="8"/>
      <c r="M66" s="8"/>
    </row>
    <row r="67" spans="1:13" x14ac:dyDescent="0.2">
      <c r="A67" s="17">
        <f>[1]SUMMARY!A68</f>
        <v>315</v>
      </c>
      <c r="B67" s="17">
        <f>[1]SUMMARY!B68</f>
        <v>70</v>
      </c>
      <c r="C67" s="17">
        <f>[1]SUMMARY!C68</f>
        <v>17</v>
      </c>
      <c r="D67" s="25" t="str">
        <f>[1]SUMMARY!D68</f>
        <v>ACCELERA (IDN)</v>
      </c>
      <c r="E67" s="25" t="str">
        <f>[1]SUMMARY!E68</f>
        <v>OMIKRON MT</v>
      </c>
      <c r="F67" s="20"/>
      <c r="G67" s="20"/>
      <c r="H67" s="20"/>
      <c r="I67" s="21">
        <f t="shared" si="0"/>
        <v>0</v>
      </c>
      <c r="J67" s="22">
        <f>[1]SUMMARY!N68</f>
        <v>9576</v>
      </c>
      <c r="K67" s="23">
        <f t="shared" si="2"/>
        <v>0</v>
      </c>
      <c r="L67" s="8"/>
      <c r="M67" s="8"/>
    </row>
    <row r="68" spans="1:13" x14ac:dyDescent="0.2">
      <c r="A68" s="17" t="str">
        <f>[1]SUMMARY!A69</f>
        <v>35</v>
      </c>
      <c r="B68" s="17">
        <f>[1]SUMMARY!B69</f>
        <v>12.5</v>
      </c>
      <c r="C68" s="17">
        <f>[1]SUMMARY!C69</f>
        <v>18</v>
      </c>
      <c r="D68" s="25" t="str">
        <f>[1]SUMMARY!D69</f>
        <v>ACCELERA (IDN)</v>
      </c>
      <c r="E68" s="25" t="str">
        <f>[1]SUMMARY!E69</f>
        <v>MT 01</v>
      </c>
      <c r="F68" s="20"/>
      <c r="G68" s="20"/>
      <c r="H68" s="20"/>
      <c r="I68" s="21">
        <f t="shared" si="0"/>
        <v>0</v>
      </c>
      <c r="J68" s="22">
        <f>[1]SUMMARY!N69</f>
        <v>8479.25</v>
      </c>
      <c r="K68" s="23">
        <f t="shared" si="2"/>
        <v>0</v>
      </c>
      <c r="L68" s="8"/>
      <c r="M68" s="8"/>
    </row>
    <row r="69" spans="1:13" x14ac:dyDescent="0.2">
      <c r="A69" s="17" t="str">
        <f>[1]SUMMARY!A70</f>
        <v>235</v>
      </c>
      <c r="B69" s="17">
        <f>[1]SUMMARY!B70</f>
        <v>40</v>
      </c>
      <c r="C69" s="17">
        <f>[1]SUMMARY!C70</f>
        <v>18</v>
      </c>
      <c r="D69" s="25" t="str">
        <f>[1]SUMMARY!D70</f>
        <v>ACCELERA (IDN)</v>
      </c>
      <c r="E69" s="25" t="str">
        <f>[1]SUMMARY!E70</f>
        <v>PHI</v>
      </c>
      <c r="F69" s="20"/>
      <c r="G69" s="20">
        <v>8</v>
      </c>
      <c r="H69" s="20">
        <v>4</v>
      </c>
      <c r="I69" s="24">
        <f t="shared" si="0"/>
        <v>4</v>
      </c>
      <c r="J69" s="22">
        <f>[1]SUMMARY!N70</f>
        <v>4214</v>
      </c>
      <c r="K69" s="23">
        <f t="shared" si="2"/>
        <v>16856</v>
      </c>
      <c r="L69" s="8"/>
      <c r="M69" s="8"/>
    </row>
    <row r="70" spans="1:13" x14ac:dyDescent="0.2">
      <c r="A70" s="17" t="str">
        <f>[1]SUMMARY!A71</f>
        <v>235</v>
      </c>
      <c r="B70" s="17">
        <f>[1]SUMMARY!B71</f>
        <v>50</v>
      </c>
      <c r="C70" s="17">
        <f>[1]SUMMARY!C71</f>
        <v>18</v>
      </c>
      <c r="D70" s="25" t="str">
        <f>[1]SUMMARY!D71</f>
        <v>ACCELERA (IDN)</v>
      </c>
      <c r="E70" s="25" t="str">
        <f>[1]SUMMARY!E71</f>
        <v>PHI-R</v>
      </c>
      <c r="F70" s="20"/>
      <c r="G70" s="20">
        <v>67</v>
      </c>
      <c r="H70" s="20">
        <v>63</v>
      </c>
      <c r="I70" s="24">
        <f t="shared" si="0"/>
        <v>4</v>
      </c>
      <c r="J70" s="22">
        <f>[1]SUMMARY!N71</f>
        <v>4179</v>
      </c>
      <c r="K70" s="23">
        <f t="shared" si="2"/>
        <v>16716</v>
      </c>
      <c r="L70" s="8"/>
      <c r="M70" s="8"/>
    </row>
    <row r="71" spans="1:13" x14ac:dyDescent="0.2">
      <c r="A71" s="17" t="str">
        <f>[1]SUMMARY!A72</f>
        <v>235</v>
      </c>
      <c r="B71" s="17">
        <f>[1]SUMMARY!B72</f>
        <v>55</v>
      </c>
      <c r="C71" s="17">
        <f>[1]SUMMARY!C72</f>
        <v>18</v>
      </c>
      <c r="D71" s="25" t="str">
        <f>[1]SUMMARY!D72</f>
        <v>ACCELERA (IDN)</v>
      </c>
      <c r="E71" s="25" t="str">
        <f>[1]SUMMARY!E72</f>
        <v>IOTA-ST68</v>
      </c>
      <c r="F71" s="20"/>
      <c r="G71" s="20">
        <v>11</v>
      </c>
      <c r="H71" s="20">
        <v>7</v>
      </c>
      <c r="I71" s="24">
        <f t="shared" si="0"/>
        <v>4</v>
      </c>
      <c r="J71" s="22">
        <f>[1]SUMMARY!N72</f>
        <v>5754</v>
      </c>
      <c r="K71" s="23">
        <f t="shared" si="2"/>
        <v>23016</v>
      </c>
      <c r="L71" s="8"/>
      <c r="M71" s="8"/>
    </row>
    <row r="72" spans="1:13" x14ac:dyDescent="0.2">
      <c r="A72" s="17" t="str">
        <f>[1]SUMMARY!A73</f>
        <v>235</v>
      </c>
      <c r="B72" s="17">
        <f>[1]SUMMARY!B73</f>
        <v>60</v>
      </c>
      <c r="C72" s="17">
        <f>[1]SUMMARY!C73</f>
        <v>18</v>
      </c>
      <c r="D72" s="25" t="str">
        <f>[1]SUMMARY!D73</f>
        <v>ACCELERA (IDN)</v>
      </c>
      <c r="E72" s="25" t="str">
        <f>[1]SUMMARY!E73</f>
        <v>IOTA-ST68</v>
      </c>
      <c r="F72" s="20"/>
      <c r="G72" s="20">
        <v>20</v>
      </c>
      <c r="H72" s="20">
        <v>16</v>
      </c>
      <c r="I72" s="24">
        <f t="shared" si="0"/>
        <v>4</v>
      </c>
      <c r="J72" s="22">
        <f>[1]SUMMARY!N73</f>
        <v>6174</v>
      </c>
      <c r="K72" s="23">
        <f t="shared" si="2"/>
        <v>24696</v>
      </c>
      <c r="L72" s="8"/>
      <c r="M72" s="8"/>
    </row>
    <row r="73" spans="1:13" x14ac:dyDescent="0.2">
      <c r="A73" s="17" t="str">
        <f>[1]SUMMARY!A74</f>
        <v>265</v>
      </c>
      <c r="B73" s="17">
        <f>[1]SUMMARY!B74</f>
        <v>60</v>
      </c>
      <c r="C73" s="17">
        <f>[1]SUMMARY!C74</f>
        <v>18</v>
      </c>
      <c r="D73" s="25" t="str">
        <f>[1]SUMMARY!D74</f>
        <v>ACCELERA (IDN)</v>
      </c>
      <c r="E73" s="25" t="str">
        <f>[1]SUMMARY!E74</f>
        <v>IOTA-ST68</v>
      </c>
      <c r="F73" s="20"/>
      <c r="G73" s="20">
        <v>4</v>
      </c>
      <c r="H73" s="20"/>
      <c r="I73" s="24">
        <f t="shared" si="0"/>
        <v>4</v>
      </c>
      <c r="J73" s="22">
        <f>[1]SUMMARY!N74</f>
        <v>6986</v>
      </c>
      <c r="K73" s="23">
        <f t="shared" si="2"/>
        <v>27944</v>
      </c>
      <c r="L73" s="8"/>
      <c r="M73" s="8"/>
    </row>
    <row r="74" spans="1:13" x14ac:dyDescent="0.2">
      <c r="A74" s="17" t="str">
        <f>[1]SUMMARY!A75</f>
        <v>265</v>
      </c>
      <c r="B74" s="17">
        <f>[1]SUMMARY!B75</f>
        <v>60</v>
      </c>
      <c r="C74" s="17">
        <f>[1]SUMMARY!C75</f>
        <v>18</v>
      </c>
      <c r="D74" s="25" t="str">
        <f>[1]SUMMARY!D75</f>
        <v>ACCELERA (IDN)</v>
      </c>
      <c r="E74" s="25" t="str">
        <f>[1]SUMMARY!E75</f>
        <v>OMIKRON AT</v>
      </c>
      <c r="F74" s="20"/>
      <c r="G74" s="20">
        <v>8</v>
      </c>
      <c r="H74" s="20">
        <v>4</v>
      </c>
      <c r="I74" s="24">
        <f t="shared" si="0"/>
        <v>4</v>
      </c>
      <c r="J74" s="22">
        <f>[1]SUMMARY!N75</f>
        <v>7721</v>
      </c>
      <c r="K74" s="23">
        <f t="shared" si="2"/>
        <v>30884</v>
      </c>
      <c r="L74" s="8"/>
      <c r="M74" s="8"/>
    </row>
    <row r="75" spans="1:13" x14ac:dyDescent="0.2">
      <c r="A75" s="17" t="str">
        <f>[1]SUMMARY!A76</f>
        <v>275</v>
      </c>
      <c r="B75" s="17">
        <f>[1]SUMMARY!B76</f>
        <v>65</v>
      </c>
      <c r="C75" s="17">
        <f>[1]SUMMARY!C76</f>
        <v>18</v>
      </c>
      <c r="D75" s="25" t="str">
        <f>[1]SUMMARY!D76</f>
        <v>ACCELERA (IDN)</v>
      </c>
      <c r="E75" s="25" t="str">
        <f>[1]SUMMARY!E76</f>
        <v>OMIKRON C/T</v>
      </c>
      <c r="F75" s="20"/>
      <c r="G75" s="20">
        <v>14</v>
      </c>
      <c r="H75" s="20">
        <v>12</v>
      </c>
      <c r="I75" s="24">
        <f t="shared" si="0"/>
        <v>2</v>
      </c>
      <c r="J75" s="22">
        <f>[1]SUMMARY!N76</f>
        <v>8379</v>
      </c>
      <c r="K75" s="23">
        <f t="shared" si="2"/>
        <v>16758</v>
      </c>
      <c r="L75" s="8"/>
      <c r="M75" s="8"/>
    </row>
    <row r="76" spans="1:13" x14ac:dyDescent="0.2">
      <c r="A76" s="17" t="str">
        <f>[1]SUMMARY!A77</f>
        <v>235</v>
      </c>
      <c r="B76" s="17">
        <f>[1]SUMMARY!B77</f>
        <v>35</v>
      </c>
      <c r="C76" s="17">
        <f>[1]SUMMARY!C77</f>
        <v>20</v>
      </c>
      <c r="D76" s="25" t="str">
        <f>[1]SUMMARY!D77</f>
        <v>ACCELERA (IDN)</v>
      </c>
      <c r="E76" s="25" t="str">
        <f>[1]SUMMARY!E77</f>
        <v>PHI</v>
      </c>
      <c r="F76" s="20"/>
      <c r="G76" s="20">
        <v>2</v>
      </c>
      <c r="H76" s="20">
        <v>2</v>
      </c>
      <c r="I76" s="21">
        <f t="shared" si="0"/>
        <v>0</v>
      </c>
      <c r="J76" s="22">
        <f>[1]SUMMARY!N77</f>
        <v>5964</v>
      </c>
      <c r="K76" s="23">
        <f t="shared" si="2"/>
        <v>0</v>
      </c>
      <c r="L76" s="8"/>
      <c r="M76" s="8"/>
    </row>
    <row r="77" spans="1:13" x14ac:dyDescent="0.2">
      <c r="A77" s="17" t="str">
        <f>[1]SUMMARY!A78</f>
        <v>245</v>
      </c>
      <c r="B77" s="17">
        <f>[1]SUMMARY!B78</f>
        <v>35</v>
      </c>
      <c r="C77" s="17">
        <f>[1]SUMMARY!C78</f>
        <v>20</v>
      </c>
      <c r="D77" s="25" t="str">
        <f>[1]SUMMARY!D78</f>
        <v>ACCELERA (IDN)</v>
      </c>
      <c r="E77" s="25" t="str">
        <f>[1]SUMMARY!E78</f>
        <v>PHI-R STA</v>
      </c>
      <c r="F77" s="20"/>
      <c r="G77" s="20">
        <v>2</v>
      </c>
      <c r="H77" s="20">
        <v>2</v>
      </c>
      <c r="I77" s="21">
        <f t="shared" si="0"/>
        <v>0</v>
      </c>
      <c r="J77" s="22">
        <f>[1]SUMMARY!N78</f>
        <v>6330</v>
      </c>
      <c r="K77" s="23">
        <f t="shared" si="2"/>
        <v>0</v>
      </c>
      <c r="L77" s="8"/>
      <c r="M77" s="8"/>
    </row>
    <row r="78" spans="1:13" x14ac:dyDescent="0.2">
      <c r="A78" s="17" t="str">
        <f>[1]SUMMARY!A79</f>
        <v>265</v>
      </c>
      <c r="B78" s="17">
        <f>[1]SUMMARY!B79</f>
        <v>50</v>
      </c>
      <c r="C78" s="17">
        <f>[1]SUMMARY!C79</f>
        <v>20</v>
      </c>
      <c r="D78" s="25" t="str">
        <f>[1]SUMMARY!D79</f>
        <v>ACCELERA (IDN)</v>
      </c>
      <c r="E78" s="25" t="str">
        <f>[1]SUMMARY!E79</f>
        <v>OMIKRON AT</v>
      </c>
      <c r="F78" s="20"/>
      <c r="G78" s="20">
        <v>20</v>
      </c>
      <c r="H78" s="20">
        <v>16</v>
      </c>
      <c r="I78" s="24">
        <f t="shared" si="0"/>
        <v>4</v>
      </c>
      <c r="J78" s="22">
        <f>[1]SUMMARY!N79</f>
        <v>6650</v>
      </c>
      <c r="K78" s="23">
        <f t="shared" si="2"/>
        <v>26600</v>
      </c>
      <c r="L78" s="8"/>
      <c r="M78" s="8"/>
    </row>
    <row r="79" spans="1:13" x14ac:dyDescent="0.2">
      <c r="A79" s="17" t="str">
        <f>[1]SUMMARY!A80</f>
        <v>265</v>
      </c>
      <c r="B79" s="17">
        <f>[1]SUMMARY!B80</f>
        <v>50</v>
      </c>
      <c r="C79" s="17">
        <f>[1]SUMMARY!C80</f>
        <v>20</v>
      </c>
      <c r="D79" s="25" t="str">
        <f>[1]SUMMARY!D80</f>
        <v>ACCELERA (IDN)</v>
      </c>
      <c r="E79" s="25" t="str">
        <f>[1]SUMMARY!E80</f>
        <v>IOTA ST68</v>
      </c>
      <c r="F79" s="20"/>
      <c r="G79" s="20">
        <v>8</v>
      </c>
      <c r="H79" s="20">
        <v>4</v>
      </c>
      <c r="I79" s="24">
        <f t="shared" si="0"/>
        <v>4</v>
      </c>
      <c r="J79" s="22">
        <f>[1]SUMMARY!N80</f>
        <v>5750</v>
      </c>
      <c r="K79" s="23">
        <f t="shared" si="2"/>
        <v>23000</v>
      </c>
      <c r="L79" s="8"/>
      <c r="M79" s="8"/>
    </row>
    <row r="80" spans="1:13" x14ac:dyDescent="0.2">
      <c r="A80" s="17" t="str">
        <f>[1]SUMMARY!A81</f>
        <v>275</v>
      </c>
      <c r="B80" s="17">
        <f>[1]SUMMARY!B81</f>
        <v>55</v>
      </c>
      <c r="C80" s="17">
        <f>[1]SUMMARY!C81</f>
        <v>20</v>
      </c>
      <c r="D80" s="25" t="str">
        <f>[1]SUMMARY!D81</f>
        <v>ACCELERA (IDN)</v>
      </c>
      <c r="E80" s="25" t="str">
        <f>[1]SUMMARY!E81</f>
        <v>OMIKRON C/T</v>
      </c>
      <c r="F80" s="20"/>
      <c r="G80" s="20">
        <v>26</v>
      </c>
      <c r="H80" s="20">
        <v>22</v>
      </c>
      <c r="I80" s="24">
        <f t="shared" si="0"/>
        <v>4</v>
      </c>
      <c r="J80" s="22">
        <f>[1]SUMMARY!N81</f>
        <v>7623</v>
      </c>
      <c r="K80" s="23">
        <f t="shared" si="2"/>
        <v>30492</v>
      </c>
      <c r="L80" s="8"/>
      <c r="M80" s="8"/>
    </row>
    <row r="81" spans="1:13" x14ac:dyDescent="0.2">
      <c r="A81" s="17" t="str">
        <f>[1]SUMMARY!A82</f>
        <v>275</v>
      </c>
      <c r="B81" s="17">
        <f>[1]SUMMARY!B82</f>
        <v>55</v>
      </c>
      <c r="C81" s="17">
        <f>[1]SUMMARY!C82</f>
        <v>20</v>
      </c>
      <c r="D81" s="25" t="str">
        <f>[1]SUMMARY!D82</f>
        <v>ACCELERA (IDN)</v>
      </c>
      <c r="E81" s="25" t="str">
        <f>[1]SUMMARY!E82</f>
        <v>IOTA ST68</v>
      </c>
      <c r="F81" s="20"/>
      <c r="G81" s="20"/>
      <c r="H81" s="20"/>
      <c r="I81" s="21">
        <f t="shared" si="0"/>
        <v>0</v>
      </c>
      <c r="J81" s="22">
        <f>[1]SUMMARY!N82</f>
        <v>6997.5</v>
      </c>
      <c r="K81" s="23">
        <f t="shared" si="2"/>
        <v>0</v>
      </c>
      <c r="L81" s="8"/>
      <c r="M81" s="8"/>
    </row>
    <row r="82" spans="1:13" x14ac:dyDescent="0.2">
      <c r="A82" s="17" t="str">
        <f>[1]SUMMARY!A83</f>
        <v>275</v>
      </c>
      <c r="B82" s="17">
        <f>[1]SUMMARY!B83</f>
        <v>55</v>
      </c>
      <c r="C82" s="17">
        <f>[1]SUMMARY!C83</f>
        <v>20</v>
      </c>
      <c r="D82" s="25" t="str">
        <f>[1]SUMMARY!D83</f>
        <v>ACCELERA (IDN)</v>
      </c>
      <c r="E82" s="25" t="str">
        <f>[1]SUMMARY!E82</f>
        <v>IOTA ST68</v>
      </c>
      <c r="F82" s="20"/>
      <c r="G82" s="20"/>
      <c r="H82" s="20"/>
      <c r="I82" s="21">
        <f t="shared" si="0"/>
        <v>0</v>
      </c>
      <c r="J82" s="22">
        <f>[1]SUMMARY!N83</f>
        <v>6997.5</v>
      </c>
      <c r="K82" s="23">
        <f t="shared" si="2"/>
        <v>0</v>
      </c>
      <c r="L82" s="8"/>
      <c r="M82" s="8"/>
    </row>
    <row r="83" spans="1:13" x14ac:dyDescent="0.2">
      <c r="A83" s="17">
        <f>[1]SUMMARY!A84</f>
        <v>33</v>
      </c>
      <c r="B83" s="27" t="str">
        <f>[1]SUMMARY!B84</f>
        <v>12.5</v>
      </c>
      <c r="C83" s="17">
        <f>[1]SUMMARY!A84</f>
        <v>33</v>
      </c>
      <c r="D83" s="25" t="str">
        <f>[1]SUMMARY!D84</f>
        <v>ACCELERA (IDN)</v>
      </c>
      <c r="E83" s="25" t="str">
        <f>[1]SUMMARY!E84</f>
        <v>MT 01</v>
      </c>
      <c r="F83" s="20"/>
      <c r="G83" s="20"/>
      <c r="H83" s="20"/>
      <c r="I83" s="21">
        <f t="shared" si="0"/>
        <v>0</v>
      </c>
      <c r="J83" s="22">
        <f>[1]SUMMARY!N84</f>
        <v>10425</v>
      </c>
      <c r="K83" s="23">
        <f t="shared" si="2"/>
        <v>0</v>
      </c>
      <c r="L83" s="28">
        <f>SUM(K3:K83)</f>
        <v>915136.71999999986</v>
      </c>
      <c r="M83" s="29" t="s">
        <v>11</v>
      </c>
    </row>
    <row r="84" spans="1:13" x14ac:dyDescent="0.2">
      <c r="A84" s="17">
        <f>[1]SUMMARY!A85</f>
        <v>275</v>
      </c>
      <c r="B84" s="17">
        <f>[1]SUMMARY!B85</f>
        <v>45</v>
      </c>
      <c r="C84" s="17">
        <f>[1]SUMMARY!A85</f>
        <v>275</v>
      </c>
      <c r="D84" s="25" t="str">
        <f>[1]SUMMARY!D85</f>
        <v>ACCELERA (IDN)</v>
      </c>
      <c r="E84" s="25" t="str">
        <f>[1]SUMMARY!E85</f>
        <v>IOTA ST68</v>
      </c>
      <c r="F84" s="20"/>
      <c r="G84" s="20"/>
      <c r="H84" s="20"/>
      <c r="I84" s="21">
        <f t="shared" si="0"/>
        <v>0</v>
      </c>
      <c r="J84" s="22">
        <f>[1]SUMMARY!N85</f>
        <v>9401</v>
      </c>
      <c r="K84" s="23">
        <f t="shared" si="2"/>
        <v>0</v>
      </c>
      <c r="L84" s="8"/>
      <c r="M84" s="8"/>
    </row>
    <row r="85" spans="1:13" x14ac:dyDescent="0.2">
      <c r="A85" s="17">
        <f>[1]SUMMARY!A86</f>
        <v>165</v>
      </c>
      <c r="B85" s="17">
        <f>[1]SUMMARY!B86</f>
        <v>80</v>
      </c>
      <c r="C85" s="17">
        <f>[1]SUMMARY!A86</f>
        <v>165</v>
      </c>
      <c r="D85" s="25" t="str">
        <f>[1]SUMMARY!D86</f>
        <v>ACHILLES (IDN)</v>
      </c>
      <c r="E85" s="25">
        <f>[1]SUMMARY!E86</f>
        <v>122</v>
      </c>
      <c r="F85" s="20"/>
      <c r="G85" s="20"/>
      <c r="H85" s="20"/>
      <c r="I85" s="21">
        <f t="shared" si="0"/>
        <v>0</v>
      </c>
      <c r="J85" s="22">
        <f>[1]SUMMARY!N86</f>
        <v>1610</v>
      </c>
      <c r="K85" s="23">
        <f t="shared" si="2"/>
        <v>0</v>
      </c>
      <c r="L85" s="8"/>
      <c r="M85" s="8"/>
    </row>
    <row r="86" spans="1:13" x14ac:dyDescent="0.2">
      <c r="A86" s="17" t="str">
        <f>[1]SUMMARY!A87</f>
        <v>175</v>
      </c>
      <c r="B86" s="17">
        <f>[1]SUMMARY!B87</f>
        <v>65</v>
      </c>
      <c r="C86" s="17">
        <f>[1]SUMMARY!C87</f>
        <v>14</v>
      </c>
      <c r="D86" s="25" t="str">
        <f>[1]SUMMARY!D87</f>
        <v>ACHILLES (IDN)</v>
      </c>
      <c r="E86" s="25">
        <f>[1]SUMMARY!E87</f>
        <v>122</v>
      </c>
      <c r="F86" s="20">
        <v>18</v>
      </c>
      <c r="G86" s="20">
        <v>14</v>
      </c>
      <c r="H86" s="20">
        <v>32</v>
      </c>
      <c r="I86" s="21">
        <f t="shared" si="0"/>
        <v>0</v>
      </c>
      <c r="J86" s="22">
        <f>[1]SUMMARY!N87</f>
        <v>1690</v>
      </c>
      <c r="K86" s="23">
        <f t="shared" si="2"/>
        <v>0</v>
      </c>
      <c r="L86" s="8"/>
      <c r="M86" s="8"/>
    </row>
    <row r="87" spans="1:13" x14ac:dyDescent="0.2">
      <c r="A87" s="17" t="str">
        <f>[1]SUMMARY!A89</f>
        <v>185</v>
      </c>
      <c r="B87" s="17">
        <f>[1]SUMMARY!B89</f>
        <v>65</v>
      </c>
      <c r="C87" s="17">
        <f>[1]SUMMARY!C89</f>
        <v>14</v>
      </c>
      <c r="D87" s="25" t="str">
        <f>[1]SUMMARY!D89</f>
        <v>ACHILLES (IDN)</v>
      </c>
      <c r="E87" s="25">
        <f>[1]SUMMARY!E89</f>
        <v>122</v>
      </c>
      <c r="F87" s="20">
        <v>18</v>
      </c>
      <c r="G87" s="20">
        <v>4</v>
      </c>
      <c r="H87" s="20">
        <v>22</v>
      </c>
      <c r="I87" s="21">
        <f t="shared" si="0"/>
        <v>0</v>
      </c>
      <c r="J87" s="22">
        <f>[1]SUMMARY!N89</f>
        <v>2030</v>
      </c>
      <c r="K87" s="23">
        <f t="shared" si="2"/>
        <v>0</v>
      </c>
      <c r="L87" s="8"/>
      <c r="M87" s="8"/>
    </row>
    <row r="88" spans="1:13" x14ac:dyDescent="0.2">
      <c r="A88" s="17" t="str">
        <f>[1]SUMMARY!A88</f>
        <v>175</v>
      </c>
      <c r="B88" s="17">
        <f>[1]SUMMARY!B88</f>
        <v>70</v>
      </c>
      <c r="C88" s="17">
        <f>[1]SUMMARY!C88</f>
        <v>14</v>
      </c>
      <c r="D88" s="25" t="str">
        <f>[1]SUMMARY!D88</f>
        <v>ACHILLES (IDN)</v>
      </c>
      <c r="E88" s="25">
        <f>[1]SUMMARY!E88</f>
        <v>122</v>
      </c>
      <c r="F88" s="20"/>
      <c r="G88" s="20">
        <v>5</v>
      </c>
      <c r="H88" s="20">
        <v>5</v>
      </c>
      <c r="I88" s="21">
        <f t="shared" si="0"/>
        <v>0</v>
      </c>
      <c r="J88" s="22">
        <f>[1]SUMMARY!N88</f>
        <v>1880</v>
      </c>
      <c r="K88" s="23">
        <f t="shared" si="2"/>
        <v>0</v>
      </c>
      <c r="L88" s="8"/>
      <c r="M88" s="8"/>
    </row>
    <row r="89" spans="1:13" x14ac:dyDescent="0.2">
      <c r="A89" s="17" t="str">
        <f>[1]SUMMARY!A90</f>
        <v>185</v>
      </c>
      <c r="B89" s="17">
        <f>[1]SUMMARY!B90</f>
        <v>70</v>
      </c>
      <c r="C89" s="17">
        <f>[1]SUMMARY!C90</f>
        <v>14</v>
      </c>
      <c r="D89" s="25" t="str">
        <f>[1]SUMMARY!D90</f>
        <v>ACHILLES (IDN)</v>
      </c>
      <c r="E89" s="25">
        <f>[1]SUMMARY!E90</f>
        <v>122</v>
      </c>
      <c r="F89" s="20"/>
      <c r="G89" s="20">
        <v>13</v>
      </c>
      <c r="H89" s="20">
        <v>13</v>
      </c>
      <c r="I89" s="21">
        <f t="shared" si="0"/>
        <v>0</v>
      </c>
      <c r="J89" s="22">
        <f>[1]SUMMARY!N90</f>
        <v>2140</v>
      </c>
      <c r="K89" s="23">
        <f t="shared" si="2"/>
        <v>0</v>
      </c>
      <c r="L89" s="8"/>
      <c r="M89" s="8"/>
    </row>
    <row r="90" spans="1:13" x14ac:dyDescent="0.2">
      <c r="A90" s="17" t="str">
        <f>[1]SUMMARY!A91</f>
        <v>185</v>
      </c>
      <c r="B90" s="17">
        <f>[1]SUMMARY!B91</f>
        <v>0</v>
      </c>
      <c r="C90" s="17" t="str">
        <f>[1]SUMMARY!C91</f>
        <v>14C</v>
      </c>
      <c r="D90" s="25" t="str">
        <f>[1]SUMMARY!D91</f>
        <v>ACHILLES (IDN)</v>
      </c>
      <c r="E90" s="25" t="str">
        <f>[1]SUMMARY!E91</f>
        <v>ULTRAVAN</v>
      </c>
      <c r="F90" s="20"/>
      <c r="G90" s="20">
        <v>64</v>
      </c>
      <c r="H90" s="20">
        <v>64</v>
      </c>
      <c r="I90" s="21">
        <f t="shared" si="0"/>
        <v>0</v>
      </c>
      <c r="J90" s="22">
        <f>[1]SUMMARY!N91</f>
        <v>2480</v>
      </c>
      <c r="K90" s="23">
        <f t="shared" si="2"/>
        <v>0</v>
      </c>
      <c r="L90" s="8"/>
      <c r="M90" s="8"/>
    </row>
    <row r="91" spans="1:13" x14ac:dyDescent="0.2">
      <c r="A91" s="17" t="str">
        <f>[1]SUMMARY!A92</f>
        <v>195</v>
      </c>
      <c r="B91" s="17">
        <f>[1]SUMMARY!B92</f>
        <v>0</v>
      </c>
      <c r="C91" s="17" t="str">
        <f>[1]SUMMARY!C92</f>
        <v>14C</v>
      </c>
      <c r="D91" s="25" t="str">
        <f>[1]SUMMARY!D92</f>
        <v>ACHILLES (IDN)</v>
      </c>
      <c r="E91" s="25" t="str">
        <f>[1]SUMMARY!E92</f>
        <v>ULTRAVAN</v>
      </c>
      <c r="F91" s="20">
        <v>7</v>
      </c>
      <c r="G91" s="20">
        <v>46</v>
      </c>
      <c r="H91" s="20">
        <v>53</v>
      </c>
      <c r="I91" s="21">
        <f t="shared" si="0"/>
        <v>0</v>
      </c>
      <c r="J91" s="22">
        <f>[1]SUMMARY!N92</f>
        <v>2850</v>
      </c>
      <c r="K91" s="23">
        <f t="shared" si="2"/>
        <v>0</v>
      </c>
      <c r="L91" s="8"/>
      <c r="M91" s="8"/>
    </row>
    <row r="92" spans="1:13" x14ac:dyDescent="0.2">
      <c r="A92" s="17" t="str">
        <f>[1]SUMMARY!A93</f>
        <v>27</v>
      </c>
      <c r="B92" s="17">
        <f>[1]SUMMARY!B93</f>
        <v>8.5</v>
      </c>
      <c r="C92" s="17">
        <f>[1]SUMMARY!C93</f>
        <v>14</v>
      </c>
      <c r="D92" s="25" t="str">
        <f>[1]SUMMARY!D93</f>
        <v>ACHILLES (IDN)</v>
      </c>
      <c r="E92" s="25" t="str">
        <f>[1]SUMMARY!E93</f>
        <v>DESERT HAWK XMT</v>
      </c>
      <c r="F92" s="20">
        <v>4</v>
      </c>
      <c r="G92" s="20">
        <v>2</v>
      </c>
      <c r="H92" s="20">
        <v>6</v>
      </c>
      <c r="I92" s="21">
        <f t="shared" si="0"/>
        <v>0</v>
      </c>
      <c r="J92" s="22">
        <f>[1]SUMMARY!N93</f>
        <v>4130</v>
      </c>
      <c r="K92" s="23">
        <f t="shared" si="2"/>
        <v>0</v>
      </c>
      <c r="L92" s="8"/>
      <c r="M92" s="8"/>
    </row>
    <row r="93" spans="1:13" x14ac:dyDescent="0.2">
      <c r="A93" s="17" t="str">
        <f>[1]SUMMARY!A94</f>
        <v>195</v>
      </c>
      <c r="B93" s="17">
        <f>[1]SUMMARY!B94</f>
        <v>50</v>
      </c>
      <c r="C93" s="17">
        <f>[1]SUMMARY!C94</f>
        <v>15</v>
      </c>
      <c r="D93" s="25" t="str">
        <f>[1]SUMMARY!D94</f>
        <v>ACHILLES (IDN)</v>
      </c>
      <c r="E93" s="25" t="str">
        <f>[1]SUMMARY!E94</f>
        <v>ATR SPORT 2</v>
      </c>
      <c r="F93" s="20">
        <v>8</v>
      </c>
      <c r="G93" s="20">
        <v>46</v>
      </c>
      <c r="H93" s="20">
        <v>54</v>
      </c>
      <c r="I93" s="21">
        <f t="shared" si="0"/>
        <v>0</v>
      </c>
      <c r="J93" s="22">
        <f>[1]SUMMARY!N94</f>
        <v>2570</v>
      </c>
      <c r="K93" s="23">
        <f t="shared" si="2"/>
        <v>0</v>
      </c>
      <c r="L93" s="8"/>
      <c r="M93" s="8"/>
    </row>
    <row r="94" spans="1:13" x14ac:dyDescent="0.2">
      <c r="A94" s="17" t="str">
        <f>[1]SUMMARY!A95</f>
        <v>175</v>
      </c>
      <c r="B94" s="17">
        <f>[1]SUMMARY!B95</f>
        <v>55</v>
      </c>
      <c r="C94" s="17">
        <f>[1]SUMMARY!C95</f>
        <v>15</v>
      </c>
      <c r="D94" s="25" t="str">
        <f>[1]SUMMARY!D95</f>
        <v>ACHILLES (IDN)</v>
      </c>
      <c r="E94" s="25" t="str">
        <f>[1]SUMMARY!E95</f>
        <v>ATR-K</v>
      </c>
      <c r="F94" s="20"/>
      <c r="G94" s="20">
        <v>28</v>
      </c>
      <c r="H94" s="20">
        <v>28</v>
      </c>
      <c r="I94" s="21">
        <f t="shared" si="0"/>
        <v>0</v>
      </c>
      <c r="J94" s="22">
        <f>[1]SUMMARY!N95</f>
        <v>1940</v>
      </c>
      <c r="K94" s="23">
        <f t="shared" si="2"/>
        <v>0</v>
      </c>
      <c r="L94" s="8"/>
      <c r="M94" s="8"/>
    </row>
    <row r="95" spans="1:13" x14ac:dyDescent="0.2">
      <c r="A95" s="17" t="str">
        <f>[1]SUMMARY!A96</f>
        <v>195</v>
      </c>
      <c r="B95" s="17">
        <f>[1]SUMMARY!B96</f>
        <v>55</v>
      </c>
      <c r="C95" s="17">
        <f>[1]SUMMARY!C96</f>
        <v>15</v>
      </c>
      <c r="D95" s="25" t="str">
        <f>[1]SUMMARY!D96</f>
        <v>ACHILLES (IDN)</v>
      </c>
      <c r="E95" s="25" t="str">
        <f>[1]SUMMARY!E96</f>
        <v>ATR SPORT 2</v>
      </c>
      <c r="F95" s="20">
        <v>8</v>
      </c>
      <c r="G95" s="20">
        <v>40</v>
      </c>
      <c r="H95" s="21">
        <v>48</v>
      </c>
      <c r="I95" s="21">
        <f t="shared" si="0"/>
        <v>0</v>
      </c>
      <c r="J95" s="22">
        <f>[1]SUMMARY!N96</f>
        <v>2570</v>
      </c>
      <c r="K95" s="23">
        <f t="shared" si="2"/>
        <v>0</v>
      </c>
      <c r="L95" s="8"/>
      <c r="M95" s="8"/>
    </row>
    <row r="96" spans="1:13" x14ac:dyDescent="0.2">
      <c r="A96" s="17" t="str">
        <f>[1]SUMMARY!A97</f>
        <v>205</v>
      </c>
      <c r="B96" s="17">
        <f>[1]SUMMARY!B97</f>
        <v>60</v>
      </c>
      <c r="C96" s="17">
        <f>[1]SUMMARY!C97</f>
        <v>15</v>
      </c>
      <c r="D96" s="25" t="str">
        <f>[1]SUMMARY!D97</f>
        <v>ACHILLES (IDN)</v>
      </c>
      <c r="E96" s="25">
        <f>[1]SUMMARY!E97</f>
        <v>122</v>
      </c>
      <c r="F96" s="20"/>
      <c r="G96" s="20">
        <v>4</v>
      </c>
      <c r="H96" s="21">
        <v>4</v>
      </c>
      <c r="I96" s="21">
        <f t="shared" si="0"/>
        <v>0</v>
      </c>
      <c r="J96" s="22">
        <f>[1]SUMMARY!N97</f>
        <v>2190</v>
      </c>
      <c r="K96" s="23">
        <f t="shared" si="2"/>
        <v>0</v>
      </c>
      <c r="L96" s="8"/>
      <c r="M96" s="8"/>
    </row>
    <row r="97" spans="1:13" x14ac:dyDescent="0.2">
      <c r="A97" s="17" t="str">
        <f>[1]SUMMARY!A98</f>
        <v>175</v>
      </c>
      <c r="B97" s="17">
        <f>[1]SUMMARY!B98</f>
        <v>65</v>
      </c>
      <c r="C97" s="17">
        <f>[1]SUMMARY!C98</f>
        <v>15</v>
      </c>
      <c r="D97" s="25" t="str">
        <f>[1]SUMMARY!D98</f>
        <v>ACHILLES (IDN)</v>
      </c>
      <c r="E97" s="25">
        <f>[1]SUMMARY!E98</f>
        <v>122</v>
      </c>
      <c r="F97" s="20">
        <v>8</v>
      </c>
      <c r="G97" s="20">
        <v>19</v>
      </c>
      <c r="H97" s="21">
        <v>27</v>
      </c>
      <c r="I97" s="21">
        <f t="shared" si="0"/>
        <v>0</v>
      </c>
      <c r="J97" s="22">
        <f>[1]SUMMARY!N98</f>
        <v>1960</v>
      </c>
      <c r="K97" s="23">
        <f t="shared" si="2"/>
        <v>0</v>
      </c>
      <c r="L97" s="8"/>
      <c r="M97" s="8"/>
    </row>
    <row r="98" spans="1:13" x14ac:dyDescent="0.2">
      <c r="A98" s="17" t="str">
        <f>[1]SUMMARY!A99</f>
        <v>185</v>
      </c>
      <c r="B98" s="17">
        <f>[1]SUMMARY!B99</f>
        <v>65</v>
      </c>
      <c r="C98" s="17">
        <f>[1]SUMMARY!C99</f>
        <v>15</v>
      </c>
      <c r="D98" s="25" t="str">
        <f>[1]SUMMARY!D99</f>
        <v>ACHILLES (IDN)</v>
      </c>
      <c r="E98" s="25">
        <f>[1]SUMMARY!E99</f>
        <v>122</v>
      </c>
      <c r="F98" s="20">
        <v>18</v>
      </c>
      <c r="G98" s="20">
        <v>4</v>
      </c>
      <c r="H98" s="21">
        <v>22</v>
      </c>
      <c r="I98" s="21">
        <f t="shared" si="0"/>
        <v>0</v>
      </c>
      <c r="J98" s="22">
        <f>[1]SUMMARY!N99</f>
        <v>2600</v>
      </c>
      <c r="K98" s="23">
        <f t="shared" si="2"/>
        <v>0</v>
      </c>
      <c r="L98" s="8"/>
      <c r="M98" s="8"/>
    </row>
    <row r="99" spans="1:13" x14ac:dyDescent="0.2">
      <c r="A99" s="17" t="str">
        <f>[1]SUMMARY!A100</f>
        <v>205</v>
      </c>
      <c r="B99" s="17">
        <f>[1]SUMMARY!B100</f>
        <v>65</v>
      </c>
      <c r="C99" s="17">
        <f>[1]SUMMARY!C100</f>
        <v>15</v>
      </c>
      <c r="D99" s="25" t="str">
        <f>[1]SUMMARY!D100</f>
        <v>ACHILLES (IDN)</v>
      </c>
      <c r="E99" s="25">
        <f>[1]SUMMARY!E100</f>
        <v>122</v>
      </c>
      <c r="F99" s="20">
        <v>18</v>
      </c>
      <c r="G99" s="20">
        <v>20</v>
      </c>
      <c r="H99" s="21">
        <v>38</v>
      </c>
      <c r="I99" s="21">
        <f t="shared" si="0"/>
        <v>0</v>
      </c>
      <c r="J99" s="22">
        <f>[1]SUMMARY!N100</f>
        <v>2680</v>
      </c>
      <c r="K99" s="23">
        <f t="shared" si="2"/>
        <v>0</v>
      </c>
      <c r="L99" s="8"/>
      <c r="M99" s="8"/>
    </row>
    <row r="100" spans="1:13" x14ac:dyDescent="0.2">
      <c r="A100" s="17" t="str">
        <f>[1]SUMMARY!A101</f>
        <v>205</v>
      </c>
      <c r="B100" s="17">
        <f>[1]SUMMARY!B101</f>
        <v>70</v>
      </c>
      <c r="C100" s="17" t="str">
        <f>[1]SUMMARY!C101</f>
        <v>15C</v>
      </c>
      <c r="D100" s="25" t="str">
        <f>[1]SUMMARY!D101</f>
        <v>ACHILLES (IDN)</v>
      </c>
      <c r="E100" s="25" t="str">
        <f>[1]SUMMARY!E101</f>
        <v>MULTIVAN</v>
      </c>
      <c r="F100" s="20">
        <v>2</v>
      </c>
      <c r="G100" s="20">
        <v>18</v>
      </c>
      <c r="H100" s="21">
        <v>20</v>
      </c>
      <c r="I100" s="21">
        <f t="shared" si="0"/>
        <v>0</v>
      </c>
      <c r="J100" s="22">
        <f>[1]SUMMARY!N101</f>
        <v>3290</v>
      </c>
      <c r="K100" s="23">
        <f t="shared" si="2"/>
        <v>0</v>
      </c>
      <c r="L100" s="8"/>
      <c r="M100" s="8"/>
    </row>
    <row r="101" spans="1:13" x14ac:dyDescent="0.2">
      <c r="A101" s="17" t="str">
        <f>[1]SUMMARY!A102</f>
        <v xml:space="preserve">215 </v>
      </c>
      <c r="B101" s="17">
        <f>[1]SUMMARY!B102</f>
        <v>70</v>
      </c>
      <c r="C101" s="17" t="str">
        <f>[1]SUMMARY!C102</f>
        <v>15C</v>
      </c>
      <c r="D101" s="25" t="str">
        <f>[1]SUMMARY!D102</f>
        <v>ACHILLES (IDN)</v>
      </c>
      <c r="E101" s="25" t="str">
        <f>[1]SUMMARY!E102</f>
        <v>MULTIVAN</v>
      </c>
      <c r="F101" s="20"/>
      <c r="G101" s="20">
        <v>24</v>
      </c>
      <c r="H101" s="21">
        <v>24</v>
      </c>
      <c r="I101" s="21">
        <f t="shared" si="0"/>
        <v>0</v>
      </c>
      <c r="J101" s="22">
        <f>[1]SUMMARY!N102</f>
        <v>3540</v>
      </c>
      <c r="K101" s="23">
        <f t="shared" si="2"/>
        <v>0</v>
      </c>
      <c r="L101" s="8"/>
      <c r="M101" s="8"/>
    </row>
    <row r="102" spans="1:13" x14ac:dyDescent="0.2">
      <c r="A102" s="17" t="str">
        <f>[1]SUMMARY!A103</f>
        <v>31</v>
      </c>
      <c r="B102" s="27" t="str">
        <f>[1]SUMMARY!B103</f>
        <v>10.5</v>
      </c>
      <c r="C102" s="17">
        <f>[1]SUMMARY!C103</f>
        <v>15</v>
      </c>
      <c r="D102" s="25" t="str">
        <f>[1]SUMMARY!D103</f>
        <v>ACHILLES (IDN)</v>
      </c>
      <c r="E102" s="25" t="str">
        <f>[1]SUMMARY!E103</f>
        <v>DH AT 2</v>
      </c>
      <c r="F102" s="20"/>
      <c r="G102" s="20">
        <v>8</v>
      </c>
      <c r="H102" s="21">
        <v>8</v>
      </c>
      <c r="I102" s="21">
        <f t="shared" si="0"/>
        <v>0</v>
      </c>
      <c r="J102" s="22">
        <f>[1]SUMMARY!N103</f>
        <v>5285</v>
      </c>
      <c r="K102" s="23">
        <f t="shared" si="2"/>
        <v>0</v>
      </c>
      <c r="L102" s="8"/>
      <c r="M102" s="8"/>
    </row>
    <row r="103" spans="1:13" x14ac:dyDescent="0.2">
      <c r="A103" s="17" t="str">
        <f>[1]SUMMARY!A104</f>
        <v>195</v>
      </c>
      <c r="B103" s="17">
        <f>[1]SUMMARY!B104</f>
        <v>0</v>
      </c>
      <c r="C103" s="17" t="str">
        <f>[1]SUMMARY!C104</f>
        <v>15C</v>
      </c>
      <c r="D103" s="25" t="str">
        <f>[1]SUMMARY!D104</f>
        <v>ACHILLES (IDN)</v>
      </c>
      <c r="E103" s="25" t="str">
        <f>[1]SUMMARY!E104</f>
        <v>8PR LTR-80</v>
      </c>
      <c r="F103" s="20"/>
      <c r="G103" s="20"/>
      <c r="H103" s="20"/>
      <c r="I103" s="21">
        <f t="shared" si="0"/>
        <v>0</v>
      </c>
      <c r="J103" s="22">
        <f>[1]SUMMARY!N104</f>
        <v>0</v>
      </c>
      <c r="K103" s="23">
        <f t="shared" si="2"/>
        <v>0</v>
      </c>
      <c r="L103" s="8"/>
      <c r="M103" s="8"/>
    </row>
    <row r="104" spans="1:13" x14ac:dyDescent="0.2">
      <c r="A104" s="17" t="str">
        <f>[1]SUMMARY!A105</f>
        <v>195</v>
      </c>
      <c r="B104" s="17">
        <f>[1]SUMMARY!B105</f>
        <v>0</v>
      </c>
      <c r="C104" s="17" t="str">
        <f>[1]SUMMARY!C105</f>
        <v>15C</v>
      </c>
      <c r="D104" s="25" t="str">
        <f>[1]SUMMARY!D105</f>
        <v>ACHILLES (IDN)</v>
      </c>
      <c r="E104" s="25" t="str">
        <f>[1]SUMMARY!E105</f>
        <v>ULTRAVAN</v>
      </c>
      <c r="F104" s="20"/>
      <c r="G104" s="20">
        <v>16</v>
      </c>
      <c r="H104" s="20">
        <v>16</v>
      </c>
      <c r="I104" s="21">
        <f t="shared" si="0"/>
        <v>0</v>
      </c>
      <c r="J104" s="22">
        <f>[1]SUMMARY!N105</f>
        <v>3130</v>
      </c>
      <c r="K104" s="23">
        <f t="shared" si="2"/>
        <v>0</v>
      </c>
      <c r="L104" s="8"/>
      <c r="M104" s="8"/>
    </row>
    <row r="105" spans="1:13" x14ac:dyDescent="0.2">
      <c r="A105" s="17" t="str">
        <f>[1]SUMMARY!A106</f>
        <v>185</v>
      </c>
      <c r="B105" s="17">
        <f>[1]SUMMARY!B106</f>
        <v>55</v>
      </c>
      <c r="C105" s="17">
        <f>[1]SUMMARY!C106</f>
        <v>16</v>
      </c>
      <c r="D105" s="25" t="str">
        <f>[1]SUMMARY!D106</f>
        <v>ACHILLES (IDN)</v>
      </c>
      <c r="E105" s="25">
        <f>[1]SUMMARY!E106</f>
        <v>2233</v>
      </c>
      <c r="F105" s="20"/>
      <c r="G105" s="20">
        <v>8</v>
      </c>
      <c r="H105" s="20">
        <v>8</v>
      </c>
      <c r="I105" s="21">
        <f t="shared" si="0"/>
        <v>0</v>
      </c>
      <c r="J105" s="22">
        <f>[1]SUMMARY!N106</f>
        <v>2370</v>
      </c>
      <c r="K105" s="23">
        <f t="shared" si="2"/>
        <v>0</v>
      </c>
      <c r="L105" s="8"/>
      <c r="M105" s="8"/>
    </row>
    <row r="106" spans="1:13" x14ac:dyDescent="0.2">
      <c r="A106" s="17">
        <f>[1]SUMMARY!A107</f>
        <v>205</v>
      </c>
      <c r="B106" s="17">
        <f>[1]SUMMARY!B107</f>
        <v>45</v>
      </c>
      <c r="C106" s="17">
        <f>[1]SUMMARY!C107</f>
        <v>16</v>
      </c>
      <c r="D106" s="25" t="str">
        <f>[1]SUMMARY!D107</f>
        <v>ACHILLES (IDN)</v>
      </c>
      <c r="E106" s="25">
        <f>[1]SUMMARY!E107</f>
        <v>2233</v>
      </c>
      <c r="F106" s="20"/>
      <c r="G106" s="20">
        <v>30</v>
      </c>
      <c r="H106" s="20">
        <v>30</v>
      </c>
      <c r="I106" s="21">
        <f t="shared" si="0"/>
        <v>0</v>
      </c>
      <c r="J106" s="22">
        <f>[1]SUMMARY!N107</f>
        <v>2410</v>
      </c>
      <c r="K106" s="23">
        <f t="shared" si="2"/>
        <v>0</v>
      </c>
      <c r="L106" s="8"/>
      <c r="M106" s="8"/>
    </row>
    <row r="107" spans="1:13" x14ac:dyDescent="0.2">
      <c r="A107" s="17" t="str">
        <f>[1]SUMMARY!A108</f>
        <v>205</v>
      </c>
      <c r="B107" s="17">
        <f>[1]SUMMARY!B108</f>
        <v>45</v>
      </c>
      <c r="C107" s="17">
        <f>[1]SUMMARY!C108</f>
        <v>16</v>
      </c>
      <c r="D107" s="25" t="str">
        <f>[1]SUMMARY!D108</f>
        <v>ACHILLES (IDN)</v>
      </c>
      <c r="E107" s="25" t="str">
        <f>[1]SUMMARY!E108</f>
        <v>ATR SPORT 87V</v>
      </c>
      <c r="F107" s="20"/>
      <c r="G107" s="20"/>
      <c r="H107" s="20"/>
      <c r="I107" s="21">
        <f t="shared" si="0"/>
        <v>0</v>
      </c>
      <c r="J107" s="22">
        <f>[1]SUMMARY!N108</f>
        <v>2830</v>
      </c>
      <c r="K107" s="23">
        <f t="shared" si="2"/>
        <v>0</v>
      </c>
      <c r="L107" s="8"/>
      <c r="M107" s="8"/>
    </row>
    <row r="108" spans="1:13" x14ac:dyDescent="0.2">
      <c r="A108" s="17" t="str">
        <f>[1]SUMMARY!A109</f>
        <v>195</v>
      </c>
      <c r="B108" s="17">
        <f>[1]SUMMARY!B109</f>
        <v>55</v>
      </c>
      <c r="C108" s="17">
        <f>[1]SUMMARY!C109</f>
        <v>16</v>
      </c>
      <c r="D108" s="25" t="str">
        <f>[1]SUMMARY!D109</f>
        <v>ACHILLES (IDN)</v>
      </c>
      <c r="E108" s="25" t="str">
        <f>[1]SUMMARY!E109</f>
        <v>ATR SPORT</v>
      </c>
      <c r="F108" s="20">
        <v>16</v>
      </c>
      <c r="G108" s="20">
        <v>20</v>
      </c>
      <c r="H108" s="20">
        <v>36</v>
      </c>
      <c r="I108" s="21">
        <f t="shared" si="0"/>
        <v>0</v>
      </c>
      <c r="J108" s="22">
        <f>[1]SUMMARY!N109</f>
        <v>2630</v>
      </c>
      <c r="K108" s="23">
        <f t="shared" si="2"/>
        <v>0</v>
      </c>
      <c r="L108" s="8"/>
      <c r="M108" s="8"/>
    </row>
    <row r="109" spans="1:13" x14ac:dyDescent="0.2">
      <c r="A109" s="17">
        <f>[1]SUMMARY!A110</f>
        <v>205</v>
      </c>
      <c r="B109" s="17">
        <f>[1]SUMMARY!B110</f>
        <v>55</v>
      </c>
      <c r="C109" s="17">
        <f>[1]SUMMARY!C110</f>
        <v>16</v>
      </c>
      <c r="D109" s="25" t="str">
        <f>[1]SUMMARY!D110</f>
        <v>ACHILLES (IDN)</v>
      </c>
      <c r="E109" s="25">
        <f>[1]SUMMARY!E110</f>
        <v>2233</v>
      </c>
      <c r="F109" s="20"/>
      <c r="G109" s="20"/>
      <c r="H109" s="20"/>
      <c r="I109" s="21">
        <f t="shared" si="0"/>
        <v>0</v>
      </c>
      <c r="J109" s="22">
        <f>[1]SUMMARY!N110</f>
        <v>2475</v>
      </c>
      <c r="K109" s="23">
        <f t="shared" si="2"/>
        <v>0</v>
      </c>
      <c r="L109" s="8"/>
      <c r="M109" s="8"/>
    </row>
    <row r="110" spans="1:13" x14ac:dyDescent="0.2">
      <c r="A110" s="17">
        <f>[1]SUMMARY!A111</f>
        <v>205</v>
      </c>
      <c r="B110" s="17">
        <f>[1]SUMMARY!B111</f>
        <v>60</v>
      </c>
      <c r="C110" s="17">
        <f>[1]SUMMARY!C111</f>
        <v>16</v>
      </c>
      <c r="D110" s="25" t="str">
        <f>[1]SUMMARY!D111</f>
        <v>ACHILLES (IDN)</v>
      </c>
      <c r="E110" s="25">
        <f>[1]SUMMARY!E111</f>
        <v>122</v>
      </c>
      <c r="F110" s="20"/>
      <c r="G110" s="20">
        <v>12</v>
      </c>
      <c r="H110" s="20">
        <v>12</v>
      </c>
      <c r="I110" s="21">
        <f t="shared" si="0"/>
        <v>0</v>
      </c>
      <c r="J110" s="22">
        <f>[1]SUMMARY!N111</f>
        <v>2730</v>
      </c>
      <c r="K110" s="23">
        <f t="shared" si="2"/>
        <v>0</v>
      </c>
      <c r="L110" s="8"/>
      <c r="M110" s="8"/>
    </row>
    <row r="111" spans="1:13" x14ac:dyDescent="0.2">
      <c r="A111" s="17" t="str">
        <f>[1]SUMMARY!A112</f>
        <v>205</v>
      </c>
      <c r="B111" s="17">
        <f>[1]SUMMARY!B112</f>
        <v>65</v>
      </c>
      <c r="C111" s="17">
        <f>[1]SUMMARY!C112</f>
        <v>16</v>
      </c>
      <c r="D111" s="25" t="str">
        <f>[1]SUMMARY!D112</f>
        <v>ACHILLES (IDN)</v>
      </c>
      <c r="E111" s="25" t="str">
        <f>[1]SUMMARY!E112</f>
        <v>ALL SEASONS AC</v>
      </c>
      <c r="F111" s="20"/>
      <c r="G111" s="20">
        <v>4</v>
      </c>
      <c r="H111" s="20">
        <v>4</v>
      </c>
      <c r="I111" s="21">
        <f t="shared" si="0"/>
        <v>0</v>
      </c>
      <c r="J111" s="22">
        <f>[1]SUMMARY!N112</f>
        <v>2960</v>
      </c>
      <c r="K111" s="23">
        <f t="shared" si="2"/>
        <v>0</v>
      </c>
      <c r="L111" s="8"/>
      <c r="M111" s="8"/>
    </row>
    <row r="112" spans="1:13" x14ac:dyDescent="0.2">
      <c r="A112" s="17" t="str">
        <f>[1]SUMMARY!A113</f>
        <v>215</v>
      </c>
      <c r="B112" s="17">
        <f>[1]SUMMARY!B113</f>
        <v>70</v>
      </c>
      <c r="C112" s="17" t="str">
        <f>[1]SUMMARY!C113</f>
        <v>16C</v>
      </c>
      <c r="D112" s="25" t="str">
        <f>[1]SUMMARY!D113</f>
        <v>ACHILLES (IDN)</v>
      </c>
      <c r="E112" s="25" t="str">
        <f>[1]SUMMARY!E113</f>
        <v>DESERT HAWK H/T 2 ROWL</v>
      </c>
      <c r="F112" s="20"/>
      <c r="G112" s="20">
        <v>4</v>
      </c>
      <c r="H112" s="20">
        <v>4</v>
      </c>
      <c r="I112" s="21">
        <f t="shared" si="0"/>
        <v>0</v>
      </c>
      <c r="J112" s="22">
        <f>[1]SUMMARY!N113</f>
        <v>3860</v>
      </c>
      <c r="K112" s="23">
        <f t="shared" si="2"/>
        <v>0</v>
      </c>
      <c r="L112" s="8"/>
      <c r="M112" s="8"/>
    </row>
    <row r="113" spans="1:13" x14ac:dyDescent="0.2">
      <c r="A113" s="17" t="str">
        <f>[1]SUMMARY!A114</f>
        <v>225</v>
      </c>
      <c r="B113" s="17">
        <f>[1]SUMMARY!B114</f>
        <v>70</v>
      </c>
      <c r="C113" s="17">
        <f>[1]SUMMARY!C114</f>
        <v>16</v>
      </c>
      <c r="D113" s="25" t="str">
        <f>[1]SUMMARY!D114</f>
        <v>ACHILLES (IDN)</v>
      </c>
      <c r="E113" s="25" t="str">
        <f>[1]SUMMARY!E114</f>
        <v>DESERT HAWK H/T 2 ROWL</v>
      </c>
      <c r="F113" s="20">
        <v>4</v>
      </c>
      <c r="G113" s="20">
        <v>7</v>
      </c>
      <c r="H113" s="20">
        <v>11</v>
      </c>
      <c r="I113" s="21">
        <f t="shared" si="0"/>
        <v>0</v>
      </c>
      <c r="J113" s="22">
        <f>[1]SUMMARY!N114</f>
        <v>3930</v>
      </c>
      <c r="K113" s="23">
        <f t="shared" si="2"/>
        <v>0</v>
      </c>
      <c r="L113" s="8"/>
      <c r="M113" s="8"/>
    </row>
    <row r="114" spans="1:13" x14ac:dyDescent="0.2">
      <c r="A114" s="17">
        <f>[1]SUMMARY!A115</f>
        <v>205</v>
      </c>
      <c r="B114" s="17">
        <f>[1]SUMMARY!B115</f>
        <v>40</v>
      </c>
      <c r="C114" s="17">
        <f>[1]SUMMARY!C115</f>
        <v>17</v>
      </c>
      <c r="D114" s="25" t="str">
        <f>[1]SUMMARY!D115</f>
        <v>ACHILLES (IDN)</v>
      </c>
      <c r="E114" s="25" t="str">
        <f>[1]SUMMARY!E115</f>
        <v>XL 123S</v>
      </c>
      <c r="F114" s="20">
        <v>4</v>
      </c>
      <c r="G114" s="20">
        <v>2</v>
      </c>
      <c r="H114" s="20">
        <v>6</v>
      </c>
      <c r="I114" s="21">
        <f t="shared" si="0"/>
        <v>0</v>
      </c>
      <c r="J114" s="22">
        <f>[1]SUMMARY!N115</f>
        <v>3700</v>
      </c>
      <c r="K114" s="23">
        <f t="shared" si="2"/>
        <v>0</v>
      </c>
      <c r="L114" s="8" t="s">
        <v>12</v>
      </c>
      <c r="M114" s="8"/>
    </row>
    <row r="115" spans="1:13" x14ac:dyDescent="0.2">
      <c r="A115" s="17" t="str">
        <f>[1]SUMMARY!A116</f>
        <v>215</v>
      </c>
      <c r="B115" s="17">
        <f>[1]SUMMARY!B116</f>
        <v>55</v>
      </c>
      <c r="C115" s="17">
        <f>[1]SUMMARY!C116</f>
        <v>17</v>
      </c>
      <c r="D115" s="25" t="str">
        <f>[1]SUMMARY!D116</f>
        <v>ACHILLES (IDN)</v>
      </c>
      <c r="E115" s="25">
        <f>[1]SUMMARY!E116</f>
        <v>2233</v>
      </c>
      <c r="F115" s="20">
        <v>4</v>
      </c>
      <c r="G115" s="20">
        <v>4</v>
      </c>
      <c r="H115" s="20">
        <v>8</v>
      </c>
      <c r="I115" s="21">
        <f t="shared" si="0"/>
        <v>0</v>
      </c>
      <c r="J115" s="22">
        <f>[1]SUMMARY!N116</f>
        <v>2740.35</v>
      </c>
      <c r="K115" s="23">
        <f t="shared" si="2"/>
        <v>0</v>
      </c>
      <c r="L115" s="8"/>
      <c r="M115" s="8"/>
    </row>
    <row r="116" spans="1:13" x14ac:dyDescent="0.2">
      <c r="A116" s="17" t="str">
        <f>[1]SUMMARY!A117</f>
        <v>215</v>
      </c>
      <c r="B116" s="17">
        <f>[1]SUMMARY!B117</f>
        <v>60</v>
      </c>
      <c r="C116" s="17">
        <f>[1]SUMMARY!C117</f>
        <v>17</v>
      </c>
      <c r="D116" s="25" t="str">
        <f>[1]SUMMARY!D117</f>
        <v>ACHILLES (IDN)</v>
      </c>
      <c r="E116" s="25" t="str">
        <f>[1]SUMMARY!E117</f>
        <v>DESERT HAWK A/T 2</v>
      </c>
      <c r="F116" s="20"/>
      <c r="G116" s="20">
        <v>8</v>
      </c>
      <c r="H116" s="20">
        <v>8</v>
      </c>
      <c r="I116" s="21">
        <f t="shared" si="0"/>
        <v>0</v>
      </c>
      <c r="J116" s="22">
        <f>[1]SUMMARY!N117</f>
        <v>4480</v>
      </c>
      <c r="K116" s="23">
        <f t="shared" si="2"/>
        <v>0</v>
      </c>
      <c r="L116" s="8"/>
      <c r="M116" s="8"/>
    </row>
    <row r="117" spans="1:13" x14ac:dyDescent="0.2">
      <c r="A117" s="17" t="str">
        <f>[1]SUMMARY!A118</f>
        <v>225</v>
      </c>
      <c r="B117" s="17">
        <f>[1]SUMMARY!B118</f>
        <v>65</v>
      </c>
      <c r="C117" s="17">
        <f>[1]SUMMARY!C118</f>
        <v>17</v>
      </c>
      <c r="D117" s="25" t="str">
        <f>[1]SUMMARY!D118</f>
        <v>ACHILLES (IDN)</v>
      </c>
      <c r="E117" s="25" t="str">
        <f>[1]SUMMARY!E118</f>
        <v>DESSERT HAWK H/T 2</v>
      </c>
      <c r="F117" s="20"/>
      <c r="G117" s="20">
        <v>6</v>
      </c>
      <c r="H117" s="20">
        <v>6</v>
      </c>
      <c r="I117" s="21">
        <f t="shared" si="0"/>
        <v>0</v>
      </c>
      <c r="J117" s="22">
        <f>[1]SUMMARY!N118</f>
        <v>4240</v>
      </c>
      <c r="K117" s="23">
        <f t="shared" si="2"/>
        <v>0</v>
      </c>
      <c r="L117" s="8"/>
      <c r="M117" s="8"/>
    </row>
    <row r="118" spans="1:13" x14ac:dyDescent="0.2">
      <c r="A118" s="17" t="str">
        <f>[1]SUMMARY!A119</f>
        <v>265</v>
      </c>
      <c r="B118" s="17">
        <f>[1]SUMMARY!B119</f>
        <v>65</v>
      </c>
      <c r="C118" s="17">
        <f>[1]SUMMARY!C119</f>
        <v>17</v>
      </c>
      <c r="D118" s="25" t="str">
        <f>[1]SUMMARY!D119</f>
        <v>ACHILLES (IDN)</v>
      </c>
      <c r="E118" s="25" t="str">
        <f>[1]SUMMARY!E119</f>
        <v>HAWK XMT</v>
      </c>
      <c r="F118" s="20">
        <v>2</v>
      </c>
      <c r="G118" s="20">
        <v>10</v>
      </c>
      <c r="H118" s="20">
        <v>12</v>
      </c>
      <c r="I118" s="21">
        <f t="shared" si="0"/>
        <v>0</v>
      </c>
      <c r="J118" s="22">
        <f>[1]SUMMARY!N119</f>
        <v>7780</v>
      </c>
      <c r="K118" s="23">
        <f t="shared" si="2"/>
        <v>0</v>
      </c>
      <c r="L118" s="8"/>
      <c r="M118" s="8"/>
    </row>
    <row r="119" spans="1:13" x14ac:dyDescent="0.2">
      <c r="A119" s="17" t="str">
        <f>[1]SUMMARY!A120</f>
        <v>265</v>
      </c>
      <c r="B119" s="17">
        <f>[1]SUMMARY!B120</f>
        <v>65</v>
      </c>
      <c r="C119" s="17">
        <f>[1]SUMMARY!C120</f>
        <v>17</v>
      </c>
      <c r="D119" s="25" t="str">
        <f>[1]SUMMARY!D120</f>
        <v>ACHILLES (IDN)</v>
      </c>
      <c r="E119" s="25" t="str">
        <f>[1]SUMMARY!E120</f>
        <v>DESSERT HAWK H/T 2</v>
      </c>
      <c r="F119" s="20"/>
      <c r="G119" s="20">
        <v>8</v>
      </c>
      <c r="H119" s="20">
        <v>8</v>
      </c>
      <c r="I119" s="21">
        <f t="shared" si="0"/>
        <v>0</v>
      </c>
      <c r="J119" s="22">
        <f>[1]SUMMARY!N120</f>
        <v>5070</v>
      </c>
      <c r="K119" s="23">
        <f t="shared" si="2"/>
        <v>0</v>
      </c>
      <c r="L119" s="8"/>
      <c r="M119" s="8"/>
    </row>
    <row r="120" spans="1:13" x14ac:dyDescent="0.2">
      <c r="A120" s="17" t="str">
        <f>[1]SUMMARY!A121</f>
        <v>265</v>
      </c>
      <c r="B120" s="17">
        <f>[1]SUMMARY!B121</f>
        <v>65</v>
      </c>
      <c r="C120" s="17">
        <f>[1]SUMMARY!C121</f>
        <v>17</v>
      </c>
      <c r="D120" s="25" t="str">
        <f>[1]SUMMARY!D121</f>
        <v>ACHILLES (IDN)</v>
      </c>
      <c r="E120" s="25" t="str">
        <f>[1]SUMMARY!E121</f>
        <v>DESSERT HAWK A/T</v>
      </c>
      <c r="F120" s="20"/>
      <c r="G120" s="20">
        <v>9</v>
      </c>
      <c r="H120" s="20">
        <v>9</v>
      </c>
      <c r="I120" s="21">
        <f t="shared" si="0"/>
        <v>0</v>
      </c>
      <c r="J120" s="22">
        <f>[1]SUMMARY!N121</f>
        <v>5780</v>
      </c>
      <c r="K120" s="23">
        <f t="shared" si="2"/>
        <v>0</v>
      </c>
      <c r="L120" s="8"/>
      <c r="M120" s="8"/>
    </row>
    <row r="121" spans="1:13" x14ac:dyDescent="0.2">
      <c r="A121" s="17" t="str">
        <f>[1]SUMMARY!A122</f>
        <v>265</v>
      </c>
      <c r="B121" s="17">
        <f>[1]SUMMARY!B122</f>
        <v>70</v>
      </c>
      <c r="C121" s="17">
        <f>[1]SUMMARY!C122</f>
        <v>17</v>
      </c>
      <c r="D121" s="25" t="str">
        <f>[1]SUMMARY!D122</f>
        <v>ACHILLES (IDN)</v>
      </c>
      <c r="E121" s="25" t="str">
        <f>[1]SUMMARY!E122</f>
        <v>DESERT HAWK H/T 2</v>
      </c>
      <c r="F121" s="20">
        <v>8</v>
      </c>
      <c r="G121" s="20">
        <v>8</v>
      </c>
      <c r="H121" s="20">
        <v>16</v>
      </c>
      <c r="I121" s="21">
        <f t="shared" si="0"/>
        <v>0</v>
      </c>
      <c r="J121" s="22">
        <f>[1]SUMMARY!N122</f>
        <v>4490</v>
      </c>
      <c r="K121" s="23">
        <f t="shared" si="2"/>
        <v>0</v>
      </c>
      <c r="L121" s="8"/>
      <c r="M121" s="8"/>
    </row>
    <row r="122" spans="1:13" x14ac:dyDescent="0.2">
      <c r="A122" s="17" t="str">
        <f>[1]SUMMARY!A123</f>
        <v>265</v>
      </c>
      <c r="B122" s="17">
        <f>[1]SUMMARY!B123</f>
        <v>70</v>
      </c>
      <c r="C122" s="17">
        <f>[1]SUMMARY!C123</f>
        <v>17</v>
      </c>
      <c r="D122" s="25" t="str">
        <f>[1]SUMMARY!D123</f>
        <v>ACHILLES (IDN)</v>
      </c>
      <c r="E122" s="25" t="str">
        <f>[1]SUMMARY!E123</f>
        <v>DESERT HAWK X-MT</v>
      </c>
      <c r="F122" s="20"/>
      <c r="G122" s="20">
        <v>4</v>
      </c>
      <c r="H122" s="20">
        <v>4</v>
      </c>
      <c r="I122" s="21">
        <f t="shared" si="0"/>
        <v>0</v>
      </c>
      <c r="J122" s="22">
        <f>[1]SUMMARY!N123</f>
        <v>7260</v>
      </c>
      <c r="K122" s="23">
        <f t="shared" si="2"/>
        <v>0</v>
      </c>
      <c r="L122" s="8"/>
      <c r="M122" s="8"/>
    </row>
    <row r="123" spans="1:13" x14ac:dyDescent="0.2">
      <c r="A123" s="17" t="str">
        <f>[1]SUMMARY!A124</f>
        <v>285</v>
      </c>
      <c r="B123" s="17">
        <f>[1]SUMMARY!B124</f>
        <v>70</v>
      </c>
      <c r="C123" s="17">
        <f>[1]SUMMARY!C124</f>
        <v>17</v>
      </c>
      <c r="D123" s="25" t="str">
        <f>[1]SUMMARY!D124</f>
        <v>ACHILLES (IDN)</v>
      </c>
      <c r="E123" s="25" t="str">
        <f>[1]SUMMARY!E124</f>
        <v>DESERT HAWK A/T 2</v>
      </c>
      <c r="F123" s="20">
        <v>4</v>
      </c>
      <c r="G123" s="20"/>
      <c r="H123" s="20">
        <v>4</v>
      </c>
      <c r="I123" s="21">
        <f t="shared" si="0"/>
        <v>0</v>
      </c>
      <c r="J123" s="22">
        <f>[1]SUMMARY!N124</f>
        <v>6250</v>
      </c>
      <c r="K123" s="23">
        <f t="shared" si="2"/>
        <v>0</v>
      </c>
      <c r="L123" s="8"/>
      <c r="M123" s="8"/>
    </row>
    <row r="124" spans="1:13" x14ac:dyDescent="0.2">
      <c r="A124" s="17" t="str">
        <f>[1]SUMMARY!A125</f>
        <v>225</v>
      </c>
      <c r="B124" s="17">
        <f>[1]SUMMARY!B125</f>
        <v>40</v>
      </c>
      <c r="C124" s="17">
        <f>[1]SUMMARY!C125</f>
        <v>18</v>
      </c>
      <c r="D124" s="25" t="str">
        <f>[1]SUMMARY!D125</f>
        <v>ACHILLES (IDN)</v>
      </c>
      <c r="E124" s="25">
        <f>[1]SUMMARY!E125</f>
        <v>2233</v>
      </c>
      <c r="F124" s="20"/>
      <c r="G124" s="20">
        <v>10</v>
      </c>
      <c r="H124" s="20">
        <v>10</v>
      </c>
      <c r="I124" s="21">
        <f t="shared" si="0"/>
        <v>0</v>
      </c>
      <c r="J124" s="22">
        <f>[1]SUMMARY!N125</f>
        <v>3650</v>
      </c>
      <c r="K124" s="23">
        <f t="shared" si="2"/>
        <v>0</v>
      </c>
      <c r="L124" s="8"/>
      <c r="M124" s="8"/>
    </row>
    <row r="125" spans="1:13" x14ac:dyDescent="0.2">
      <c r="A125" s="17" t="str">
        <f>[1]SUMMARY!A126</f>
        <v>225</v>
      </c>
      <c r="B125" s="17">
        <f>[1]SUMMARY!B126</f>
        <v>45</v>
      </c>
      <c r="C125" s="17">
        <f>[1]SUMMARY!C126</f>
        <v>18</v>
      </c>
      <c r="D125" s="25" t="str">
        <f>[1]SUMMARY!D126</f>
        <v>ACHILLES (IDN)</v>
      </c>
      <c r="E125" s="25" t="str">
        <f>[1]SUMMARY!E126</f>
        <v>ATR2</v>
      </c>
      <c r="F125" s="20">
        <v>4</v>
      </c>
      <c r="G125" s="20">
        <v>4</v>
      </c>
      <c r="H125" s="20">
        <v>8</v>
      </c>
      <c r="I125" s="21">
        <f t="shared" si="0"/>
        <v>0</v>
      </c>
      <c r="J125" s="22">
        <f>[1]SUMMARY!N126</f>
        <v>3200</v>
      </c>
      <c r="K125" s="23">
        <f t="shared" si="2"/>
        <v>0</v>
      </c>
      <c r="L125" s="8"/>
      <c r="M125" s="8"/>
    </row>
    <row r="126" spans="1:13" x14ac:dyDescent="0.2">
      <c r="A126" s="17" t="str">
        <f>[1]SUMMARY!A127</f>
        <v>235</v>
      </c>
      <c r="B126" s="17">
        <f>[1]SUMMARY!B127</f>
        <v>55</v>
      </c>
      <c r="C126" s="17">
        <f>[1]SUMMARY!C127</f>
        <v>18</v>
      </c>
      <c r="D126" s="25" t="str">
        <f>[1]SUMMARY!D127</f>
        <v>ACHILLES (IDN)</v>
      </c>
      <c r="E126" s="25" t="str">
        <f>[1]SUMMARY!E127</f>
        <v>DESERT HAWK H/T2</v>
      </c>
      <c r="F126" s="20">
        <v>3</v>
      </c>
      <c r="G126" s="20">
        <v>2</v>
      </c>
      <c r="H126" s="20">
        <v>5</v>
      </c>
      <c r="I126" s="21">
        <f t="shared" si="0"/>
        <v>0</v>
      </c>
      <c r="J126" s="22">
        <f>[1]SUMMARY!N127</f>
        <v>4130</v>
      </c>
      <c r="K126" s="23">
        <f t="shared" si="2"/>
        <v>0</v>
      </c>
      <c r="L126" s="8"/>
      <c r="M126" s="8"/>
    </row>
    <row r="127" spans="1:13" x14ac:dyDescent="0.2">
      <c r="A127" s="17" t="str">
        <f>[1]SUMMARY!A128</f>
        <v>265</v>
      </c>
      <c r="B127" s="17">
        <f>[1]SUMMARY!B128</f>
        <v>60</v>
      </c>
      <c r="C127" s="17">
        <f>[1]SUMMARY!C128</f>
        <v>18</v>
      </c>
      <c r="D127" s="25" t="str">
        <f>[1]SUMMARY!D128</f>
        <v>ACHILLES (IDN)</v>
      </c>
      <c r="E127" s="25" t="str">
        <f>[1]SUMMARY!E128</f>
        <v>DESERT HAWK XMT</v>
      </c>
      <c r="F127" s="20"/>
      <c r="G127" s="20">
        <v>8</v>
      </c>
      <c r="H127" s="20">
        <v>8</v>
      </c>
      <c r="I127" s="21">
        <f t="shared" si="0"/>
        <v>0</v>
      </c>
      <c r="J127" s="22">
        <f>[1]SUMMARY!N128</f>
        <v>7890</v>
      </c>
      <c r="K127" s="23">
        <f t="shared" si="2"/>
        <v>0</v>
      </c>
      <c r="L127" s="8"/>
      <c r="M127" s="8"/>
    </row>
    <row r="128" spans="1:13" x14ac:dyDescent="0.2">
      <c r="A128" s="27" t="str">
        <f>[1]SUMMARY!A129</f>
        <v>285</v>
      </c>
      <c r="B128" s="17">
        <f>[1]SUMMARY!B129</f>
        <v>60</v>
      </c>
      <c r="C128" s="17">
        <f>[1]SUMMARY!C129</f>
        <v>18</v>
      </c>
      <c r="D128" s="25" t="str">
        <f>[1]SUMMARY!D129</f>
        <v>ACHILLES (IDN)</v>
      </c>
      <c r="E128" s="25" t="str">
        <f>[1]SUMMARY!E129</f>
        <v>XMT</v>
      </c>
      <c r="F128" s="20"/>
      <c r="G128" s="20">
        <v>4</v>
      </c>
      <c r="H128" s="20">
        <v>4</v>
      </c>
      <c r="I128" s="21">
        <f t="shared" si="0"/>
        <v>0</v>
      </c>
      <c r="J128" s="22">
        <f>[1]SUMMARY!N129</f>
        <v>7460</v>
      </c>
      <c r="K128" s="23">
        <f t="shared" si="2"/>
        <v>0</v>
      </c>
      <c r="L128" s="8"/>
      <c r="M128" s="8"/>
    </row>
    <row r="129" spans="1:13" x14ac:dyDescent="0.2">
      <c r="A129" s="17" t="str">
        <f>[1]SUMMARY!A130</f>
        <v>33</v>
      </c>
      <c r="B129" s="27" t="str">
        <f>[1]SUMMARY!B130</f>
        <v>12.5</v>
      </c>
      <c r="C129" s="17">
        <f>[1]SUMMARY!C130</f>
        <v>20</v>
      </c>
      <c r="D129" s="25" t="str">
        <f>[1]SUMMARY!D130</f>
        <v>ACHILLES (IDN)</v>
      </c>
      <c r="E129" s="25" t="str">
        <f>[1]SUMMARY!E130</f>
        <v>DESERT HAWK XMT</v>
      </c>
      <c r="F129" s="20">
        <v>4</v>
      </c>
      <c r="G129" s="20"/>
      <c r="H129" s="20">
        <v>4</v>
      </c>
      <c r="I129" s="21">
        <f t="shared" si="0"/>
        <v>0</v>
      </c>
      <c r="J129" s="22">
        <f>[1]SUMMARY!N130</f>
        <v>10310</v>
      </c>
      <c r="K129" s="23">
        <f t="shared" si="2"/>
        <v>0</v>
      </c>
      <c r="L129" s="8"/>
      <c r="M129" s="8"/>
    </row>
    <row r="130" spans="1:13" x14ac:dyDescent="0.2">
      <c r="A130" s="17" t="str">
        <f>[1]SUMMARY!A131</f>
        <v>275</v>
      </c>
      <c r="B130" s="17">
        <f>[1]SUMMARY!B131</f>
        <v>40</v>
      </c>
      <c r="C130" s="17">
        <f>[1]SUMMARY!C131</f>
        <v>20</v>
      </c>
      <c r="D130" s="25" t="str">
        <f>[1]SUMMARY!D131</f>
        <v>ACHILLES (IDN)</v>
      </c>
      <c r="E130" s="25" t="str">
        <f>[1]SUMMARY!E131</f>
        <v>DESERT HAWK UHP</v>
      </c>
      <c r="F130" s="20"/>
      <c r="G130" s="20"/>
      <c r="H130" s="20"/>
      <c r="I130" s="21">
        <f t="shared" si="0"/>
        <v>0</v>
      </c>
      <c r="J130" s="22">
        <f>[1]SUMMARY!N131</f>
        <v>6190</v>
      </c>
      <c r="K130" s="23">
        <f t="shared" si="2"/>
        <v>0</v>
      </c>
      <c r="L130" s="8"/>
      <c r="M130" s="8"/>
    </row>
    <row r="131" spans="1:13" x14ac:dyDescent="0.2">
      <c r="A131" s="17">
        <f>[1]SUMMARY!A132</f>
        <v>265</v>
      </c>
      <c r="B131" s="17">
        <f>[1]SUMMARY!B132</f>
        <v>50</v>
      </c>
      <c r="C131" s="17">
        <f>[1]SUMMARY!C132</f>
        <v>20</v>
      </c>
      <c r="D131" s="25" t="str">
        <f>[1]SUMMARY!D132</f>
        <v>ACHILLES (IDN)</v>
      </c>
      <c r="E131" s="25" t="str">
        <f>[1]SUMMARY!E132</f>
        <v>DEESRT HAWK UHP H/T</v>
      </c>
      <c r="F131" s="20"/>
      <c r="G131" s="20">
        <v>17</v>
      </c>
      <c r="H131" s="20">
        <v>17</v>
      </c>
      <c r="I131" s="21">
        <f t="shared" si="0"/>
        <v>0</v>
      </c>
      <c r="J131" s="22">
        <f>[1]SUMMARY!N132</f>
        <v>5310</v>
      </c>
      <c r="K131" s="23">
        <f t="shared" si="2"/>
        <v>0</v>
      </c>
      <c r="L131" s="8"/>
      <c r="M131" s="8"/>
    </row>
    <row r="132" spans="1:13" x14ac:dyDescent="0.2">
      <c r="A132" s="17" t="str">
        <f>[1]SUMMARY!A133</f>
        <v>265</v>
      </c>
      <c r="B132" s="17">
        <f>[1]SUMMARY!B133</f>
        <v>50</v>
      </c>
      <c r="C132" s="17">
        <f>[1]SUMMARY!C133</f>
        <v>20</v>
      </c>
      <c r="D132" s="25" t="str">
        <f>[1]SUMMARY!D133</f>
        <v>ACHILLES (IDN)</v>
      </c>
      <c r="E132" s="25" t="str">
        <f>[1]SUMMARY!E133</f>
        <v>DESSERT HAWK A/T 2</v>
      </c>
      <c r="F132" s="20"/>
      <c r="G132" s="20">
        <v>22</v>
      </c>
      <c r="H132" s="20">
        <v>22</v>
      </c>
      <c r="I132" s="21">
        <f t="shared" si="0"/>
        <v>0</v>
      </c>
      <c r="J132" s="22">
        <f>[1]SUMMARY!N133</f>
        <v>5480</v>
      </c>
      <c r="K132" s="23">
        <f t="shared" si="2"/>
        <v>0</v>
      </c>
      <c r="L132" s="8"/>
      <c r="M132" s="8"/>
    </row>
    <row r="133" spans="1:13" x14ac:dyDescent="0.2">
      <c r="A133" s="17" t="str">
        <f>[1]SUMMARY!A134</f>
        <v>265</v>
      </c>
      <c r="B133" s="17">
        <f>[1]SUMMARY!B134</f>
        <v>50</v>
      </c>
      <c r="C133" s="17">
        <f>[1]SUMMARY!C134</f>
        <v>20</v>
      </c>
      <c r="D133" s="25" t="str">
        <f>[1]SUMMARY!D134</f>
        <v>ACHILLES (IDN)</v>
      </c>
      <c r="E133" s="25" t="str">
        <f>[1]SUMMARY!E134</f>
        <v>DESERT HAWK XMT</v>
      </c>
      <c r="F133" s="20"/>
      <c r="G133" s="20">
        <v>8</v>
      </c>
      <c r="H133" s="20">
        <v>8</v>
      </c>
      <c r="I133" s="21">
        <f t="shared" si="0"/>
        <v>0</v>
      </c>
      <c r="J133" s="22">
        <f>[1]SUMMARY!N134</f>
        <v>7340</v>
      </c>
      <c r="K133" s="23">
        <f t="shared" si="2"/>
        <v>0</v>
      </c>
      <c r="L133" s="8"/>
      <c r="M133" s="8"/>
    </row>
    <row r="134" spans="1:13" x14ac:dyDescent="0.2">
      <c r="A134" s="17" t="str">
        <f>[1]SUMMARY!A135</f>
        <v>285</v>
      </c>
      <c r="B134" s="17">
        <f>[1]SUMMARY!B135</f>
        <v>50</v>
      </c>
      <c r="C134" s="17">
        <f>[1]SUMMARY!C135</f>
        <v>20</v>
      </c>
      <c r="D134" s="25" t="str">
        <f>[1]SUMMARY!D135</f>
        <v>ACHILLES (IDN)</v>
      </c>
      <c r="E134" s="25" t="str">
        <f>[1]SUMMARY!E135</f>
        <v>DESERT HAWK UHP</v>
      </c>
      <c r="F134" s="20"/>
      <c r="G134" s="20">
        <v>4</v>
      </c>
      <c r="H134" s="20">
        <v>4</v>
      </c>
      <c r="I134" s="21">
        <f t="shared" si="0"/>
        <v>0</v>
      </c>
      <c r="J134" s="22">
        <f>[1]SUMMARY!N135</f>
        <v>6310</v>
      </c>
      <c r="K134" s="23">
        <f t="shared" si="2"/>
        <v>0</v>
      </c>
      <c r="L134" s="8"/>
      <c r="M134" s="8"/>
    </row>
    <row r="135" spans="1:13" x14ac:dyDescent="0.2">
      <c r="A135" s="17" t="str">
        <f>[1]SUMMARY!A136</f>
        <v>275</v>
      </c>
      <c r="B135" s="17">
        <f>[1]SUMMARY!B136</f>
        <v>55</v>
      </c>
      <c r="C135" s="17">
        <f>[1]SUMMARY!C136</f>
        <v>20</v>
      </c>
      <c r="D135" s="25" t="str">
        <f>[1]SUMMARY!D136</f>
        <v>ACHILLES (IDN)</v>
      </c>
      <c r="E135" s="25" t="str">
        <f>[1]SUMMARY!E136</f>
        <v>DEESRT HAWK UHP H/T</v>
      </c>
      <c r="F135" s="20">
        <v>4</v>
      </c>
      <c r="G135" s="20">
        <v>2</v>
      </c>
      <c r="H135" s="20">
        <v>6</v>
      </c>
      <c r="I135" s="21">
        <f t="shared" si="0"/>
        <v>0</v>
      </c>
      <c r="J135" s="22">
        <f>[1]SUMMARY!N136</f>
        <v>6080</v>
      </c>
      <c r="K135" s="23">
        <f t="shared" si="2"/>
        <v>0</v>
      </c>
      <c r="L135" s="8"/>
      <c r="M135" s="8"/>
    </row>
    <row r="136" spans="1:13" x14ac:dyDescent="0.2">
      <c r="A136" s="17" t="str">
        <f>[1]SUMMARY!A137</f>
        <v>285</v>
      </c>
      <c r="B136" s="17">
        <f>[1]SUMMARY!B137</f>
        <v>35</v>
      </c>
      <c r="C136" s="17">
        <f>[1]SUMMARY!C137</f>
        <v>22</v>
      </c>
      <c r="D136" s="25" t="str">
        <f>[1]SUMMARY!D137</f>
        <v>ACHILLES (IDN)</v>
      </c>
      <c r="E136" s="25" t="str">
        <f>[1]SUMMARY!E137</f>
        <v>DESERT HAWK UHP</v>
      </c>
      <c r="F136" s="20"/>
      <c r="G136" s="20"/>
      <c r="H136" s="20"/>
      <c r="I136" s="21">
        <f t="shared" si="0"/>
        <v>0</v>
      </c>
      <c r="J136" s="22">
        <f>[1]SUMMARY!N137</f>
        <v>4972</v>
      </c>
      <c r="K136" s="23">
        <f t="shared" si="2"/>
        <v>0</v>
      </c>
      <c r="L136" s="28">
        <f>SUM(K85:K136)</f>
        <v>0</v>
      </c>
      <c r="M136" s="29" t="s">
        <v>13</v>
      </c>
    </row>
    <row r="137" spans="1:13" x14ac:dyDescent="0.2">
      <c r="A137" s="17">
        <f>[1]SUMMARY!A138</f>
        <v>175</v>
      </c>
      <c r="B137" s="17">
        <f>[1]SUMMARY!B138</f>
        <v>65</v>
      </c>
      <c r="C137" s="17">
        <f>[1]SUMMARY!C138</f>
        <v>14</v>
      </c>
      <c r="D137" s="25" t="str">
        <f>[1]SUMMARY!D138</f>
        <v>ALLIANCE</v>
      </c>
      <c r="E137" s="25">
        <f>[1]SUMMARY!E138</f>
        <v>0</v>
      </c>
      <c r="F137" s="20"/>
      <c r="G137" s="20">
        <v>105</v>
      </c>
      <c r="H137" s="20">
        <v>105</v>
      </c>
      <c r="I137" s="21">
        <f t="shared" si="0"/>
        <v>0</v>
      </c>
      <c r="J137" s="22">
        <f>[1]SUMMARY!N138</f>
        <v>1600</v>
      </c>
      <c r="K137" s="23">
        <f t="shared" si="2"/>
        <v>0</v>
      </c>
      <c r="L137" s="8"/>
      <c r="M137" s="8"/>
    </row>
    <row r="138" spans="1:13" x14ac:dyDescent="0.2">
      <c r="A138" s="17">
        <f>[1]SUMMARY!A139</f>
        <v>185</v>
      </c>
      <c r="B138" s="17">
        <f>[1]SUMMARY!B139</f>
        <v>65</v>
      </c>
      <c r="C138" s="17">
        <f>[1]SUMMARY!C139</f>
        <v>14</v>
      </c>
      <c r="D138" s="25" t="str">
        <f>[1]SUMMARY!D139</f>
        <v>ALLIANCE</v>
      </c>
      <c r="E138" s="25">
        <f>[1]SUMMARY!E139</f>
        <v>0</v>
      </c>
      <c r="F138" s="20"/>
      <c r="G138" s="20">
        <v>111</v>
      </c>
      <c r="H138" s="20">
        <v>111</v>
      </c>
      <c r="I138" s="21">
        <f t="shared" si="0"/>
        <v>0</v>
      </c>
      <c r="J138" s="22">
        <f>[1]SUMMARY!N139</f>
        <v>1800</v>
      </c>
      <c r="K138" s="23">
        <f t="shared" si="2"/>
        <v>0</v>
      </c>
      <c r="L138" s="8"/>
      <c r="M138" s="8"/>
    </row>
    <row r="139" spans="1:13" x14ac:dyDescent="0.2">
      <c r="A139" s="17">
        <f>[1]SUMMARY!A140</f>
        <v>175</v>
      </c>
      <c r="B139" s="17">
        <f>[1]SUMMARY!B140</f>
        <v>70</v>
      </c>
      <c r="C139" s="17">
        <f>[1]SUMMARY!C140</f>
        <v>14</v>
      </c>
      <c r="D139" s="25" t="str">
        <f>[1]SUMMARY!D140</f>
        <v>ALLIANCE</v>
      </c>
      <c r="E139" s="25">
        <f>[1]SUMMARY!E140</f>
        <v>0</v>
      </c>
      <c r="F139" s="20"/>
      <c r="G139" s="20">
        <v>20</v>
      </c>
      <c r="H139" s="20">
        <v>20</v>
      </c>
      <c r="I139" s="21">
        <f t="shared" si="0"/>
        <v>0</v>
      </c>
      <c r="J139" s="22">
        <f>[1]SUMMARY!N140</f>
        <v>1900</v>
      </c>
      <c r="K139" s="23">
        <f t="shared" si="2"/>
        <v>0</v>
      </c>
      <c r="L139" s="8"/>
      <c r="M139" s="8"/>
    </row>
    <row r="140" spans="1:13" x14ac:dyDescent="0.2">
      <c r="A140" s="17">
        <f>[1]SUMMARY!A141</f>
        <v>185</v>
      </c>
      <c r="B140" s="17">
        <f>[1]SUMMARY!B141</f>
        <v>60</v>
      </c>
      <c r="C140" s="17">
        <f>[1]SUMMARY!C141</f>
        <v>15</v>
      </c>
      <c r="D140" s="25" t="str">
        <f>[1]SUMMARY!D141</f>
        <v>ALLIANCE</v>
      </c>
      <c r="E140" s="25">
        <f>[1]SUMMARY!E141</f>
        <v>0</v>
      </c>
      <c r="F140" s="20"/>
      <c r="G140" s="20">
        <v>163</v>
      </c>
      <c r="H140" s="20">
        <v>163</v>
      </c>
      <c r="I140" s="21">
        <f t="shared" si="0"/>
        <v>0</v>
      </c>
      <c r="J140" s="22">
        <f>[1]SUMMARY!N141</f>
        <v>1850</v>
      </c>
      <c r="K140" s="23">
        <f t="shared" si="2"/>
        <v>0</v>
      </c>
      <c r="L140" s="8"/>
      <c r="M140" s="8"/>
    </row>
    <row r="141" spans="1:13" x14ac:dyDescent="0.2">
      <c r="A141" s="17">
        <f>[1]SUMMARY!A142</f>
        <v>195</v>
      </c>
      <c r="B141" s="17">
        <f>[1]SUMMARY!B142</f>
        <v>50</v>
      </c>
      <c r="C141" s="17">
        <f>[1]SUMMARY!C142</f>
        <v>15</v>
      </c>
      <c r="D141" s="25" t="str">
        <f>[1]SUMMARY!D142</f>
        <v>ALLIANCE (JP)</v>
      </c>
      <c r="E141" s="25" t="str">
        <f>[1]SUMMARY!E142</f>
        <v>AL30 (JP)</v>
      </c>
      <c r="F141" s="20">
        <v>8</v>
      </c>
      <c r="G141" s="20">
        <v>12</v>
      </c>
      <c r="H141" s="20">
        <v>20</v>
      </c>
      <c r="I141" s="21">
        <f t="shared" si="0"/>
        <v>0</v>
      </c>
      <c r="J141" s="22">
        <f>[1]SUMMARY!N142</f>
        <v>2688</v>
      </c>
      <c r="K141" s="23">
        <f t="shared" si="2"/>
        <v>0</v>
      </c>
      <c r="L141" s="28">
        <f>SUM(K137:K141)</f>
        <v>0</v>
      </c>
      <c r="M141" s="29" t="s">
        <v>14</v>
      </c>
    </row>
    <row r="142" spans="1:13" x14ac:dyDescent="0.2">
      <c r="A142" s="17">
        <f>[1]SUMMARY!A143</f>
        <v>185</v>
      </c>
      <c r="B142" s="17">
        <f>[1]SUMMARY!B143</f>
        <v>70</v>
      </c>
      <c r="C142" s="17">
        <f>[1]SUMMARY!C143</f>
        <v>13</v>
      </c>
      <c r="D142" s="25" t="str">
        <f>[1]SUMMARY!D143</f>
        <v>APOLLO (INDIA)</v>
      </c>
      <c r="E142" s="25" t="str">
        <f>[1]SUMMARY!E143</f>
        <v>ALNAC</v>
      </c>
      <c r="F142" s="20"/>
      <c r="G142" s="20">
        <v>11</v>
      </c>
      <c r="H142" s="20">
        <v>11</v>
      </c>
      <c r="I142" s="30">
        <f t="shared" si="0"/>
        <v>0</v>
      </c>
      <c r="J142" s="22">
        <f>[1]SUMMARY!N143</f>
        <v>2188.02</v>
      </c>
      <c r="K142" s="23">
        <f t="shared" si="2"/>
        <v>0</v>
      </c>
      <c r="L142" s="8"/>
      <c r="M142" s="8"/>
    </row>
    <row r="143" spans="1:13" x14ac:dyDescent="0.2">
      <c r="A143" s="17">
        <f>[1]SUMMARY!A144</f>
        <v>185</v>
      </c>
      <c r="B143" s="17">
        <f>[1]SUMMARY!B144</f>
        <v>70</v>
      </c>
      <c r="C143" s="17">
        <f>[1]SUMMARY!C144</f>
        <v>13</v>
      </c>
      <c r="D143" s="25" t="str">
        <f>[1]SUMMARY!D144</f>
        <v>APOLLO (INDIA)</v>
      </c>
      <c r="E143" s="25" t="str">
        <f>[1]SUMMARY!E144</f>
        <v>AMAZER XP</v>
      </c>
      <c r="F143" s="20"/>
      <c r="G143" s="20">
        <v>16</v>
      </c>
      <c r="H143" s="20">
        <v>11</v>
      </c>
      <c r="I143" s="24">
        <f t="shared" si="0"/>
        <v>5</v>
      </c>
      <c r="J143" s="22">
        <f>[1]SUMMARY!N144</f>
        <v>2141.96</v>
      </c>
      <c r="K143" s="23">
        <f t="shared" si="2"/>
        <v>10709.8</v>
      </c>
      <c r="L143" s="8"/>
      <c r="M143" s="8"/>
    </row>
    <row r="144" spans="1:13" x14ac:dyDescent="0.2">
      <c r="A144" s="17">
        <f>[1]SUMMARY!A145</f>
        <v>185</v>
      </c>
      <c r="B144" s="17">
        <f>[1]SUMMARY!B145</f>
        <v>0</v>
      </c>
      <c r="C144" s="17" t="str">
        <f>[1]SUMMARY!C145</f>
        <v>14C</v>
      </c>
      <c r="D144" s="25" t="str">
        <f>[1]SUMMARY!D145</f>
        <v>APOLLO (INDIA)</v>
      </c>
      <c r="E144" s="25" t="str">
        <f>[1]SUMMARY!E145</f>
        <v>ALTRUST GRIP</v>
      </c>
      <c r="F144" s="20"/>
      <c r="G144" s="20">
        <v>101</v>
      </c>
      <c r="H144" s="20">
        <v>77</v>
      </c>
      <c r="I144" s="24">
        <f t="shared" si="0"/>
        <v>24</v>
      </c>
      <c r="J144" s="22">
        <f>[1]SUMMARY!N145</f>
        <v>3086.55</v>
      </c>
      <c r="K144" s="23">
        <f t="shared" si="2"/>
        <v>74077.200000000012</v>
      </c>
      <c r="L144" s="8"/>
      <c r="M144" s="8"/>
    </row>
    <row r="145" spans="1:13" x14ac:dyDescent="0.2">
      <c r="A145" s="17">
        <f>[1]SUMMARY!A146</f>
        <v>175</v>
      </c>
      <c r="B145" s="17">
        <f>[1]SUMMARY!B146</f>
        <v>65</v>
      </c>
      <c r="C145" s="17">
        <f>[1]SUMMARY!C146</f>
        <v>14</v>
      </c>
      <c r="D145" s="25" t="str">
        <f>[1]SUMMARY!D146</f>
        <v>APOLLO (INDIA)</v>
      </c>
      <c r="E145" s="25" t="str">
        <f>[1]SUMMARY!E146</f>
        <v>AMAZER 3G</v>
      </c>
      <c r="F145" s="20"/>
      <c r="G145" s="20">
        <v>86</v>
      </c>
      <c r="H145" s="20">
        <v>86</v>
      </c>
      <c r="I145" s="30">
        <f t="shared" si="0"/>
        <v>0</v>
      </c>
      <c r="J145" s="22">
        <f>[1]SUMMARY!N146</f>
        <v>2126.29</v>
      </c>
      <c r="K145" s="23">
        <f t="shared" si="2"/>
        <v>0</v>
      </c>
      <c r="L145" s="8"/>
      <c r="M145" s="8"/>
    </row>
    <row r="146" spans="1:13" x14ac:dyDescent="0.2">
      <c r="A146" s="17">
        <f>[1]SUMMARY!A147</f>
        <v>175</v>
      </c>
      <c r="B146" s="17">
        <f>[1]SUMMARY!B147</f>
        <v>65</v>
      </c>
      <c r="C146" s="17">
        <f>[1]SUMMARY!C147</f>
        <v>14</v>
      </c>
      <c r="D146" s="25" t="str">
        <f>[1]SUMMARY!D147</f>
        <v>APOLLO (INDIA)</v>
      </c>
      <c r="E146" s="25" t="str">
        <f>[1]SUMMARY!E147</f>
        <v>AMAZER XP</v>
      </c>
      <c r="F146" s="20"/>
      <c r="G146" s="20">
        <v>59</v>
      </c>
      <c r="H146" s="20">
        <v>57</v>
      </c>
      <c r="I146" s="24">
        <f t="shared" si="0"/>
        <v>2</v>
      </c>
      <c r="J146" s="22">
        <f>[1]SUMMARY!N147</f>
        <v>2126.29</v>
      </c>
      <c r="K146" s="23">
        <f t="shared" si="2"/>
        <v>4252.58</v>
      </c>
      <c r="L146" s="8"/>
      <c r="M146" s="8"/>
    </row>
    <row r="147" spans="1:13" x14ac:dyDescent="0.2">
      <c r="A147" s="17">
        <f>[1]SUMMARY!A148</f>
        <v>185</v>
      </c>
      <c r="B147" s="17">
        <f>[1]SUMMARY!B148</f>
        <v>65</v>
      </c>
      <c r="C147" s="17">
        <f>[1]SUMMARY!C148</f>
        <v>14</v>
      </c>
      <c r="D147" s="25" t="str">
        <f>[1]SUMMARY!D148</f>
        <v>APOLLO (INDIA)</v>
      </c>
      <c r="E147" s="25" t="str">
        <f>[1]SUMMARY!E148</f>
        <v>ALNAC 4G</v>
      </c>
      <c r="F147" s="20"/>
      <c r="G147" s="20">
        <v>30</v>
      </c>
      <c r="H147" s="20">
        <v>30</v>
      </c>
      <c r="I147" s="24">
        <f t="shared" si="0"/>
        <v>0</v>
      </c>
      <c r="J147" s="22">
        <f>[1]SUMMARY!N148</f>
        <v>2297.7600000000002</v>
      </c>
      <c r="K147" s="23">
        <f t="shared" si="2"/>
        <v>0</v>
      </c>
      <c r="L147" s="8"/>
      <c r="M147" s="8"/>
    </row>
    <row r="148" spans="1:13" x14ac:dyDescent="0.2">
      <c r="A148" s="17">
        <f>[1]SUMMARY!A149</f>
        <v>175</v>
      </c>
      <c r="B148" s="17">
        <f>[1]SUMMARY!B149</f>
        <v>70</v>
      </c>
      <c r="C148" s="17">
        <f>[1]SUMMARY!C149</f>
        <v>14</v>
      </c>
      <c r="D148" s="25" t="str">
        <f>[1]SUMMARY!D149</f>
        <v>APOLLO (INDIA)</v>
      </c>
      <c r="E148" s="25" t="str">
        <f>[1]SUMMARY!E149</f>
        <v>AMAZER 3G</v>
      </c>
      <c r="F148" s="20"/>
      <c r="G148" s="20">
        <v>15</v>
      </c>
      <c r="H148" s="20">
        <v>15</v>
      </c>
      <c r="I148" s="30">
        <f t="shared" si="0"/>
        <v>0</v>
      </c>
      <c r="J148" s="22">
        <f>[1]SUMMARY!N149</f>
        <v>2345.77</v>
      </c>
      <c r="K148" s="23">
        <f t="shared" si="2"/>
        <v>0</v>
      </c>
      <c r="L148" s="8"/>
      <c r="M148" s="8"/>
    </row>
    <row r="149" spans="1:13" x14ac:dyDescent="0.2">
      <c r="A149" s="17">
        <f>[1]SUMMARY!A150</f>
        <v>175</v>
      </c>
      <c r="B149" s="17">
        <f>[1]SUMMARY!B150</f>
        <v>70</v>
      </c>
      <c r="C149" s="17">
        <f>[1]SUMMARY!C150</f>
        <v>14</v>
      </c>
      <c r="D149" s="25" t="str">
        <f>[1]SUMMARY!D150</f>
        <v>APOLLO (INDIA)</v>
      </c>
      <c r="E149" s="25" t="str">
        <f>[1]SUMMARY!E150</f>
        <v>AMAZER XP</v>
      </c>
      <c r="F149" s="20"/>
      <c r="G149" s="20">
        <v>18</v>
      </c>
      <c r="H149" s="20">
        <v>18</v>
      </c>
      <c r="I149" s="24">
        <f t="shared" si="0"/>
        <v>0</v>
      </c>
      <c r="J149" s="22">
        <f>[1]SUMMARY!N150</f>
        <v>2345.77</v>
      </c>
      <c r="K149" s="23">
        <f t="shared" si="2"/>
        <v>0</v>
      </c>
      <c r="L149" s="8"/>
      <c r="M149" s="8"/>
    </row>
    <row r="150" spans="1:13" x14ac:dyDescent="0.2">
      <c r="A150" s="17">
        <f>[1]SUMMARY!A151</f>
        <v>185</v>
      </c>
      <c r="B150" s="17">
        <f>[1]SUMMARY!B151</f>
        <v>70</v>
      </c>
      <c r="C150" s="17">
        <f>[1]SUMMARY!C151</f>
        <v>14</v>
      </c>
      <c r="D150" s="25" t="str">
        <f>[1]SUMMARY!D151</f>
        <v>APOLLO (INDIA)</v>
      </c>
      <c r="E150" s="25" t="str">
        <f>[1]SUMMARY!E151</f>
        <v>AMAZER 3G</v>
      </c>
      <c r="F150" s="20"/>
      <c r="G150" s="20">
        <v>24</v>
      </c>
      <c r="H150" s="20">
        <v>24</v>
      </c>
      <c r="I150" s="30">
        <f t="shared" si="0"/>
        <v>0</v>
      </c>
      <c r="J150" s="22">
        <f>[1]SUMMARY!N151</f>
        <v>2414.37</v>
      </c>
      <c r="K150" s="23">
        <f t="shared" si="2"/>
        <v>0</v>
      </c>
      <c r="L150" s="8"/>
      <c r="M150" s="8"/>
    </row>
    <row r="151" spans="1:13" x14ac:dyDescent="0.2">
      <c r="A151" s="17">
        <f>[1]SUMMARY!A152</f>
        <v>185</v>
      </c>
      <c r="B151" s="17">
        <f>[1]SUMMARY!B152</f>
        <v>70</v>
      </c>
      <c r="C151" s="17">
        <f>[1]SUMMARY!C152</f>
        <v>14</v>
      </c>
      <c r="D151" s="25" t="str">
        <f>[1]SUMMARY!D152</f>
        <v>APOLLO (INDIA)</v>
      </c>
      <c r="E151" s="25" t="str">
        <f>[1]SUMMARY!E152</f>
        <v>AMAZER XP</v>
      </c>
      <c r="F151" s="20"/>
      <c r="G151" s="20"/>
      <c r="H151" s="20"/>
      <c r="I151" s="30">
        <f t="shared" si="0"/>
        <v>0</v>
      </c>
      <c r="J151" s="22">
        <f>[1]SUMMARY!N152</f>
        <v>2414.36</v>
      </c>
      <c r="K151" s="23">
        <f t="shared" si="2"/>
        <v>0</v>
      </c>
      <c r="L151" s="8"/>
      <c r="M151" s="8"/>
    </row>
    <row r="152" spans="1:13" x14ac:dyDescent="0.2">
      <c r="A152" s="17">
        <f>[1]SUMMARY!A153</f>
        <v>195</v>
      </c>
      <c r="B152" s="17">
        <f>[1]SUMMARY!B153</f>
        <v>0</v>
      </c>
      <c r="C152" s="17" t="str">
        <f>[1]SUMMARY!C153</f>
        <v>14C</v>
      </c>
      <c r="D152" s="25" t="str">
        <f>[1]SUMMARY!D153</f>
        <v>APOLLO (INDIA)</v>
      </c>
      <c r="E152" s="25" t="str">
        <f>[1]SUMMARY!E153</f>
        <v>ALTRUST GRIP</v>
      </c>
      <c r="F152" s="20"/>
      <c r="G152" s="20">
        <v>100</v>
      </c>
      <c r="H152" s="20">
        <v>88</v>
      </c>
      <c r="I152" s="24">
        <f t="shared" si="0"/>
        <v>12</v>
      </c>
      <c r="J152" s="22">
        <f>[1]SUMMARY!N153</f>
        <v>3285.46</v>
      </c>
      <c r="K152" s="23">
        <f t="shared" si="2"/>
        <v>39425.520000000004</v>
      </c>
      <c r="L152" s="8"/>
      <c r="M152" s="8"/>
    </row>
    <row r="153" spans="1:13" x14ac:dyDescent="0.2">
      <c r="A153" s="17">
        <f>[1]SUMMARY!A154</f>
        <v>195</v>
      </c>
      <c r="B153" s="17">
        <f>[1]SUMMARY!B154</f>
        <v>0</v>
      </c>
      <c r="C153" s="17" t="str">
        <f>[1]SUMMARY!C154</f>
        <v>15C</v>
      </c>
      <c r="D153" s="25" t="str">
        <f>[1]SUMMARY!D154</f>
        <v>APOLLO (INDIA)</v>
      </c>
      <c r="E153" s="25" t="str">
        <f>[1]SUMMARY!E154</f>
        <v>ALTRUST GRIP</v>
      </c>
      <c r="F153" s="20"/>
      <c r="G153" s="20">
        <v>162</v>
      </c>
      <c r="H153" s="20">
        <v>146</v>
      </c>
      <c r="I153" s="24">
        <f t="shared" si="0"/>
        <v>16</v>
      </c>
      <c r="J153" s="22">
        <f>[1]SUMMARY!N154</f>
        <v>3484.37</v>
      </c>
      <c r="K153" s="23">
        <f t="shared" si="2"/>
        <v>55749.919999999998</v>
      </c>
      <c r="L153" s="8" t="s">
        <v>12</v>
      </c>
      <c r="M153" s="8"/>
    </row>
    <row r="154" spans="1:13" x14ac:dyDescent="0.2">
      <c r="A154" s="17">
        <f>[1]SUMMARY!A155</f>
        <v>195</v>
      </c>
      <c r="B154" s="17">
        <f>[1]SUMMARY!B155</f>
        <v>50</v>
      </c>
      <c r="C154" s="17">
        <f>[1]SUMMARY!C155</f>
        <v>15</v>
      </c>
      <c r="D154" s="25" t="str">
        <f>[1]SUMMARY!D155</f>
        <v>APOLLO (INDIA)</v>
      </c>
      <c r="E154" s="25" t="str">
        <f>[1]SUMMARY!E155</f>
        <v>ALNAC 4G</v>
      </c>
      <c r="F154" s="20"/>
      <c r="G154" s="20">
        <v>10</v>
      </c>
      <c r="H154" s="20">
        <v>6</v>
      </c>
      <c r="I154" s="24">
        <f t="shared" si="0"/>
        <v>4</v>
      </c>
      <c r="J154" s="22">
        <f>[1]SUMMARY!N155</f>
        <v>2839.62</v>
      </c>
      <c r="K154" s="23">
        <f t="shared" si="2"/>
        <v>11358.48</v>
      </c>
      <c r="L154" s="8"/>
      <c r="M154" s="8"/>
    </row>
    <row r="155" spans="1:13" x14ac:dyDescent="0.2">
      <c r="A155" s="17">
        <f>[1]SUMMARY!A156</f>
        <v>185</v>
      </c>
      <c r="B155" s="17">
        <f>[1]SUMMARY!B156</f>
        <v>55</v>
      </c>
      <c r="C155" s="17">
        <f>[1]SUMMARY!C156</f>
        <v>15</v>
      </c>
      <c r="D155" s="25" t="str">
        <f>[1]SUMMARY!D156</f>
        <v>APOLLO (INDIA)</v>
      </c>
      <c r="E155" s="25" t="str">
        <f>[1]SUMMARY!E156</f>
        <v>ALNAC 4G</v>
      </c>
      <c r="F155" s="20"/>
      <c r="G155" s="20">
        <v>109</v>
      </c>
      <c r="H155" s="20">
        <v>105</v>
      </c>
      <c r="I155" s="24">
        <f t="shared" si="0"/>
        <v>4</v>
      </c>
      <c r="J155" s="22">
        <f>[1]SUMMARY!N156</f>
        <v>2476.0990000000002</v>
      </c>
      <c r="K155" s="23">
        <f t="shared" si="2"/>
        <v>9904.3960000000006</v>
      </c>
      <c r="L155" s="8"/>
      <c r="M155" s="8"/>
    </row>
    <row r="156" spans="1:13" x14ac:dyDescent="0.2">
      <c r="A156" s="17">
        <f>[1]SUMMARY!A157</f>
        <v>185</v>
      </c>
      <c r="B156" s="17">
        <f>[1]SUMMARY!B157</f>
        <v>60</v>
      </c>
      <c r="C156" s="17">
        <f>[1]SUMMARY!C157</f>
        <v>15</v>
      </c>
      <c r="D156" s="25" t="str">
        <f>[1]SUMMARY!D157</f>
        <v>APOLLO (INDIA)</v>
      </c>
      <c r="E156" s="25" t="str">
        <f>[1]SUMMARY!E157</f>
        <v>ALNAC 4G</v>
      </c>
      <c r="F156" s="20"/>
      <c r="G156" s="20">
        <v>105</v>
      </c>
      <c r="H156" s="20">
        <v>105</v>
      </c>
      <c r="I156" s="24">
        <f t="shared" si="0"/>
        <v>0</v>
      </c>
      <c r="J156" s="22">
        <f>[1]SUMMARY!N157</f>
        <v>2441.8000000000002</v>
      </c>
      <c r="K156" s="23">
        <f t="shared" si="2"/>
        <v>0</v>
      </c>
      <c r="L156" s="8"/>
      <c r="M156" s="8"/>
    </row>
    <row r="157" spans="1:13" x14ac:dyDescent="0.2">
      <c r="A157" s="17">
        <f>[1]SUMMARY!A158</f>
        <v>195</v>
      </c>
      <c r="B157" s="17">
        <f>[1]SUMMARY!B158</f>
        <v>60</v>
      </c>
      <c r="C157" s="17">
        <f>[1]SUMMARY!C158</f>
        <v>15</v>
      </c>
      <c r="D157" s="25" t="str">
        <f>[1]SUMMARY!D158</f>
        <v>APOLLO (INDIA)</v>
      </c>
      <c r="E157" s="25" t="str">
        <f>[1]SUMMARY!E158</f>
        <v>ALNAC 4G</v>
      </c>
      <c r="F157" s="20"/>
      <c r="G157" s="30">
        <v>34</v>
      </c>
      <c r="H157" s="20">
        <v>30</v>
      </c>
      <c r="I157" s="24">
        <f t="shared" si="0"/>
        <v>4</v>
      </c>
      <c r="J157" s="22">
        <f>[1]SUMMARY!N158</f>
        <v>3001.63</v>
      </c>
      <c r="K157" s="23">
        <f t="shared" si="2"/>
        <v>12006.52</v>
      </c>
      <c r="L157" s="8"/>
      <c r="M157" s="8"/>
    </row>
    <row r="158" spans="1:13" x14ac:dyDescent="0.2">
      <c r="A158" s="17">
        <f>[1]SUMMARY!A159</f>
        <v>175</v>
      </c>
      <c r="B158" s="17">
        <f>[1]SUMMARY!B159</f>
        <v>65</v>
      </c>
      <c r="C158" s="17">
        <f>[1]SUMMARY!C159</f>
        <v>15</v>
      </c>
      <c r="D158" s="25" t="str">
        <f>[1]SUMMARY!D159</f>
        <v>APOLLO (INDIA)</v>
      </c>
      <c r="E158" s="25" t="str">
        <f>[1]SUMMARY!E159</f>
        <v>ALNAC 4GS</v>
      </c>
      <c r="F158" s="20"/>
      <c r="G158" s="30">
        <v>16</v>
      </c>
      <c r="H158" s="20">
        <v>12</v>
      </c>
      <c r="I158" s="24">
        <f t="shared" si="0"/>
        <v>4</v>
      </c>
      <c r="J158" s="22">
        <f>[1]SUMMARY!N159</f>
        <v>2798.47</v>
      </c>
      <c r="K158" s="23">
        <f t="shared" si="2"/>
        <v>11193.88</v>
      </c>
      <c r="L158" s="8"/>
      <c r="M158" s="8"/>
    </row>
    <row r="159" spans="1:13" x14ac:dyDescent="0.2">
      <c r="A159" s="17">
        <f>[1]SUMMARY!A160</f>
        <v>185</v>
      </c>
      <c r="B159" s="17">
        <f>[1]SUMMARY!B160</f>
        <v>65</v>
      </c>
      <c r="C159" s="17">
        <f>[1]SUMMARY!C160</f>
        <v>15</v>
      </c>
      <c r="D159" s="25" t="str">
        <f>[1]SUMMARY!D160</f>
        <v>APOLLO (INDIA)</v>
      </c>
      <c r="E159" s="25" t="str">
        <f>[1]SUMMARY!E160</f>
        <v>ALNAC 4G</v>
      </c>
      <c r="F159" s="20"/>
      <c r="G159" s="30">
        <v>69</v>
      </c>
      <c r="H159" s="20">
        <v>69</v>
      </c>
      <c r="I159" s="30">
        <f t="shared" si="0"/>
        <v>0</v>
      </c>
      <c r="J159" s="22">
        <f>[1]SUMMARY!N160</f>
        <v>2668.15</v>
      </c>
      <c r="K159" s="23">
        <f t="shared" si="2"/>
        <v>0</v>
      </c>
      <c r="L159" s="8"/>
      <c r="M159" s="8"/>
    </row>
    <row r="160" spans="1:13" x14ac:dyDescent="0.2">
      <c r="A160" s="17">
        <f>[1]SUMMARY!A161</f>
        <v>185</v>
      </c>
      <c r="B160" s="17">
        <f>[1]SUMMARY!B161</f>
        <v>65</v>
      </c>
      <c r="C160" s="17">
        <f>[1]SUMMARY!C161</f>
        <v>15</v>
      </c>
      <c r="D160" s="25" t="str">
        <f>[1]SUMMARY!D161</f>
        <v>APOLLO (INDIA)</v>
      </c>
      <c r="E160" s="25" t="str">
        <f>[1]SUMMARY!E161</f>
        <v>AMAZER XP</v>
      </c>
      <c r="F160" s="20"/>
      <c r="G160" s="30">
        <v>4</v>
      </c>
      <c r="H160" s="20">
        <v>4</v>
      </c>
      <c r="I160" s="30">
        <f t="shared" si="0"/>
        <v>0</v>
      </c>
      <c r="J160" s="22">
        <f>[1]SUMMARY!N161</f>
        <v>2736.38</v>
      </c>
      <c r="K160" s="23">
        <f t="shared" si="2"/>
        <v>0</v>
      </c>
      <c r="L160" s="8"/>
      <c r="M160" s="8"/>
    </row>
    <row r="161" spans="1:13" x14ac:dyDescent="0.2">
      <c r="A161" s="17">
        <f>[1]SUMMARY!A162</f>
        <v>195</v>
      </c>
      <c r="B161" s="17">
        <f>[1]SUMMARY!B162</f>
        <v>55</v>
      </c>
      <c r="C161" s="17">
        <f>[1]SUMMARY!C162</f>
        <v>15</v>
      </c>
      <c r="D161" s="25" t="str">
        <f>[1]SUMMARY!D162</f>
        <v>APOLLO (INDIA)</v>
      </c>
      <c r="E161" s="25" t="str">
        <f>[1]SUMMARY!E162</f>
        <v>ALNAC 4G</v>
      </c>
      <c r="F161" s="20"/>
      <c r="G161" s="30">
        <v>48</v>
      </c>
      <c r="H161" s="20">
        <v>36</v>
      </c>
      <c r="I161" s="24">
        <f t="shared" si="0"/>
        <v>12</v>
      </c>
      <c r="J161" s="22">
        <f>[1]SUMMARY!N162</f>
        <v>2620.14</v>
      </c>
      <c r="K161" s="23">
        <f t="shared" si="2"/>
        <v>31441.68</v>
      </c>
      <c r="L161" s="8"/>
      <c r="M161" s="8"/>
    </row>
    <row r="162" spans="1:13" x14ac:dyDescent="0.2">
      <c r="A162" s="17">
        <f>[1]SUMMARY!A163</f>
        <v>195</v>
      </c>
      <c r="B162" s="17">
        <f>[1]SUMMARY!B163</f>
        <v>65</v>
      </c>
      <c r="C162" s="17">
        <f>[1]SUMMARY!C163</f>
        <v>15</v>
      </c>
      <c r="D162" s="25" t="str">
        <f>[1]SUMMARY!D163</f>
        <v>APOLLO (INDIA)</v>
      </c>
      <c r="E162" s="25" t="str">
        <f>[1]SUMMARY!E163</f>
        <v>ALNAC 4G</v>
      </c>
      <c r="F162" s="20"/>
      <c r="G162" s="20">
        <v>4</v>
      </c>
      <c r="H162" s="20"/>
      <c r="I162" s="24">
        <f t="shared" si="0"/>
        <v>4</v>
      </c>
      <c r="J162" s="22">
        <f>[1]SUMMARY!N163</f>
        <v>2940.99</v>
      </c>
      <c r="K162" s="23">
        <f t="shared" si="2"/>
        <v>11763.96</v>
      </c>
      <c r="L162" s="8"/>
      <c r="M162" s="8"/>
    </row>
    <row r="163" spans="1:13" x14ac:dyDescent="0.2">
      <c r="A163" s="17">
        <f>[1]SUMMARY!A164</f>
        <v>205</v>
      </c>
      <c r="B163" s="17">
        <f>[1]SUMMARY!B164</f>
        <v>65</v>
      </c>
      <c r="C163" s="17">
        <f>[1]SUMMARY!C164</f>
        <v>15</v>
      </c>
      <c r="D163" s="25" t="str">
        <f>[1]SUMMARY!D164</f>
        <v>APOLLO (INDIA)</v>
      </c>
      <c r="E163" s="25" t="str">
        <f>[1]SUMMARY!E164</f>
        <v>ALNAC 4G</v>
      </c>
      <c r="F163" s="20"/>
      <c r="G163" s="20">
        <v>47</v>
      </c>
      <c r="H163" s="20">
        <v>43</v>
      </c>
      <c r="I163" s="24">
        <f t="shared" si="0"/>
        <v>4</v>
      </c>
      <c r="J163" s="22">
        <f>[1]SUMMARY!N164</f>
        <v>3059.11</v>
      </c>
      <c r="K163" s="23">
        <f t="shared" si="2"/>
        <v>12236.44</v>
      </c>
      <c r="L163" s="8"/>
      <c r="M163" s="8"/>
    </row>
    <row r="164" spans="1:13" x14ac:dyDescent="0.2">
      <c r="A164" s="17">
        <f>[1]SUMMARY!A165</f>
        <v>205</v>
      </c>
      <c r="B164" s="17">
        <f>[1]SUMMARY!B165</f>
        <v>70</v>
      </c>
      <c r="C164" s="17" t="str">
        <f>[1]SUMMARY!C165</f>
        <v>15C</v>
      </c>
      <c r="D164" s="25" t="str">
        <f>[1]SUMMARY!D165</f>
        <v>APOLLO (INDIA)</v>
      </c>
      <c r="E164" s="25" t="str">
        <f>[1]SUMMARY!E165</f>
        <v>ALTRUST GRIP</v>
      </c>
      <c r="F164" s="20"/>
      <c r="G164" s="20">
        <v>54</v>
      </c>
      <c r="H164" s="20">
        <v>46</v>
      </c>
      <c r="I164" s="24">
        <f t="shared" si="0"/>
        <v>8</v>
      </c>
      <c r="J164" s="22">
        <f>[1]SUMMARY!N165</f>
        <v>3991.94</v>
      </c>
      <c r="K164" s="23">
        <f t="shared" si="2"/>
        <v>31935.52</v>
      </c>
      <c r="L164" s="8"/>
      <c r="M164" s="8"/>
    </row>
    <row r="165" spans="1:13" x14ac:dyDescent="0.2">
      <c r="A165" s="17">
        <f>[1]SUMMARY!A166</f>
        <v>215</v>
      </c>
      <c r="B165" s="17">
        <f>[1]SUMMARY!B166</f>
        <v>70</v>
      </c>
      <c r="C165" s="17" t="str">
        <f>[1]SUMMARY!C166</f>
        <v>15C</v>
      </c>
      <c r="D165" s="25" t="str">
        <f>[1]SUMMARY!D166</f>
        <v>APOLLO (INDIA)</v>
      </c>
      <c r="E165" s="25" t="str">
        <f>[1]SUMMARY!E166</f>
        <v>ALTRUST GRIP</v>
      </c>
      <c r="F165" s="20"/>
      <c r="G165" s="20">
        <v>53</v>
      </c>
      <c r="H165" s="20">
        <v>49</v>
      </c>
      <c r="I165" s="24">
        <f t="shared" si="0"/>
        <v>4</v>
      </c>
      <c r="J165" s="22">
        <f>[1]SUMMARY!N166</f>
        <v>4177.13</v>
      </c>
      <c r="K165" s="23">
        <f t="shared" si="2"/>
        <v>16708.52</v>
      </c>
      <c r="L165" s="8"/>
      <c r="M165" s="8"/>
    </row>
    <row r="166" spans="1:13" x14ac:dyDescent="0.2">
      <c r="A166" s="17">
        <f>[1]SUMMARY!A167</f>
        <v>205</v>
      </c>
      <c r="B166" s="17">
        <f>[1]SUMMARY!B167</f>
        <v>45</v>
      </c>
      <c r="C166" s="17">
        <f>[1]SUMMARY!C167</f>
        <v>16</v>
      </c>
      <c r="D166" s="25" t="str">
        <f>[1]SUMMARY!D167</f>
        <v>APOLLO (INDIA)</v>
      </c>
      <c r="E166" s="25" t="str">
        <f>[1]SUMMARY!E167</f>
        <v>ASPIRE 4G+</v>
      </c>
      <c r="F166" s="20"/>
      <c r="G166" s="20">
        <v>26</v>
      </c>
      <c r="H166" s="20">
        <v>21</v>
      </c>
      <c r="I166" s="24">
        <f t="shared" si="0"/>
        <v>5</v>
      </c>
      <c r="J166" s="22">
        <f>[1]SUMMARY!N167</f>
        <v>4115.3999999999996</v>
      </c>
      <c r="K166" s="23">
        <f t="shared" si="2"/>
        <v>20577</v>
      </c>
      <c r="L166" s="8"/>
      <c r="M166" s="8"/>
    </row>
    <row r="167" spans="1:13" x14ac:dyDescent="0.2">
      <c r="A167" s="17">
        <f>[1]SUMMARY!A168</f>
        <v>195</v>
      </c>
      <c r="B167" s="17">
        <f>[1]SUMMARY!B168</f>
        <v>50</v>
      </c>
      <c r="C167" s="17">
        <f>[1]SUMMARY!C168</f>
        <v>16</v>
      </c>
      <c r="D167" s="25" t="str">
        <f>[1]SUMMARY!D168</f>
        <v>APOLLO (INDIA)</v>
      </c>
      <c r="E167" s="25" t="str">
        <f>[1]SUMMARY!E168</f>
        <v>ALNAC 4G</v>
      </c>
      <c r="F167" s="20"/>
      <c r="G167" s="20">
        <v>47</v>
      </c>
      <c r="H167" s="20">
        <v>39</v>
      </c>
      <c r="I167" s="24">
        <f t="shared" si="0"/>
        <v>8</v>
      </c>
      <c r="J167" s="22">
        <f>[1]SUMMARY!N168</f>
        <v>2867.06</v>
      </c>
      <c r="K167" s="23">
        <f t="shared" si="2"/>
        <v>22936.48</v>
      </c>
      <c r="L167" s="8"/>
      <c r="M167" s="8"/>
    </row>
    <row r="168" spans="1:13" x14ac:dyDescent="0.2">
      <c r="A168" s="17">
        <f>[1]SUMMARY!A169</f>
        <v>185</v>
      </c>
      <c r="B168" s="17">
        <f>[1]SUMMARY!B169</f>
        <v>55</v>
      </c>
      <c r="C168" s="17">
        <f>[1]SUMMARY!C169</f>
        <v>16</v>
      </c>
      <c r="D168" s="25" t="str">
        <f>[1]SUMMARY!D169</f>
        <v>APOLLO (INDIA)</v>
      </c>
      <c r="E168" s="25" t="str">
        <f>[1]SUMMARY!E169</f>
        <v>ALNAC 4G</v>
      </c>
      <c r="F168" s="20"/>
      <c r="G168" s="20">
        <v>68</v>
      </c>
      <c r="H168" s="20">
        <v>64</v>
      </c>
      <c r="I168" s="24">
        <f t="shared" si="0"/>
        <v>4</v>
      </c>
      <c r="J168" s="22">
        <f>[1]SUMMARY!N169</f>
        <v>2873.92</v>
      </c>
      <c r="K168" s="23">
        <f t="shared" si="2"/>
        <v>11495.68</v>
      </c>
      <c r="L168" s="8"/>
      <c r="M168" s="8"/>
    </row>
    <row r="169" spans="1:13" x14ac:dyDescent="0.2">
      <c r="A169" s="17">
        <f>[1]SUMMARY!A170</f>
        <v>205</v>
      </c>
      <c r="B169" s="17">
        <f>[1]SUMMARY!B170</f>
        <v>55</v>
      </c>
      <c r="C169" s="17">
        <f>[1]SUMMARY!C170</f>
        <v>16</v>
      </c>
      <c r="D169" s="25" t="str">
        <f>[1]SUMMARY!D170</f>
        <v>APOLLO (INDIA)</v>
      </c>
      <c r="E169" s="25" t="str">
        <f>[1]SUMMARY!E170</f>
        <v>ALNAC 4G</v>
      </c>
      <c r="F169" s="20"/>
      <c r="G169" s="20">
        <v>54</v>
      </c>
      <c r="H169" s="20">
        <v>50</v>
      </c>
      <c r="I169" s="24">
        <f t="shared" si="0"/>
        <v>4</v>
      </c>
      <c r="J169" s="22">
        <f>[1]SUMMARY!N170</f>
        <v>3237.45</v>
      </c>
      <c r="K169" s="23">
        <f t="shared" si="2"/>
        <v>12949.8</v>
      </c>
      <c r="L169" s="8"/>
      <c r="M169" s="8"/>
    </row>
    <row r="170" spans="1:13" x14ac:dyDescent="0.2">
      <c r="A170" s="17">
        <f>[1]SUMMARY!A171</f>
        <v>195</v>
      </c>
      <c r="B170" s="17">
        <f>[1]SUMMARY!B171</f>
        <v>60</v>
      </c>
      <c r="C170" s="17">
        <f>[1]SUMMARY!C171</f>
        <v>16</v>
      </c>
      <c r="D170" s="25" t="str">
        <f>[1]SUMMARY!D171</f>
        <v>APOLLO (INDIA)</v>
      </c>
      <c r="E170" s="25" t="str">
        <f>[1]SUMMARY!E171</f>
        <v>ALNAC 4G</v>
      </c>
      <c r="F170" s="20"/>
      <c r="G170" s="20">
        <v>44</v>
      </c>
      <c r="H170" s="20">
        <v>43</v>
      </c>
      <c r="I170" s="24">
        <f t="shared" si="0"/>
        <v>1</v>
      </c>
      <c r="J170" s="22">
        <f>[1]SUMMARY!N171</f>
        <v>3223.73</v>
      </c>
      <c r="K170" s="23">
        <f t="shared" si="2"/>
        <v>3223.73</v>
      </c>
      <c r="L170" s="8"/>
      <c r="M170" s="8"/>
    </row>
    <row r="171" spans="1:13" x14ac:dyDescent="0.2">
      <c r="A171" s="17">
        <f>[1]SUMMARY!A172</f>
        <v>205</v>
      </c>
      <c r="B171" s="17">
        <f>[1]SUMMARY!B172</f>
        <v>65</v>
      </c>
      <c r="C171" s="17">
        <f>[1]SUMMARY!C172</f>
        <v>16</v>
      </c>
      <c r="D171" s="25" t="str">
        <f>[1]SUMMARY!D172</f>
        <v>APOLLO (INDIA)</v>
      </c>
      <c r="E171" s="25" t="str">
        <f>[1]SUMMARY!E172</f>
        <v>ALNAC 4G</v>
      </c>
      <c r="F171" s="20"/>
      <c r="G171" s="20">
        <v>94</v>
      </c>
      <c r="H171" s="20">
        <v>78</v>
      </c>
      <c r="I171" s="24">
        <f t="shared" si="0"/>
        <v>16</v>
      </c>
      <c r="J171" s="22">
        <f>[1]SUMMARY!N172</f>
        <v>3621.55</v>
      </c>
      <c r="K171" s="23">
        <f t="shared" si="2"/>
        <v>57944.800000000003</v>
      </c>
      <c r="L171" s="8"/>
      <c r="M171" s="8"/>
    </row>
    <row r="172" spans="1:13" x14ac:dyDescent="0.2">
      <c r="A172" s="17">
        <f>[1]SUMMARY!A173</f>
        <v>215</v>
      </c>
      <c r="B172" s="17">
        <f>[1]SUMMARY!B173</f>
        <v>65</v>
      </c>
      <c r="C172" s="17">
        <f>[1]SUMMARY!C173</f>
        <v>16</v>
      </c>
      <c r="D172" s="25" t="str">
        <f>[1]SUMMARY!D173</f>
        <v>APOLLO (INDIA)</v>
      </c>
      <c r="E172" s="25" t="str">
        <f>[1]SUMMARY!E173</f>
        <v>APTERRA CROSS</v>
      </c>
      <c r="F172" s="20"/>
      <c r="G172" s="20"/>
      <c r="H172" s="20"/>
      <c r="I172" s="30">
        <f t="shared" si="0"/>
        <v>0</v>
      </c>
      <c r="J172" s="22">
        <f>[1]SUMMARY!N173</f>
        <v>4382.8999999999996</v>
      </c>
      <c r="K172" s="23">
        <f t="shared" si="2"/>
        <v>0</v>
      </c>
      <c r="L172" s="8"/>
      <c r="M172" s="8"/>
    </row>
    <row r="173" spans="1:13" x14ac:dyDescent="0.2">
      <c r="A173" s="17">
        <f>[1]SUMMARY!A174</f>
        <v>235</v>
      </c>
      <c r="B173" s="17">
        <f>[1]SUMMARY!B174</f>
        <v>65</v>
      </c>
      <c r="C173" s="17" t="str">
        <f>[1]SUMMARY!C174</f>
        <v>R16C</v>
      </c>
      <c r="D173" s="25" t="str">
        <f>[1]SUMMARY!D174</f>
        <v>APOLLO (INDIA)</v>
      </c>
      <c r="E173" s="25" t="str">
        <f>[1]SUMMARY!E174</f>
        <v>ALTRUST+</v>
      </c>
      <c r="F173" s="20"/>
      <c r="G173" s="20">
        <v>29</v>
      </c>
      <c r="H173" s="20">
        <v>27</v>
      </c>
      <c r="I173" s="24">
        <f t="shared" si="0"/>
        <v>2</v>
      </c>
      <c r="J173" s="22">
        <f>[1]SUMMARY!N174</f>
        <v>4842.45</v>
      </c>
      <c r="K173" s="23">
        <f t="shared" si="2"/>
        <v>9684.9</v>
      </c>
      <c r="L173" s="8"/>
      <c r="M173" s="8"/>
    </row>
    <row r="174" spans="1:13" x14ac:dyDescent="0.2">
      <c r="A174" s="17">
        <f>[1]SUMMARY!A175</f>
        <v>215</v>
      </c>
      <c r="B174" s="17">
        <f>[1]SUMMARY!B175</f>
        <v>70</v>
      </c>
      <c r="C174" s="17" t="str">
        <f>[1]SUMMARY!C175</f>
        <v>16C</v>
      </c>
      <c r="D174" s="25" t="str">
        <f>[1]SUMMARY!D175</f>
        <v>APOLLO (INDIA)</v>
      </c>
      <c r="E174" s="25" t="str">
        <f>[1]SUMMARY!E175</f>
        <v>ALTRUST GRIP</v>
      </c>
      <c r="F174" s="20"/>
      <c r="G174" s="20">
        <v>79</v>
      </c>
      <c r="H174" s="20">
        <v>75</v>
      </c>
      <c r="I174" s="24">
        <f t="shared" si="0"/>
        <v>4</v>
      </c>
      <c r="J174" s="22">
        <f>[1]SUMMARY!N175</f>
        <v>4410.33</v>
      </c>
      <c r="K174" s="23">
        <f t="shared" si="2"/>
        <v>17641.32</v>
      </c>
      <c r="L174" s="8"/>
      <c r="M174" s="8"/>
    </row>
    <row r="175" spans="1:13" x14ac:dyDescent="0.2">
      <c r="A175" s="17">
        <f>[1]SUMMARY!A176</f>
        <v>245</v>
      </c>
      <c r="B175" s="17">
        <f>[1]SUMMARY!B176</f>
        <v>70</v>
      </c>
      <c r="C175" s="17">
        <f>[1]SUMMARY!C176</f>
        <v>16</v>
      </c>
      <c r="D175" s="25" t="str">
        <f>[1]SUMMARY!D176</f>
        <v>APOLLO (INDIA)</v>
      </c>
      <c r="E175" s="25" t="str">
        <f>[1]SUMMARY!E176</f>
        <v>APTERRA AT2</v>
      </c>
      <c r="F175" s="20"/>
      <c r="G175" s="20">
        <v>30</v>
      </c>
      <c r="H175" s="20">
        <v>26</v>
      </c>
      <c r="I175" s="24">
        <f t="shared" si="0"/>
        <v>4</v>
      </c>
      <c r="J175" s="22">
        <f>[1]SUMMARY!N176</f>
        <v>5391.17</v>
      </c>
      <c r="K175" s="23">
        <f t="shared" si="2"/>
        <v>21564.68</v>
      </c>
      <c r="L175" s="8"/>
      <c r="M175" s="8"/>
    </row>
    <row r="176" spans="1:13" x14ac:dyDescent="0.2">
      <c r="A176" s="17">
        <f>[1]SUMMARY!A177</f>
        <v>205</v>
      </c>
      <c r="B176" s="17">
        <f>[1]SUMMARY!B177</f>
        <v>40</v>
      </c>
      <c r="C176" s="17">
        <f>[1]SUMMARY!C177</f>
        <v>17</v>
      </c>
      <c r="D176" s="25" t="str">
        <f>[1]SUMMARY!D177</f>
        <v>APOLLO (INDIA)</v>
      </c>
      <c r="E176" s="25" t="str">
        <f>[1]SUMMARY!E177</f>
        <v>ASPIRE 4G+</v>
      </c>
      <c r="F176" s="20"/>
      <c r="G176" s="20">
        <v>13</v>
      </c>
      <c r="H176" s="20">
        <v>8</v>
      </c>
      <c r="I176" s="24">
        <f t="shared" si="0"/>
        <v>5</v>
      </c>
      <c r="J176" s="22">
        <f>[1]SUMMARY!N177</f>
        <v>3827.32</v>
      </c>
      <c r="K176" s="23">
        <f t="shared" si="2"/>
        <v>19136.600000000002</v>
      </c>
      <c r="L176" s="8"/>
      <c r="M176" s="8"/>
    </row>
    <row r="177" spans="1:13" x14ac:dyDescent="0.2">
      <c r="A177" s="17">
        <f>[1]SUMMARY!A178</f>
        <v>205</v>
      </c>
      <c r="B177" s="17">
        <f>[1]SUMMARY!B178</f>
        <v>45</v>
      </c>
      <c r="C177" s="17">
        <f>[1]SUMMARY!C178</f>
        <v>17</v>
      </c>
      <c r="D177" s="25" t="str">
        <f>[1]SUMMARY!D178</f>
        <v>APOLLO (INDIA)</v>
      </c>
      <c r="E177" s="25" t="str">
        <f>[1]SUMMARY!E178</f>
        <v>ASPIRE 4G+</v>
      </c>
      <c r="F177" s="20"/>
      <c r="G177" s="20">
        <v>38</v>
      </c>
      <c r="H177" s="20">
        <v>38</v>
      </c>
      <c r="I177" s="24">
        <f t="shared" si="0"/>
        <v>0</v>
      </c>
      <c r="J177" s="22">
        <f>[1]SUMMARY!N178</f>
        <v>3889.05</v>
      </c>
      <c r="K177" s="23">
        <f t="shared" si="2"/>
        <v>0</v>
      </c>
      <c r="L177" s="8"/>
      <c r="M177" s="8"/>
    </row>
    <row r="178" spans="1:13" x14ac:dyDescent="0.2">
      <c r="A178" s="17">
        <f>[1]SUMMARY!A179</f>
        <v>215</v>
      </c>
      <c r="B178" s="17">
        <f>[1]SUMMARY!B179</f>
        <v>45</v>
      </c>
      <c r="C178" s="17">
        <f>[1]SUMMARY!C179</f>
        <v>17</v>
      </c>
      <c r="D178" s="25" t="str">
        <f>[1]SUMMARY!D179</f>
        <v>APOLLO (INDIA)</v>
      </c>
      <c r="E178" s="25" t="str">
        <f>[1]SUMMARY!E179</f>
        <v>ASPIRE 4G+</v>
      </c>
      <c r="F178" s="20"/>
      <c r="G178" s="20">
        <v>18</v>
      </c>
      <c r="H178" s="20">
        <v>14</v>
      </c>
      <c r="I178" s="24">
        <f t="shared" si="0"/>
        <v>4</v>
      </c>
      <c r="J178" s="22">
        <f>[1]SUMMARY!N179</f>
        <v>3957.64</v>
      </c>
      <c r="K178" s="23">
        <f t="shared" si="2"/>
        <v>15830.56</v>
      </c>
      <c r="L178" s="8"/>
      <c r="M178" s="8"/>
    </row>
    <row r="179" spans="1:13" x14ac:dyDescent="0.2">
      <c r="A179" s="17">
        <f>[1]SUMMARY!A180</f>
        <v>225</v>
      </c>
      <c r="B179" s="17">
        <f>[1]SUMMARY!B180</f>
        <v>45</v>
      </c>
      <c r="C179" s="17">
        <f>[1]SUMMARY!C180</f>
        <v>17</v>
      </c>
      <c r="D179" s="25" t="str">
        <f>[1]SUMMARY!D180</f>
        <v>APOLLO (INDIA)</v>
      </c>
      <c r="E179" s="25" t="str">
        <f>[1]SUMMARY!E180</f>
        <v>ASPIRE 4G+</v>
      </c>
      <c r="F179" s="20"/>
      <c r="G179" s="20">
        <v>4</v>
      </c>
      <c r="H179" s="20">
        <v>4</v>
      </c>
      <c r="I179" s="30">
        <f t="shared" si="0"/>
        <v>0</v>
      </c>
      <c r="J179" s="22">
        <f>[1]SUMMARY!N180</f>
        <v>4033.09</v>
      </c>
      <c r="K179" s="23">
        <f t="shared" si="2"/>
        <v>0</v>
      </c>
      <c r="L179" s="8"/>
      <c r="M179" s="8"/>
    </row>
    <row r="180" spans="1:13" x14ac:dyDescent="0.2">
      <c r="A180" s="17">
        <f>[1]SUMMARY!A181</f>
        <v>205</v>
      </c>
      <c r="B180" s="17">
        <f>[1]SUMMARY!B181</f>
        <v>50</v>
      </c>
      <c r="C180" s="17">
        <f>[1]SUMMARY!C181</f>
        <v>17</v>
      </c>
      <c r="D180" s="25" t="str">
        <f>[1]SUMMARY!D181</f>
        <v>APOLLO (INDIA)</v>
      </c>
      <c r="E180" s="25" t="str">
        <f>[1]SUMMARY!E181</f>
        <v>ALNAC 4G</v>
      </c>
      <c r="F180" s="20"/>
      <c r="G180" s="20">
        <v>38</v>
      </c>
      <c r="H180" s="20">
        <v>34</v>
      </c>
      <c r="I180" s="24">
        <f t="shared" si="0"/>
        <v>4</v>
      </c>
      <c r="J180" s="22">
        <f>[1]SUMMARY!N181</f>
        <v>3765.59</v>
      </c>
      <c r="K180" s="23">
        <f t="shared" si="2"/>
        <v>15062.36</v>
      </c>
      <c r="L180" s="8"/>
      <c r="M180" s="8"/>
    </row>
    <row r="181" spans="1:13" x14ac:dyDescent="0.2">
      <c r="A181" s="17">
        <f>[1]SUMMARY!A182</f>
        <v>215</v>
      </c>
      <c r="B181" s="17">
        <f>[1]SUMMARY!B182</f>
        <v>55</v>
      </c>
      <c r="C181" s="17">
        <f>[1]SUMMARY!C182</f>
        <v>17</v>
      </c>
      <c r="D181" s="25" t="str">
        <f>[1]SUMMARY!D182</f>
        <v>APOLLO (INDIA)</v>
      </c>
      <c r="E181" s="25" t="str">
        <f>[1]SUMMARY!E182</f>
        <v>ASPIRE 4G+</v>
      </c>
      <c r="F181" s="20"/>
      <c r="G181" s="20">
        <v>101</v>
      </c>
      <c r="H181" s="20">
        <v>99</v>
      </c>
      <c r="I181" s="30">
        <f t="shared" si="0"/>
        <v>2</v>
      </c>
      <c r="J181" s="22">
        <f>[1]SUMMARY!N182</f>
        <v>3834.18</v>
      </c>
      <c r="K181" s="23">
        <f t="shared" si="2"/>
        <v>7668.36</v>
      </c>
      <c r="L181" s="8"/>
      <c r="M181" s="8"/>
    </row>
    <row r="182" spans="1:13" x14ac:dyDescent="0.2">
      <c r="A182" s="17">
        <f>[1]SUMMARY!A183</f>
        <v>225</v>
      </c>
      <c r="B182" s="17">
        <f>[1]SUMMARY!B183</f>
        <v>55</v>
      </c>
      <c r="C182" s="17">
        <f>[1]SUMMARY!C183</f>
        <v>17</v>
      </c>
      <c r="D182" s="25" t="str">
        <f>[1]SUMMARY!D183</f>
        <v>APOLLO (INDIA)</v>
      </c>
      <c r="E182" s="25" t="str">
        <f>[1]SUMMARY!E183</f>
        <v>ASPIRE 4G+</v>
      </c>
      <c r="F182" s="20"/>
      <c r="G182" s="20">
        <v>12</v>
      </c>
      <c r="H182" s="20">
        <v>8</v>
      </c>
      <c r="I182" s="24">
        <f t="shared" si="0"/>
        <v>4</v>
      </c>
      <c r="J182" s="22">
        <f>[1]SUMMARY!N183</f>
        <v>4807.6499999999996</v>
      </c>
      <c r="K182" s="23">
        <f t="shared" si="2"/>
        <v>19230.599999999999</v>
      </c>
      <c r="L182" s="8"/>
      <c r="M182" s="8"/>
    </row>
    <row r="183" spans="1:13" x14ac:dyDescent="0.2">
      <c r="A183" s="17">
        <f>[1]SUMMARY!A184</f>
        <v>225</v>
      </c>
      <c r="B183" s="17">
        <f>[1]SUMMARY!B184</f>
        <v>60</v>
      </c>
      <c r="C183" s="17">
        <f>[1]SUMMARY!C184</f>
        <v>17</v>
      </c>
      <c r="D183" s="25" t="str">
        <f>[1]SUMMARY!D184</f>
        <v>APOLLO (INDIA)</v>
      </c>
      <c r="E183" s="25" t="str">
        <f>[1]SUMMARY!E184</f>
        <v>APTERRA HP</v>
      </c>
      <c r="F183" s="20"/>
      <c r="G183" s="20">
        <v>51</v>
      </c>
      <c r="H183" s="20">
        <v>51</v>
      </c>
      <c r="I183" s="24">
        <f t="shared" si="0"/>
        <v>0</v>
      </c>
      <c r="J183" s="22">
        <f>[1]SUMMARY!N184</f>
        <v>4959.0600000000004</v>
      </c>
      <c r="K183" s="23">
        <f t="shared" si="2"/>
        <v>0</v>
      </c>
      <c r="L183" s="8"/>
      <c r="M183" s="8"/>
    </row>
    <row r="184" spans="1:13" x14ac:dyDescent="0.2">
      <c r="A184" s="17">
        <f>[1]SUMMARY!A185</f>
        <v>235</v>
      </c>
      <c r="B184" s="17">
        <f>[1]SUMMARY!B185</f>
        <v>60</v>
      </c>
      <c r="C184" s="17">
        <f>[1]SUMMARY!C185</f>
        <v>17</v>
      </c>
      <c r="D184" s="25" t="str">
        <f>[1]SUMMARY!D185</f>
        <v>APOLLO (INDIA)</v>
      </c>
      <c r="E184" s="25" t="str">
        <f>[1]SUMMARY!E185</f>
        <v>APTERRA HT2</v>
      </c>
      <c r="F184" s="20"/>
      <c r="G184" s="20">
        <v>8</v>
      </c>
      <c r="H184" s="20">
        <v>4</v>
      </c>
      <c r="I184" s="24">
        <f t="shared" si="0"/>
        <v>4</v>
      </c>
      <c r="J184" s="22">
        <f>[1]SUMMARY!N185</f>
        <v>5190.3900000000003</v>
      </c>
      <c r="K184" s="23">
        <f t="shared" si="2"/>
        <v>20761.560000000001</v>
      </c>
      <c r="L184" s="8"/>
      <c r="M184" s="8"/>
    </row>
    <row r="185" spans="1:13" x14ac:dyDescent="0.2">
      <c r="A185" s="17">
        <f>[1]SUMMARY!A186</f>
        <v>225</v>
      </c>
      <c r="B185" s="17">
        <f>[1]SUMMARY!B186</f>
        <v>65</v>
      </c>
      <c r="C185" s="17">
        <f>[1]SUMMARY!C186</f>
        <v>17</v>
      </c>
      <c r="D185" s="25" t="str">
        <f>[1]SUMMARY!D186</f>
        <v>APOLLO (INDIA)</v>
      </c>
      <c r="E185" s="25" t="str">
        <f>[1]SUMMARY!E186</f>
        <v>APTERRA HT2</v>
      </c>
      <c r="F185" s="20"/>
      <c r="G185" s="20">
        <v>18</v>
      </c>
      <c r="H185" s="20">
        <v>14</v>
      </c>
      <c r="I185" s="24">
        <f t="shared" si="0"/>
        <v>4</v>
      </c>
      <c r="J185" s="22">
        <f>[1]SUMMARY!N186</f>
        <v>4979.63</v>
      </c>
      <c r="K185" s="23">
        <f t="shared" si="2"/>
        <v>19918.52</v>
      </c>
      <c r="L185" s="8"/>
      <c r="M185" s="8"/>
    </row>
    <row r="186" spans="1:13" x14ac:dyDescent="0.2">
      <c r="A186" s="17">
        <f>[1]SUMMARY!A187</f>
        <v>235</v>
      </c>
      <c r="B186" s="17">
        <f>[1]SUMMARY!B187</f>
        <v>65</v>
      </c>
      <c r="C186" s="17">
        <f>[1]SUMMARY!C187</f>
        <v>17</v>
      </c>
      <c r="D186" s="25" t="str">
        <f>[1]SUMMARY!D187</f>
        <v>APOLLO (INDIA)</v>
      </c>
      <c r="E186" s="25" t="str">
        <f>[1]SUMMARY!E187</f>
        <v>APTERRA AT2</v>
      </c>
      <c r="F186" s="20"/>
      <c r="G186" s="20">
        <v>18</v>
      </c>
      <c r="H186" s="20">
        <v>14</v>
      </c>
      <c r="I186" s="24">
        <f t="shared" si="0"/>
        <v>4</v>
      </c>
      <c r="J186" s="22">
        <f>[1]SUMMARY!N187</f>
        <v>5446.04</v>
      </c>
      <c r="K186" s="23">
        <f t="shared" si="2"/>
        <v>21784.16</v>
      </c>
      <c r="L186" s="8"/>
      <c r="M186" s="8"/>
    </row>
    <row r="187" spans="1:13" x14ac:dyDescent="0.2">
      <c r="A187" s="17">
        <f>[1]SUMMARY!A188</f>
        <v>265</v>
      </c>
      <c r="B187" s="17">
        <f>[1]SUMMARY!B188</f>
        <v>65</v>
      </c>
      <c r="C187" s="17">
        <f>[1]SUMMARY!C188</f>
        <v>17</v>
      </c>
      <c r="D187" s="25" t="str">
        <f>[1]SUMMARY!D188</f>
        <v>APOLLO (INDIA)</v>
      </c>
      <c r="E187" s="25" t="str">
        <f>[1]SUMMARY!E188</f>
        <v>APTERRA AT2</v>
      </c>
      <c r="F187" s="20"/>
      <c r="G187" s="20">
        <v>24</v>
      </c>
      <c r="H187" s="20">
        <v>18</v>
      </c>
      <c r="I187" s="24">
        <f t="shared" si="0"/>
        <v>6</v>
      </c>
      <c r="J187" s="22">
        <f>[1]SUMMARY!N188</f>
        <v>5850.73</v>
      </c>
      <c r="K187" s="23">
        <f t="shared" si="2"/>
        <v>35104.379999999997</v>
      </c>
      <c r="L187" s="8"/>
      <c r="M187" s="8"/>
    </row>
    <row r="188" spans="1:13" x14ac:dyDescent="0.2">
      <c r="A188" s="17">
        <f>[1]SUMMARY!A189</f>
        <v>265</v>
      </c>
      <c r="B188" s="17">
        <f>[1]SUMMARY!B189</f>
        <v>65</v>
      </c>
      <c r="C188" s="17">
        <f>[1]SUMMARY!C189</f>
        <v>17</v>
      </c>
      <c r="D188" s="25" t="str">
        <f>[1]SUMMARY!D189</f>
        <v>APOLLO (INDIA)</v>
      </c>
      <c r="E188" s="25" t="str">
        <f>[1]SUMMARY!E189</f>
        <v>APTERRA HT2</v>
      </c>
      <c r="F188" s="20"/>
      <c r="G188" s="20">
        <v>17</v>
      </c>
      <c r="H188" s="20">
        <v>17</v>
      </c>
      <c r="I188" s="24">
        <f t="shared" si="0"/>
        <v>0</v>
      </c>
      <c r="J188" s="22">
        <f>[1]SUMMARY!N189</f>
        <v>5672.39</v>
      </c>
      <c r="K188" s="23">
        <f t="shared" si="2"/>
        <v>0</v>
      </c>
      <c r="L188" s="8"/>
      <c r="M188" s="8"/>
    </row>
    <row r="189" spans="1:13" x14ac:dyDescent="0.2">
      <c r="A189" s="17">
        <f>[1]SUMMARY!A190</f>
        <v>225</v>
      </c>
      <c r="B189" s="17">
        <f>[1]SUMMARY!B190</f>
        <v>40</v>
      </c>
      <c r="C189" s="17">
        <f>[1]SUMMARY!C190</f>
        <v>18</v>
      </c>
      <c r="D189" s="25" t="str">
        <f>[1]SUMMARY!D190</f>
        <v>APOLLO (INDIA)</v>
      </c>
      <c r="E189" s="25" t="str">
        <f>[1]SUMMARY!E190</f>
        <v>ASPIRE 4G+</v>
      </c>
      <c r="F189" s="20"/>
      <c r="G189" s="20">
        <v>28</v>
      </c>
      <c r="H189" s="20">
        <v>24</v>
      </c>
      <c r="I189" s="30">
        <f t="shared" si="0"/>
        <v>4</v>
      </c>
      <c r="J189" s="22">
        <f>[1]SUMMARY!N190</f>
        <v>4657.26</v>
      </c>
      <c r="K189" s="23">
        <f t="shared" si="2"/>
        <v>18629.04</v>
      </c>
      <c r="L189" s="8"/>
      <c r="M189" s="8"/>
    </row>
    <row r="190" spans="1:13" x14ac:dyDescent="0.2">
      <c r="A190" s="17">
        <f>[1]SUMMARY!A191</f>
        <v>235</v>
      </c>
      <c r="B190" s="17">
        <f>[1]SUMMARY!B191</f>
        <v>40</v>
      </c>
      <c r="C190" s="17">
        <f>[1]SUMMARY!C191</f>
        <v>18</v>
      </c>
      <c r="D190" s="25" t="str">
        <f>[1]SUMMARY!D191</f>
        <v>APOLLO (INDIA)</v>
      </c>
      <c r="E190" s="25" t="str">
        <f>[1]SUMMARY!E191</f>
        <v>ASPIRE 4G+</v>
      </c>
      <c r="F190" s="20"/>
      <c r="G190" s="20">
        <v>18</v>
      </c>
      <c r="H190" s="20">
        <v>14</v>
      </c>
      <c r="I190" s="24">
        <f t="shared" si="0"/>
        <v>4</v>
      </c>
      <c r="J190" s="22">
        <f>[1]SUMMARY!N191</f>
        <v>4931.62</v>
      </c>
      <c r="K190" s="23">
        <f t="shared" si="2"/>
        <v>19726.48</v>
      </c>
      <c r="L190" s="8"/>
      <c r="M190" s="8"/>
    </row>
    <row r="191" spans="1:13" x14ac:dyDescent="0.2">
      <c r="A191" s="17">
        <f>[1]SUMMARY!A192</f>
        <v>225</v>
      </c>
      <c r="B191" s="17">
        <f>[1]SUMMARY!B192</f>
        <v>45</v>
      </c>
      <c r="C191" s="17">
        <f>[1]SUMMARY!C192</f>
        <v>18</v>
      </c>
      <c r="D191" s="25" t="str">
        <f>[1]SUMMARY!D192</f>
        <v>APOLLO (INDIA)</v>
      </c>
      <c r="E191" s="25" t="str">
        <f>[1]SUMMARY!E192</f>
        <v>ASPIRE 4G+</v>
      </c>
      <c r="F191" s="20"/>
      <c r="G191" s="20">
        <v>33</v>
      </c>
      <c r="H191" s="20">
        <v>29</v>
      </c>
      <c r="I191" s="24">
        <f t="shared" si="0"/>
        <v>4</v>
      </c>
      <c r="J191" s="22">
        <f>[1]SUMMARY!N192</f>
        <v>4815.0200000000004</v>
      </c>
      <c r="K191" s="23">
        <f t="shared" si="2"/>
        <v>19260.080000000002</v>
      </c>
      <c r="L191" s="8"/>
      <c r="M191" s="8"/>
    </row>
    <row r="192" spans="1:13" x14ac:dyDescent="0.2">
      <c r="A192" s="17">
        <f>[1]SUMMARY!A193</f>
        <v>235</v>
      </c>
      <c r="B192" s="17">
        <f>[1]SUMMARY!B193</f>
        <v>50</v>
      </c>
      <c r="C192" s="17">
        <f>[1]SUMMARY!C193</f>
        <v>18</v>
      </c>
      <c r="D192" s="25" t="str">
        <f>[1]SUMMARY!D193</f>
        <v>APOLLO (INDIA)</v>
      </c>
      <c r="E192" s="25" t="str">
        <f>[1]SUMMARY!E193</f>
        <v>ASPIRE 4G+</v>
      </c>
      <c r="F192" s="20"/>
      <c r="G192" s="20">
        <v>42</v>
      </c>
      <c r="H192" s="20">
        <v>41</v>
      </c>
      <c r="I192" s="24">
        <f t="shared" si="0"/>
        <v>1</v>
      </c>
      <c r="J192" s="22">
        <f>[1]SUMMARY!N193</f>
        <v>4767.01</v>
      </c>
      <c r="K192" s="23">
        <f t="shared" si="2"/>
        <v>4767.01</v>
      </c>
      <c r="L192" s="8"/>
      <c r="M192" s="8"/>
    </row>
    <row r="193" spans="1:13" x14ac:dyDescent="0.2">
      <c r="A193" s="17">
        <f>[1]SUMMARY!A194</f>
        <v>215</v>
      </c>
      <c r="B193" s="17">
        <f>[1]SUMMARY!B194</f>
        <v>55</v>
      </c>
      <c r="C193" s="17">
        <f>[1]SUMMARY!C194</f>
        <v>18</v>
      </c>
      <c r="D193" s="25" t="str">
        <f>[1]SUMMARY!D194</f>
        <v>APOLLO (INDIA)</v>
      </c>
      <c r="E193" s="25" t="str">
        <f>[1]SUMMARY!E194</f>
        <v>APTERRA CROSS</v>
      </c>
      <c r="F193" s="20"/>
      <c r="G193" s="20">
        <v>25</v>
      </c>
      <c r="H193" s="20">
        <v>23</v>
      </c>
      <c r="I193" s="24">
        <f t="shared" si="0"/>
        <v>2</v>
      </c>
      <c r="J193" s="22">
        <f>[1]SUMMARY!N194</f>
        <v>4664.12</v>
      </c>
      <c r="K193" s="23">
        <f t="shared" si="2"/>
        <v>9328.24</v>
      </c>
      <c r="L193" s="8"/>
      <c r="M193" s="8"/>
    </row>
    <row r="194" spans="1:13" x14ac:dyDescent="0.2">
      <c r="A194" s="17">
        <f>[1]SUMMARY!A195</f>
        <v>225</v>
      </c>
      <c r="B194" s="17">
        <f>[1]SUMMARY!B195</f>
        <v>55</v>
      </c>
      <c r="C194" s="17">
        <f>[1]SUMMARY!C195</f>
        <v>18</v>
      </c>
      <c r="D194" s="25" t="str">
        <f>[1]SUMMARY!D195</f>
        <v>APOLLO (INDIA)</v>
      </c>
      <c r="E194" s="25" t="str">
        <f>[1]SUMMARY!E195</f>
        <v>APTERRA HT2</v>
      </c>
      <c r="F194" s="20"/>
      <c r="G194" s="20">
        <v>44</v>
      </c>
      <c r="H194" s="20">
        <v>44</v>
      </c>
      <c r="I194" s="30">
        <f t="shared" si="0"/>
        <v>0</v>
      </c>
      <c r="J194" s="22">
        <f>[1]SUMMARY!N195</f>
        <v>5144.25</v>
      </c>
      <c r="K194" s="23">
        <f t="shared" si="2"/>
        <v>0</v>
      </c>
      <c r="L194" s="8"/>
      <c r="M194" s="8"/>
    </row>
    <row r="195" spans="1:13" x14ac:dyDescent="0.2">
      <c r="A195" s="17">
        <f>[1]SUMMARY!A196</f>
        <v>235</v>
      </c>
      <c r="B195" s="17">
        <f>[1]SUMMARY!B196</f>
        <v>55</v>
      </c>
      <c r="C195" s="17">
        <f>[1]SUMMARY!C196</f>
        <v>18</v>
      </c>
      <c r="D195" s="25" t="str">
        <f>[1]SUMMARY!D196</f>
        <v>APOLLO (INDIA)</v>
      </c>
      <c r="E195" s="25" t="str">
        <f>[1]SUMMARY!E196</f>
        <v>ASPIRE 4G+</v>
      </c>
      <c r="F195" s="20"/>
      <c r="G195" s="20">
        <v>63</v>
      </c>
      <c r="H195" s="20">
        <v>53</v>
      </c>
      <c r="I195" s="24">
        <f t="shared" si="0"/>
        <v>10</v>
      </c>
      <c r="J195" s="22">
        <f>[1]SUMMARY!N196</f>
        <v>4849.3100000000004</v>
      </c>
      <c r="K195" s="23">
        <f t="shared" si="2"/>
        <v>48493.100000000006</v>
      </c>
      <c r="L195" s="8"/>
      <c r="M195" s="8"/>
    </row>
    <row r="196" spans="1:13" x14ac:dyDescent="0.2">
      <c r="A196" s="17">
        <f>[1]SUMMARY!A197</f>
        <v>235</v>
      </c>
      <c r="B196" s="17">
        <f>[1]SUMMARY!B197</f>
        <v>60</v>
      </c>
      <c r="C196" s="17">
        <f>[1]SUMMARY!C197</f>
        <v>18</v>
      </c>
      <c r="D196" s="25" t="str">
        <f>[1]SUMMARY!D197</f>
        <v>APOLLO (INDIA)</v>
      </c>
      <c r="E196" s="25" t="str">
        <f>[1]SUMMARY!E197</f>
        <v>APTERRA HT2</v>
      </c>
      <c r="F196" s="20"/>
      <c r="G196" s="20">
        <v>8</v>
      </c>
      <c r="H196" s="20">
        <v>8</v>
      </c>
      <c r="I196" s="30">
        <f t="shared" si="0"/>
        <v>0</v>
      </c>
      <c r="J196" s="22">
        <f>[1]SUMMARY!N197</f>
        <v>5494.06</v>
      </c>
      <c r="K196" s="23">
        <f t="shared" si="2"/>
        <v>0</v>
      </c>
      <c r="L196" s="8"/>
      <c r="M196" s="8"/>
    </row>
    <row r="197" spans="1:13" x14ac:dyDescent="0.2">
      <c r="A197" s="17">
        <f>[1]SUMMARY!A198</f>
        <v>235</v>
      </c>
      <c r="B197" s="17">
        <f>[1]SUMMARY!B198</f>
        <v>60</v>
      </c>
      <c r="C197" s="17">
        <f>[1]SUMMARY!C198</f>
        <v>18</v>
      </c>
      <c r="D197" s="25" t="str">
        <f>[1]SUMMARY!D198</f>
        <v>APOLLO (INDIA)</v>
      </c>
      <c r="E197" s="25" t="str">
        <f>[1]SUMMARY!E198</f>
        <v>APTERRA HP</v>
      </c>
      <c r="F197" s="20"/>
      <c r="G197" s="20">
        <v>8</v>
      </c>
      <c r="H197" s="20">
        <v>8</v>
      </c>
      <c r="I197" s="30">
        <f t="shared" si="0"/>
        <v>0</v>
      </c>
      <c r="J197" s="22">
        <f>[1]SUMMARY!N198</f>
        <v>5329.44</v>
      </c>
      <c r="K197" s="23">
        <f t="shared" si="2"/>
        <v>0</v>
      </c>
      <c r="L197" s="8"/>
      <c r="M197" s="8"/>
    </row>
    <row r="198" spans="1:13" x14ac:dyDescent="0.2">
      <c r="A198" s="17">
        <f>[1]SUMMARY!A199</f>
        <v>265</v>
      </c>
      <c r="B198" s="17">
        <f>[1]SUMMARY!B199</f>
        <v>60</v>
      </c>
      <c r="C198" s="17">
        <f>[1]SUMMARY!C199</f>
        <v>18</v>
      </c>
      <c r="D198" s="25" t="str">
        <f>[1]SUMMARY!D199</f>
        <v>APOLLO (INDIA)</v>
      </c>
      <c r="E198" s="25" t="str">
        <f>[1]SUMMARY!E199</f>
        <v>APTERRA AT2</v>
      </c>
      <c r="F198" s="20"/>
      <c r="G198" s="20">
        <v>33</v>
      </c>
      <c r="H198" s="20">
        <v>27</v>
      </c>
      <c r="I198" s="24">
        <f t="shared" si="0"/>
        <v>6</v>
      </c>
      <c r="J198" s="22">
        <f>[1]SUMMARY!N199</f>
        <v>5946.75</v>
      </c>
      <c r="K198" s="23">
        <f t="shared" si="2"/>
        <v>35680.5</v>
      </c>
      <c r="L198" s="8"/>
      <c r="M198" s="8"/>
    </row>
    <row r="199" spans="1:13" x14ac:dyDescent="0.2">
      <c r="A199" s="17">
        <f>[1]SUMMARY!A200</f>
        <v>265</v>
      </c>
      <c r="B199" s="17">
        <f>[1]SUMMARY!B200</f>
        <v>60</v>
      </c>
      <c r="C199" s="17">
        <f>[1]SUMMARY!C200</f>
        <v>18</v>
      </c>
      <c r="D199" s="25" t="str">
        <f>[1]SUMMARY!D200</f>
        <v>APOLLO (INDIA)</v>
      </c>
      <c r="E199" s="25" t="str">
        <f>[1]SUMMARY!E200</f>
        <v>APTERRA HT2</v>
      </c>
      <c r="F199" s="20"/>
      <c r="G199" s="20">
        <v>8</v>
      </c>
      <c r="H199" s="20">
        <v>8</v>
      </c>
      <c r="I199" s="30">
        <f t="shared" si="0"/>
        <v>0</v>
      </c>
      <c r="J199" s="22">
        <f>[1]SUMMARY!N200</f>
        <v>5768.42</v>
      </c>
      <c r="K199" s="23">
        <f t="shared" si="2"/>
        <v>0</v>
      </c>
      <c r="L199" s="8"/>
      <c r="M199" s="8"/>
    </row>
    <row r="200" spans="1:13" x14ac:dyDescent="0.2">
      <c r="A200" s="17">
        <f>[1]SUMMARY!A201</f>
        <v>245</v>
      </c>
      <c r="B200" s="17">
        <f>[1]SUMMARY!B201</f>
        <v>40</v>
      </c>
      <c r="C200" s="17">
        <f>[1]SUMMARY!C201</f>
        <v>19</v>
      </c>
      <c r="D200" s="25" t="str">
        <f>[1]SUMMARY!D201</f>
        <v>APOLLO (INDIA)</v>
      </c>
      <c r="E200" s="25" t="str">
        <f>[1]SUMMARY!E201</f>
        <v>ASPIRE 4G+</v>
      </c>
      <c r="F200" s="20"/>
      <c r="G200" s="20"/>
      <c r="H200" s="20"/>
      <c r="I200" s="30">
        <f t="shared" si="0"/>
        <v>0</v>
      </c>
      <c r="J200" s="22">
        <f>[1]SUMMARY!N201</f>
        <v>5714.12</v>
      </c>
      <c r="K200" s="23">
        <f t="shared" si="2"/>
        <v>0</v>
      </c>
      <c r="L200" s="8"/>
      <c r="M200" s="8"/>
    </row>
    <row r="201" spans="1:13" x14ac:dyDescent="0.2">
      <c r="A201" s="17">
        <f>[1]SUMMARY!A202</f>
        <v>235</v>
      </c>
      <c r="B201" s="17">
        <f>[1]SUMMARY!B202</f>
        <v>50</v>
      </c>
      <c r="C201" s="17">
        <f>[1]SUMMARY!C202</f>
        <v>19</v>
      </c>
      <c r="D201" s="25" t="str">
        <f>[1]SUMMARY!D202</f>
        <v>APOLLO (INDIA)</v>
      </c>
      <c r="E201" s="25" t="str">
        <f>[1]SUMMARY!E202</f>
        <v>ASPIRE 4G+</v>
      </c>
      <c r="F201" s="20"/>
      <c r="G201" s="20"/>
      <c r="H201" s="20"/>
      <c r="I201" s="30">
        <f t="shared" si="0"/>
        <v>0</v>
      </c>
      <c r="J201" s="22">
        <f>[1]SUMMARY!N202</f>
        <v>6681.02</v>
      </c>
      <c r="K201" s="23">
        <f t="shared" si="2"/>
        <v>0</v>
      </c>
      <c r="L201" s="8"/>
      <c r="M201" s="8"/>
    </row>
    <row r="202" spans="1:13" x14ac:dyDescent="0.2">
      <c r="A202" s="17">
        <f>[1]SUMMARY!A203</f>
        <v>265</v>
      </c>
      <c r="B202" s="17">
        <f>[1]SUMMARY!B203</f>
        <v>50</v>
      </c>
      <c r="C202" s="17">
        <f>[1]SUMMARY!C203</f>
        <v>20</v>
      </c>
      <c r="D202" s="25" t="str">
        <f>[1]SUMMARY!D203</f>
        <v>APOLLO (INDIA)</v>
      </c>
      <c r="E202" s="25" t="str">
        <f>[1]SUMMARY!E203</f>
        <v>APTERRA AT2</v>
      </c>
      <c r="F202" s="20"/>
      <c r="G202" s="20">
        <v>36</v>
      </c>
      <c r="H202" s="20">
        <v>32</v>
      </c>
      <c r="I202" s="24">
        <f t="shared" si="0"/>
        <v>4</v>
      </c>
      <c r="J202" s="22">
        <f>[1]SUMMARY!N203</f>
        <v>6385.73</v>
      </c>
      <c r="K202" s="23">
        <f t="shared" si="2"/>
        <v>25542.92</v>
      </c>
      <c r="L202" s="8"/>
      <c r="M202" s="8"/>
    </row>
    <row r="203" spans="1:13" x14ac:dyDescent="0.2">
      <c r="A203" s="17">
        <f>[1]SUMMARY!A204</f>
        <v>265</v>
      </c>
      <c r="B203" s="17">
        <f>[1]SUMMARY!B204</f>
        <v>50</v>
      </c>
      <c r="C203" s="17">
        <f>[1]SUMMARY!C204</f>
        <v>20</v>
      </c>
      <c r="D203" s="25" t="str">
        <f>[1]SUMMARY!D204</f>
        <v>APOLLO (INDIA)</v>
      </c>
      <c r="E203" s="25" t="str">
        <f>[1]SUMMARY!E204</f>
        <v>APTERRA HT2</v>
      </c>
      <c r="F203" s="20"/>
      <c r="G203" s="20">
        <v>16</v>
      </c>
      <c r="H203" s="20">
        <v>16</v>
      </c>
      <c r="I203" s="30">
        <f t="shared" si="0"/>
        <v>0</v>
      </c>
      <c r="J203" s="22">
        <f>[1]SUMMARY!N204</f>
        <v>6193.68</v>
      </c>
      <c r="K203" s="23">
        <f t="shared" si="2"/>
        <v>0</v>
      </c>
      <c r="L203" s="28">
        <f>SUM(K142:K203)</f>
        <v>866707.27600000019</v>
      </c>
      <c r="M203" s="29" t="s">
        <v>15</v>
      </c>
    </row>
    <row r="204" spans="1:13" x14ac:dyDescent="0.2">
      <c r="A204" s="17">
        <f>[1]SUMMARY!A205</f>
        <v>175</v>
      </c>
      <c r="B204" s="17">
        <f>[1]SUMMARY!B205</f>
        <v>0</v>
      </c>
      <c r="C204" s="17">
        <f>[1]SUMMARY!C205</f>
        <v>13</v>
      </c>
      <c r="D204" s="25" t="str">
        <f>[1]SUMMARY!D205</f>
        <v>ARIVO (CH)</v>
      </c>
      <c r="E204" s="25" t="str">
        <f>[1]SUMMARY!E205</f>
        <v>ARZ 6</v>
      </c>
      <c r="F204" s="20"/>
      <c r="G204" s="20">
        <v>22</v>
      </c>
      <c r="H204" s="20">
        <v>18</v>
      </c>
      <c r="I204" s="24">
        <f t="shared" si="0"/>
        <v>4</v>
      </c>
      <c r="J204" s="22">
        <f>[1]SUMMARY!N205</f>
        <v>2021.6</v>
      </c>
      <c r="K204" s="23">
        <f t="shared" si="2"/>
        <v>8086.4</v>
      </c>
      <c r="L204" s="8"/>
      <c r="M204" s="8"/>
    </row>
    <row r="205" spans="1:13" x14ac:dyDescent="0.2">
      <c r="A205" s="17">
        <f>[1]SUMMARY!A206</f>
        <v>185</v>
      </c>
      <c r="B205" s="17">
        <f>[1]SUMMARY!B206</f>
        <v>0</v>
      </c>
      <c r="C205" s="17" t="str">
        <f>[1]SUMMARY!C206</f>
        <v>14C</v>
      </c>
      <c r="D205" s="25" t="str">
        <f>[1]SUMMARY!D206</f>
        <v>ARIVO (CH)</v>
      </c>
      <c r="E205" s="25" t="str">
        <f>[1]SUMMARY!E206</f>
        <v>TRANSITO ARZ 6-C</v>
      </c>
      <c r="F205" s="20"/>
      <c r="G205" s="20">
        <v>14</v>
      </c>
      <c r="H205" s="20">
        <v>14</v>
      </c>
      <c r="I205" s="30">
        <f t="shared" si="0"/>
        <v>0</v>
      </c>
      <c r="J205" s="22">
        <f>[1]SUMMARY!N206</f>
        <v>2144.34</v>
      </c>
      <c r="K205" s="23">
        <f t="shared" si="2"/>
        <v>0</v>
      </c>
      <c r="L205" s="8"/>
      <c r="M205" s="8"/>
    </row>
    <row r="206" spans="1:13" x14ac:dyDescent="0.2">
      <c r="A206" s="17">
        <f>[1]SUMMARY!A207</f>
        <v>195</v>
      </c>
      <c r="B206" s="17">
        <f>[1]SUMMARY!B207</f>
        <v>0</v>
      </c>
      <c r="C206" s="17" t="str">
        <f>[1]SUMMARY!C207</f>
        <v>14C</v>
      </c>
      <c r="D206" s="25" t="str">
        <f>[1]SUMMARY!D207</f>
        <v>ARIVO (CH)</v>
      </c>
      <c r="E206" s="25" t="str">
        <f>[1]SUMMARY!E207</f>
        <v>TRANSITO ARZ 6-C</v>
      </c>
      <c r="F206" s="20"/>
      <c r="G206" s="20">
        <v>16</v>
      </c>
      <c r="H206" s="20">
        <v>16</v>
      </c>
      <c r="I206" s="30">
        <f t="shared" si="0"/>
        <v>0</v>
      </c>
      <c r="J206" s="22">
        <f>[1]SUMMARY!N207</f>
        <v>2483.6799999999998</v>
      </c>
      <c r="K206" s="23">
        <f t="shared" si="2"/>
        <v>0</v>
      </c>
      <c r="L206" s="8"/>
      <c r="M206" s="8"/>
    </row>
    <row r="207" spans="1:13" x14ac:dyDescent="0.2">
      <c r="A207" s="17">
        <f>[1]SUMMARY!A208</f>
        <v>175</v>
      </c>
      <c r="B207" s="17">
        <f>[1]SUMMARY!B208</f>
        <v>65</v>
      </c>
      <c r="C207" s="17">
        <f>[1]SUMMARY!C208</f>
        <v>14</v>
      </c>
      <c r="D207" s="25" t="str">
        <f>[1]SUMMARY!D208</f>
        <v>ARIVO (CH)</v>
      </c>
      <c r="E207" s="25" t="str">
        <f>[1]SUMMARY!E208</f>
        <v>PREMIO ARZ1</v>
      </c>
      <c r="F207" s="20"/>
      <c r="G207" s="20">
        <v>33</v>
      </c>
      <c r="H207" s="20">
        <v>31</v>
      </c>
      <c r="I207" s="24">
        <f t="shared" si="0"/>
        <v>2</v>
      </c>
      <c r="J207" s="22">
        <f>[1]SUMMARY!N208</f>
        <v>1508.98</v>
      </c>
      <c r="K207" s="23">
        <f t="shared" si="2"/>
        <v>3017.96</v>
      </c>
      <c r="L207" s="8"/>
      <c r="M207" s="8"/>
    </row>
    <row r="208" spans="1:13" x14ac:dyDescent="0.2">
      <c r="A208" s="17">
        <f>[1]SUMMARY!A209</f>
        <v>175</v>
      </c>
      <c r="B208" s="17">
        <f>[1]SUMMARY!B209</f>
        <v>65</v>
      </c>
      <c r="C208" s="17">
        <f>[1]SUMMARY!C209</f>
        <v>14</v>
      </c>
      <c r="D208" s="25" t="str">
        <f>[1]SUMMARY!D209</f>
        <v>ARIVO (CH)</v>
      </c>
      <c r="E208" s="25" t="str">
        <f>[1]SUMMARY!E209</f>
        <v>PREMIO COMFORT 6</v>
      </c>
      <c r="F208" s="20"/>
      <c r="G208" s="20">
        <v>4</v>
      </c>
      <c r="H208" s="20"/>
      <c r="I208" s="24">
        <f t="shared" si="0"/>
        <v>4</v>
      </c>
      <c r="J208" s="22">
        <f>[1]SUMMARY!N209</f>
        <v>1508.98</v>
      </c>
      <c r="K208" s="23">
        <f t="shared" si="2"/>
        <v>6035.92</v>
      </c>
      <c r="L208" s="8"/>
      <c r="M208" s="8"/>
    </row>
    <row r="209" spans="1:13" x14ac:dyDescent="0.2">
      <c r="A209" s="17">
        <f>[1]SUMMARY!A210</f>
        <v>185</v>
      </c>
      <c r="B209" s="17">
        <f>[1]SUMMARY!B210</f>
        <v>65</v>
      </c>
      <c r="C209" s="17">
        <f>[1]SUMMARY!C210</f>
        <v>14</v>
      </c>
      <c r="D209" s="25" t="str">
        <f>[1]SUMMARY!D210</f>
        <v>ARIVO (CH)</v>
      </c>
      <c r="E209" s="25" t="str">
        <f>[1]SUMMARY!E210</f>
        <v>PREMIO ARZ1</v>
      </c>
      <c r="F209" s="20"/>
      <c r="G209" s="20"/>
      <c r="H209" s="20"/>
      <c r="I209" s="30">
        <f t="shared" si="0"/>
        <v>0</v>
      </c>
      <c r="J209" s="22">
        <f>[1]SUMMARY!N210</f>
        <v>1595.62</v>
      </c>
      <c r="K209" s="23">
        <f t="shared" si="2"/>
        <v>0</v>
      </c>
      <c r="L209" s="8"/>
      <c r="M209" s="8"/>
    </row>
    <row r="210" spans="1:13" x14ac:dyDescent="0.2">
      <c r="A210" s="17">
        <f>[1]SUMMARY!A211</f>
        <v>175</v>
      </c>
      <c r="B210" s="17">
        <f>[1]SUMMARY!B211</f>
        <v>70</v>
      </c>
      <c r="C210" s="17">
        <f>[1]SUMMARY!C211</f>
        <v>14</v>
      </c>
      <c r="D210" s="25" t="str">
        <f>[1]SUMMARY!D211</f>
        <v>ARIVO (CH)</v>
      </c>
      <c r="E210" s="25" t="str">
        <f>[1]SUMMARY!E211</f>
        <v>PREMIO ARZ1</v>
      </c>
      <c r="F210" s="20"/>
      <c r="G210" s="20">
        <v>4</v>
      </c>
      <c r="H210" s="20">
        <v>4</v>
      </c>
      <c r="I210" s="30">
        <f t="shared" si="0"/>
        <v>0</v>
      </c>
      <c r="J210" s="22">
        <f>[1]SUMMARY!N211</f>
        <v>1936</v>
      </c>
      <c r="K210" s="23">
        <f t="shared" si="2"/>
        <v>0</v>
      </c>
      <c r="L210" s="8"/>
      <c r="M210" s="8"/>
    </row>
    <row r="211" spans="1:13" x14ac:dyDescent="0.2">
      <c r="A211" s="17">
        <f>[1]SUMMARY!A212</f>
        <v>195</v>
      </c>
      <c r="B211" s="17">
        <f>[1]SUMMARY!B212</f>
        <v>0</v>
      </c>
      <c r="C211" s="17" t="str">
        <f>[1]SUMMARY!C212</f>
        <v>15C</v>
      </c>
      <c r="D211" s="25" t="str">
        <f>[1]SUMMARY!D212</f>
        <v>ARIVO (CH)</v>
      </c>
      <c r="E211" s="25" t="str">
        <f>[1]SUMMARY!E212</f>
        <v>TRANSITO ARZ 6-C</v>
      </c>
      <c r="F211" s="20"/>
      <c r="G211" s="20">
        <v>20</v>
      </c>
      <c r="H211" s="20">
        <v>20</v>
      </c>
      <c r="I211" s="30">
        <f t="shared" si="0"/>
        <v>0</v>
      </c>
      <c r="J211" s="22">
        <f>[1]SUMMARY!N212</f>
        <v>2664.18</v>
      </c>
      <c r="K211" s="23">
        <f t="shared" si="2"/>
        <v>0</v>
      </c>
      <c r="L211" s="8"/>
      <c r="M211" s="8"/>
    </row>
    <row r="212" spans="1:13" x14ac:dyDescent="0.2">
      <c r="A212" s="17">
        <f>[1]SUMMARY!A213</f>
        <v>175</v>
      </c>
      <c r="B212" s="17">
        <f>[1]SUMMARY!B213</f>
        <v>50</v>
      </c>
      <c r="C212" s="17">
        <f>[1]SUMMARY!C213</f>
        <v>15</v>
      </c>
      <c r="D212" s="25" t="str">
        <f>[1]SUMMARY!D213</f>
        <v>ARIVO (CH)</v>
      </c>
      <c r="E212" s="25" t="str">
        <f>[1]SUMMARY!E213</f>
        <v>PREMIO ARZ1</v>
      </c>
      <c r="F212" s="20"/>
      <c r="G212" s="20">
        <v>26</v>
      </c>
      <c r="H212" s="20">
        <v>25</v>
      </c>
      <c r="I212" s="24">
        <f t="shared" si="0"/>
        <v>1</v>
      </c>
      <c r="J212" s="22">
        <f>[1]SUMMARY!N213</f>
        <v>1682.26</v>
      </c>
      <c r="K212" s="23">
        <f t="shared" si="2"/>
        <v>1682.26</v>
      </c>
      <c r="L212" s="8"/>
      <c r="M212" s="8"/>
    </row>
    <row r="213" spans="1:13" x14ac:dyDescent="0.2">
      <c r="A213" s="17">
        <f>[1]SUMMARY!A214</f>
        <v>195</v>
      </c>
      <c r="B213" s="17">
        <f>[1]SUMMARY!B214</f>
        <v>50</v>
      </c>
      <c r="C213" s="17">
        <f>[1]SUMMARY!C214</f>
        <v>15</v>
      </c>
      <c r="D213" s="25" t="str">
        <f>[1]SUMMARY!D214</f>
        <v>ARIVO (CH)</v>
      </c>
      <c r="E213" s="25" t="str">
        <f>[1]SUMMARY!E214</f>
        <v>PREMIO ARZ1</v>
      </c>
      <c r="F213" s="20"/>
      <c r="G213" s="20">
        <v>48</v>
      </c>
      <c r="H213" s="20">
        <v>46</v>
      </c>
      <c r="I213" s="24">
        <f t="shared" si="0"/>
        <v>2</v>
      </c>
      <c r="J213" s="22">
        <f>[1]SUMMARY!N214</f>
        <v>2000</v>
      </c>
      <c r="K213" s="23">
        <f t="shared" si="2"/>
        <v>4000</v>
      </c>
      <c r="L213" s="8"/>
      <c r="M213" s="8"/>
    </row>
    <row r="214" spans="1:13" x14ac:dyDescent="0.2">
      <c r="A214" s="17">
        <f>[1]SUMMARY!A215</f>
        <v>175</v>
      </c>
      <c r="B214" s="17">
        <f>[1]SUMMARY!B215</f>
        <v>55</v>
      </c>
      <c r="C214" s="17">
        <f>[1]SUMMARY!C215</f>
        <v>15</v>
      </c>
      <c r="D214" s="25" t="str">
        <f>[1]SUMMARY!D215</f>
        <v>ARIVO (CH)</v>
      </c>
      <c r="E214" s="25" t="str">
        <f>[1]SUMMARY!E215</f>
        <v>PREMIO ARZ1</v>
      </c>
      <c r="F214" s="20"/>
      <c r="G214" s="20">
        <v>22</v>
      </c>
      <c r="H214" s="20">
        <v>20</v>
      </c>
      <c r="I214" s="24">
        <f t="shared" si="0"/>
        <v>2</v>
      </c>
      <c r="J214" s="22">
        <f>[1]SUMMARY!N215</f>
        <v>1747.24</v>
      </c>
      <c r="K214" s="23">
        <f t="shared" si="2"/>
        <v>3494.48</v>
      </c>
      <c r="L214" s="8"/>
      <c r="M214" s="8"/>
    </row>
    <row r="215" spans="1:13" x14ac:dyDescent="0.2">
      <c r="A215" s="17">
        <f>[1]SUMMARY!A216</f>
        <v>185</v>
      </c>
      <c r="B215" s="17">
        <f>[1]SUMMARY!B216</f>
        <v>55</v>
      </c>
      <c r="C215" s="17">
        <f>[1]SUMMARY!C216</f>
        <v>15</v>
      </c>
      <c r="D215" s="25" t="str">
        <f>[1]SUMMARY!D216</f>
        <v>ARIVO (CH)</v>
      </c>
      <c r="E215" s="25" t="str">
        <f>[1]SUMMARY!E216</f>
        <v>PREMIO ARZ1</v>
      </c>
      <c r="F215" s="20"/>
      <c r="G215" s="20">
        <v>22</v>
      </c>
      <c r="H215" s="20">
        <v>22</v>
      </c>
      <c r="I215" s="24">
        <f t="shared" si="0"/>
        <v>0</v>
      </c>
      <c r="J215" s="22">
        <f>[1]SUMMARY!N216</f>
        <v>1920.52</v>
      </c>
      <c r="K215" s="23">
        <f t="shared" si="2"/>
        <v>0</v>
      </c>
      <c r="L215" s="8"/>
      <c r="M215" s="8"/>
    </row>
    <row r="216" spans="1:13" x14ac:dyDescent="0.2">
      <c r="A216" s="17">
        <f>[1]SUMMARY!A217</f>
        <v>195</v>
      </c>
      <c r="B216" s="17">
        <f>[1]SUMMARY!B217</f>
        <v>55</v>
      </c>
      <c r="C216" s="17">
        <f>[1]SUMMARY!C217</f>
        <v>15</v>
      </c>
      <c r="D216" s="25" t="str">
        <f>[1]SUMMARY!D217</f>
        <v>ARIVO (CH)</v>
      </c>
      <c r="E216" s="25" t="str">
        <f>[1]SUMMARY!E217</f>
        <v>PREMIO ARZ1</v>
      </c>
      <c r="F216" s="20"/>
      <c r="G216" s="20">
        <v>73</v>
      </c>
      <c r="H216" s="20">
        <v>71</v>
      </c>
      <c r="I216" s="24">
        <f t="shared" si="0"/>
        <v>2</v>
      </c>
      <c r="J216" s="22">
        <f>[1]SUMMARY!N217</f>
        <v>2050</v>
      </c>
      <c r="K216" s="23">
        <f t="shared" si="2"/>
        <v>4100</v>
      </c>
      <c r="L216" s="8"/>
      <c r="M216" s="8"/>
    </row>
    <row r="217" spans="1:13" x14ac:dyDescent="0.2">
      <c r="A217" s="17">
        <f>[1]SUMMARY!A218</f>
        <v>185</v>
      </c>
      <c r="B217" s="17">
        <f>[1]SUMMARY!B218</f>
        <v>60</v>
      </c>
      <c r="C217" s="17">
        <f>[1]SUMMARY!C218</f>
        <v>15</v>
      </c>
      <c r="D217" s="25" t="str">
        <f>[1]SUMMARY!D218</f>
        <v>ARIVO (CH)</v>
      </c>
      <c r="E217" s="25" t="str">
        <f>[1]SUMMARY!E218</f>
        <v>PREMIO ARZ1</v>
      </c>
      <c r="F217" s="20"/>
      <c r="G217" s="20">
        <v>33</v>
      </c>
      <c r="H217" s="20">
        <v>33</v>
      </c>
      <c r="I217" s="24">
        <f t="shared" si="0"/>
        <v>0</v>
      </c>
      <c r="J217" s="22">
        <f>[1]SUMMARY!N218</f>
        <v>1913.3</v>
      </c>
      <c r="K217" s="23">
        <f t="shared" si="2"/>
        <v>0</v>
      </c>
      <c r="L217" s="8"/>
      <c r="M217" s="8"/>
    </row>
    <row r="218" spans="1:13" x14ac:dyDescent="0.2">
      <c r="A218" s="17">
        <f>[1]SUMMARY!A219</f>
        <v>175</v>
      </c>
      <c r="B218" s="17">
        <f>[1]SUMMARY!B219</f>
        <v>65</v>
      </c>
      <c r="C218" s="17">
        <f>[1]SUMMARY!C219</f>
        <v>15</v>
      </c>
      <c r="D218" s="25" t="str">
        <f>[1]SUMMARY!D219</f>
        <v>ARIVO (CH)</v>
      </c>
      <c r="E218" s="25" t="str">
        <f>[1]SUMMARY!E219</f>
        <v>PREMIO ARZ1</v>
      </c>
      <c r="F218" s="20"/>
      <c r="G218" s="20">
        <v>21</v>
      </c>
      <c r="H218" s="20">
        <v>15</v>
      </c>
      <c r="I218" s="24">
        <f t="shared" si="0"/>
        <v>6</v>
      </c>
      <c r="J218" s="22">
        <f>[1]SUMMARY!N219</f>
        <v>1898.86</v>
      </c>
      <c r="K218" s="23">
        <f t="shared" si="2"/>
        <v>11393.16</v>
      </c>
      <c r="L218" s="8"/>
      <c r="M218" s="8"/>
    </row>
    <row r="219" spans="1:13" x14ac:dyDescent="0.2">
      <c r="A219" s="17">
        <f>[1]SUMMARY!A220</f>
        <v>185</v>
      </c>
      <c r="B219" s="17">
        <f>[1]SUMMARY!B220</f>
        <v>65</v>
      </c>
      <c r="C219" s="17">
        <f>[1]SUMMARY!C220</f>
        <v>15</v>
      </c>
      <c r="D219" s="25" t="str">
        <f>[1]SUMMARY!D220</f>
        <v>ARIVO (CH)</v>
      </c>
      <c r="E219" s="25" t="str">
        <f>[1]SUMMARY!E220</f>
        <v>PREMIO ARZ1</v>
      </c>
      <c r="F219" s="20"/>
      <c r="G219" s="20">
        <v>25</v>
      </c>
      <c r="H219" s="20">
        <v>21</v>
      </c>
      <c r="I219" s="24">
        <f t="shared" si="0"/>
        <v>4</v>
      </c>
      <c r="J219" s="22">
        <f>[1]SUMMARY!N220</f>
        <v>2043.26</v>
      </c>
      <c r="K219" s="23">
        <f t="shared" si="2"/>
        <v>8173.04</v>
      </c>
      <c r="L219" s="8"/>
      <c r="M219" s="8"/>
    </row>
    <row r="220" spans="1:13" x14ac:dyDescent="0.2">
      <c r="A220" s="17">
        <f>[1]SUMMARY!A221</f>
        <v>195</v>
      </c>
      <c r="B220" s="17">
        <f>[1]SUMMARY!B221</f>
        <v>65</v>
      </c>
      <c r="C220" s="17">
        <f>[1]SUMMARY!C221</f>
        <v>15</v>
      </c>
      <c r="D220" s="25" t="str">
        <f>[1]SUMMARY!D221</f>
        <v>ARIVO (CH)</v>
      </c>
      <c r="E220" s="25" t="str">
        <f>[1]SUMMARY!E221</f>
        <v>PREMIO ARZ1</v>
      </c>
      <c r="F220" s="20"/>
      <c r="G220" s="20"/>
      <c r="H220" s="20"/>
      <c r="I220" s="30">
        <f t="shared" si="0"/>
        <v>0</v>
      </c>
      <c r="J220" s="22">
        <f>[1]SUMMARY!N221</f>
        <v>2050.48</v>
      </c>
      <c r="K220" s="23">
        <f t="shared" si="2"/>
        <v>0</v>
      </c>
      <c r="L220" s="8"/>
      <c r="M220" s="8"/>
    </row>
    <row r="221" spans="1:13" x14ac:dyDescent="0.2">
      <c r="A221" s="17">
        <f>[1]SUMMARY!A222</f>
        <v>205</v>
      </c>
      <c r="B221" s="17">
        <f>[1]SUMMARY!B222</f>
        <v>65</v>
      </c>
      <c r="C221" s="17">
        <f>[1]SUMMARY!C222</f>
        <v>15</v>
      </c>
      <c r="D221" s="25" t="str">
        <f>[1]SUMMARY!D222</f>
        <v>ARIVO (CH)</v>
      </c>
      <c r="E221" s="25" t="str">
        <f>[1]SUMMARY!E222</f>
        <v>PREMIO ARZ1</v>
      </c>
      <c r="F221" s="20"/>
      <c r="G221" s="20">
        <v>16</v>
      </c>
      <c r="H221" s="20">
        <v>12</v>
      </c>
      <c r="I221" s="24">
        <f t="shared" si="0"/>
        <v>4</v>
      </c>
      <c r="J221" s="22">
        <f>[1]SUMMARY!N222</f>
        <v>2400</v>
      </c>
      <c r="K221" s="23">
        <f t="shared" si="2"/>
        <v>9600</v>
      </c>
      <c r="L221" s="8"/>
      <c r="M221" s="8"/>
    </row>
    <row r="222" spans="1:13" x14ac:dyDescent="0.2">
      <c r="A222" s="17">
        <f>[1]SUMMARY!A223</f>
        <v>205</v>
      </c>
      <c r="B222" s="17">
        <f>[1]SUMMARY!B223</f>
        <v>70</v>
      </c>
      <c r="C222" s="17">
        <f>[1]SUMMARY!C223</f>
        <v>15</v>
      </c>
      <c r="D222" s="25" t="str">
        <f>[1]SUMMARY!D223</f>
        <v>ARIVO (CH)</v>
      </c>
      <c r="E222" s="25" t="str">
        <f>[1]SUMMARY!E223</f>
        <v>PREMIO ARZ1</v>
      </c>
      <c r="F222" s="20"/>
      <c r="G222" s="20">
        <v>14</v>
      </c>
      <c r="H222" s="20">
        <v>14</v>
      </c>
      <c r="I222" s="30">
        <f t="shared" si="0"/>
        <v>0</v>
      </c>
      <c r="J222" s="22">
        <f>[1]SUMMARY!N223</f>
        <v>2600</v>
      </c>
      <c r="K222" s="23">
        <f t="shared" si="2"/>
        <v>0</v>
      </c>
      <c r="L222" s="8"/>
      <c r="M222" s="8"/>
    </row>
    <row r="223" spans="1:13" x14ac:dyDescent="0.2">
      <c r="A223" s="17">
        <f>[1]SUMMARY!A224</f>
        <v>205</v>
      </c>
      <c r="B223" s="17">
        <f>[1]SUMMARY!B224</f>
        <v>70</v>
      </c>
      <c r="C223" s="17" t="str">
        <f>[1]SUMMARY!C224</f>
        <v>15C</v>
      </c>
      <c r="D223" s="25" t="str">
        <f>[1]SUMMARY!D224</f>
        <v>ARIVO (CH)</v>
      </c>
      <c r="E223" s="25" t="str">
        <f>[1]SUMMARY!E224</f>
        <v>PREMIO ARZ6</v>
      </c>
      <c r="F223" s="20"/>
      <c r="G223" s="20"/>
      <c r="H223" s="20"/>
      <c r="I223" s="30">
        <f t="shared" si="0"/>
        <v>0</v>
      </c>
      <c r="J223" s="22">
        <f>[1]SUMMARY!N224</f>
        <v>2990.88</v>
      </c>
      <c r="K223" s="23">
        <f t="shared" si="2"/>
        <v>0</v>
      </c>
      <c r="L223" s="8"/>
      <c r="M223" s="8"/>
    </row>
    <row r="224" spans="1:13" x14ac:dyDescent="0.2">
      <c r="A224" s="17">
        <f>[1]SUMMARY!A225</f>
        <v>33</v>
      </c>
      <c r="B224" s="17">
        <f>[1]SUMMARY!B225</f>
        <v>12.5</v>
      </c>
      <c r="C224" s="17">
        <f>[1]SUMMARY!C225</f>
        <v>15</v>
      </c>
      <c r="D224" s="25" t="str">
        <f>[1]SUMMARY!D225</f>
        <v>ARIVO (CH)</v>
      </c>
      <c r="E224" s="25" t="str">
        <f>[1]SUMMARY!E225</f>
        <v>ROCK TRAK R/T</v>
      </c>
      <c r="F224" s="20"/>
      <c r="G224" s="20"/>
      <c r="H224" s="20"/>
      <c r="I224" s="30">
        <f t="shared" si="0"/>
        <v>0</v>
      </c>
      <c r="J224" s="22">
        <f>[1]SUMMARY!N225</f>
        <v>7689.3</v>
      </c>
      <c r="K224" s="23">
        <f t="shared" si="2"/>
        <v>0</v>
      </c>
      <c r="L224" s="8"/>
      <c r="M224" s="8"/>
    </row>
    <row r="225" spans="1:13" x14ac:dyDescent="0.2">
      <c r="A225" s="17">
        <f>[1]SUMMARY!A226</f>
        <v>195</v>
      </c>
      <c r="B225" s="17">
        <f>[1]SUMMARY!B226</f>
        <v>50</v>
      </c>
      <c r="C225" s="17">
        <f>[1]SUMMARY!C226</f>
        <v>16</v>
      </c>
      <c r="D225" s="25" t="str">
        <f>[1]SUMMARY!D226</f>
        <v>ARIVO (CH)</v>
      </c>
      <c r="E225" s="25" t="str">
        <f>[1]SUMMARY!E226</f>
        <v>ULTRA ARZ4</v>
      </c>
      <c r="F225" s="20"/>
      <c r="G225" s="20">
        <v>10</v>
      </c>
      <c r="H225" s="20">
        <v>10</v>
      </c>
      <c r="I225" s="30">
        <f t="shared" si="0"/>
        <v>0</v>
      </c>
      <c r="J225" s="22">
        <f>[1]SUMMARY!N226</f>
        <v>2320</v>
      </c>
      <c r="K225" s="23">
        <f t="shared" si="2"/>
        <v>0</v>
      </c>
      <c r="L225" s="8"/>
      <c r="M225" s="8"/>
    </row>
    <row r="226" spans="1:13" x14ac:dyDescent="0.2">
      <c r="A226" s="17">
        <f>[1]SUMMARY!A227</f>
        <v>195</v>
      </c>
      <c r="B226" s="17">
        <f>[1]SUMMARY!B227</f>
        <v>50</v>
      </c>
      <c r="C226" s="17">
        <f>[1]SUMMARY!C227</f>
        <v>16</v>
      </c>
      <c r="D226" s="25" t="str">
        <f>[1]SUMMARY!D227</f>
        <v>ARIVO (CH)</v>
      </c>
      <c r="E226" s="25" t="str">
        <f>[1]SUMMARY!E227</f>
        <v>ULTRA ARZ5</v>
      </c>
      <c r="F226" s="20"/>
      <c r="G226" s="20">
        <v>33</v>
      </c>
      <c r="H226" s="20">
        <v>28</v>
      </c>
      <c r="I226" s="24">
        <f t="shared" si="0"/>
        <v>5</v>
      </c>
      <c r="J226" s="22">
        <f>[1]SUMMARY!N227</f>
        <v>2216.54</v>
      </c>
      <c r="K226" s="23">
        <f t="shared" si="2"/>
        <v>11082.7</v>
      </c>
      <c r="L226" s="8"/>
      <c r="M226" s="8"/>
    </row>
    <row r="227" spans="1:13" x14ac:dyDescent="0.2">
      <c r="A227" s="17">
        <f>[1]SUMMARY!A228</f>
        <v>205</v>
      </c>
      <c r="B227" s="17">
        <f>[1]SUMMARY!B228</f>
        <v>50</v>
      </c>
      <c r="C227" s="17">
        <f>[1]SUMMARY!C228</f>
        <v>16</v>
      </c>
      <c r="D227" s="25" t="str">
        <f>[1]SUMMARY!D228</f>
        <v>ARIVO (CH)</v>
      </c>
      <c r="E227" s="25" t="str">
        <f>[1]SUMMARY!E228</f>
        <v>ULTRA ARZ4</v>
      </c>
      <c r="F227" s="20"/>
      <c r="G227" s="20">
        <v>2</v>
      </c>
      <c r="H227" s="20">
        <v>2</v>
      </c>
      <c r="I227" s="30">
        <f t="shared" si="0"/>
        <v>0</v>
      </c>
      <c r="J227" s="22">
        <f>[1]SUMMARY!N228</f>
        <v>2303.1799999999998</v>
      </c>
      <c r="K227" s="23">
        <f t="shared" si="2"/>
        <v>0</v>
      </c>
      <c r="L227" s="8"/>
      <c r="M227" s="8"/>
    </row>
    <row r="228" spans="1:13" x14ac:dyDescent="0.2">
      <c r="A228" s="17">
        <f>[1]SUMMARY!A229</f>
        <v>205</v>
      </c>
      <c r="B228" s="17">
        <f>[1]SUMMARY!B229</f>
        <v>50</v>
      </c>
      <c r="C228" s="17">
        <f>[1]SUMMARY!C229</f>
        <v>16</v>
      </c>
      <c r="D228" s="25" t="str">
        <f>[1]SUMMARY!D229</f>
        <v>ARIVO (CH)</v>
      </c>
      <c r="E228" s="25" t="str">
        <f>[1]SUMMARY!E229</f>
        <v>ULTRA ARZ5</v>
      </c>
      <c r="F228" s="20"/>
      <c r="G228" s="20">
        <v>12</v>
      </c>
      <c r="H228" s="20">
        <v>8</v>
      </c>
      <c r="I228" s="30">
        <f t="shared" si="0"/>
        <v>4</v>
      </c>
      <c r="J228" s="22">
        <f>[1]SUMMARY!N229</f>
        <v>2397.04</v>
      </c>
      <c r="K228" s="23">
        <f t="shared" si="2"/>
        <v>9588.16</v>
      </c>
      <c r="L228" s="8"/>
      <c r="M228" s="8"/>
    </row>
    <row r="229" spans="1:13" x14ac:dyDescent="0.2">
      <c r="A229" s="17">
        <f>[1]SUMMARY!A230</f>
        <v>185</v>
      </c>
      <c r="B229" s="17">
        <f>[1]SUMMARY!B230</f>
        <v>55</v>
      </c>
      <c r="C229" s="17">
        <f>[1]SUMMARY!C230</f>
        <v>16</v>
      </c>
      <c r="D229" s="25" t="str">
        <f>[1]SUMMARY!D230</f>
        <v>ARIVO (CH)</v>
      </c>
      <c r="E229" s="25" t="str">
        <f>[1]SUMMARY!E230</f>
        <v>PREMIO ARZ1</v>
      </c>
      <c r="F229" s="20"/>
      <c r="G229" s="20">
        <v>12</v>
      </c>
      <c r="H229" s="20">
        <v>12</v>
      </c>
      <c r="I229" s="30">
        <f t="shared" si="0"/>
        <v>0</v>
      </c>
      <c r="J229" s="22">
        <f>[1]SUMMARY!N230</f>
        <v>2384</v>
      </c>
      <c r="K229" s="23">
        <f t="shared" si="2"/>
        <v>0</v>
      </c>
      <c r="L229" s="8"/>
      <c r="M229" s="8"/>
    </row>
    <row r="230" spans="1:13" x14ac:dyDescent="0.2">
      <c r="A230" s="17">
        <f>[1]SUMMARY!A231</f>
        <v>195</v>
      </c>
      <c r="B230" s="17">
        <f>[1]SUMMARY!B231</f>
        <v>45</v>
      </c>
      <c r="C230" s="17">
        <f>[1]SUMMARY!C231</f>
        <v>16</v>
      </c>
      <c r="D230" s="25" t="str">
        <f>[1]SUMMARY!D231</f>
        <v>ARIVO (CH)</v>
      </c>
      <c r="E230" s="25" t="str">
        <f>[1]SUMMARY!E231</f>
        <v>ULTRA ARZ4</v>
      </c>
      <c r="F230" s="20"/>
      <c r="G230" s="20"/>
      <c r="H230" s="20"/>
      <c r="I230" s="30">
        <f t="shared" si="0"/>
        <v>0</v>
      </c>
      <c r="J230" s="22">
        <f>[1]SUMMARY!N231</f>
        <v>2151.56</v>
      </c>
      <c r="K230" s="23">
        <f t="shared" si="2"/>
        <v>0</v>
      </c>
      <c r="L230" s="8"/>
      <c r="M230" s="8"/>
    </row>
    <row r="231" spans="1:13" x14ac:dyDescent="0.2">
      <c r="A231" s="17">
        <f>[1]SUMMARY!A232</f>
        <v>205</v>
      </c>
      <c r="B231" s="17">
        <f>[1]SUMMARY!B232</f>
        <v>45</v>
      </c>
      <c r="C231" s="17">
        <f>[1]SUMMARY!C232</f>
        <v>16</v>
      </c>
      <c r="D231" s="25" t="str">
        <f>[1]SUMMARY!D232</f>
        <v>ARIVO (CH)</v>
      </c>
      <c r="E231" s="25" t="str">
        <f>[1]SUMMARY!E232</f>
        <v>ULTRA ARZ4</v>
      </c>
      <c r="F231" s="20"/>
      <c r="G231" s="20">
        <v>37</v>
      </c>
      <c r="H231" s="20">
        <v>29</v>
      </c>
      <c r="I231" s="24">
        <f t="shared" si="0"/>
        <v>8</v>
      </c>
      <c r="J231" s="22">
        <f>[1]SUMMARY!N232</f>
        <v>2295.96</v>
      </c>
      <c r="K231" s="23">
        <f t="shared" si="2"/>
        <v>18367.68</v>
      </c>
      <c r="L231" s="8"/>
      <c r="M231" s="8"/>
    </row>
    <row r="232" spans="1:13" x14ac:dyDescent="0.2">
      <c r="A232" s="17">
        <f>[1]SUMMARY!A233</f>
        <v>205</v>
      </c>
      <c r="B232" s="17">
        <f>[1]SUMMARY!B233</f>
        <v>55</v>
      </c>
      <c r="C232" s="17">
        <f>[1]SUMMARY!C233</f>
        <v>16</v>
      </c>
      <c r="D232" s="25" t="str">
        <f>[1]SUMMARY!D233</f>
        <v>ARIVO (CH)</v>
      </c>
      <c r="E232" s="25" t="str">
        <f>[1]SUMMARY!E233</f>
        <v>ULTRA ARZ4</v>
      </c>
      <c r="F232" s="20"/>
      <c r="G232" s="20">
        <v>10</v>
      </c>
      <c r="H232" s="20">
        <v>10</v>
      </c>
      <c r="I232" s="30">
        <f t="shared" si="0"/>
        <v>0</v>
      </c>
      <c r="J232" s="22">
        <f>[1]SUMMARY!N233</f>
        <v>2599.1999999999998</v>
      </c>
      <c r="K232" s="23">
        <f t="shared" si="2"/>
        <v>0</v>
      </c>
      <c r="L232" s="8"/>
      <c r="M232" s="8"/>
    </row>
    <row r="233" spans="1:13" x14ac:dyDescent="0.2">
      <c r="A233" s="17">
        <f>[1]SUMMARY!A234</f>
        <v>215</v>
      </c>
      <c r="B233" s="17">
        <f>[1]SUMMARY!B234</f>
        <v>65</v>
      </c>
      <c r="C233" s="17">
        <f>[1]SUMMARY!C234</f>
        <v>16</v>
      </c>
      <c r="D233" s="25" t="str">
        <f>[1]SUMMARY!D234</f>
        <v>ARIVO (CH)</v>
      </c>
      <c r="E233" s="25" t="str">
        <f>[1]SUMMARY!E234</f>
        <v>(PREMIO ARZ1)</v>
      </c>
      <c r="F233" s="20"/>
      <c r="G233" s="20"/>
      <c r="H233" s="20"/>
      <c r="I233" s="30">
        <f t="shared" si="0"/>
        <v>0</v>
      </c>
      <c r="J233" s="22">
        <f>[1]SUMMARY!N234</f>
        <v>2801.36</v>
      </c>
      <c r="K233" s="23">
        <f t="shared" si="2"/>
        <v>0</v>
      </c>
      <c r="L233" s="8"/>
      <c r="M233" s="8"/>
    </row>
    <row r="234" spans="1:13" x14ac:dyDescent="0.2">
      <c r="A234" s="17">
        <f>[1]SUMMARY!A235</f>
        <v>215</v>
      </c>
      <c r="B234" s="17">
        <f>[1]SUMMARY!B235</f>
        <v>70</v>
      </c>
      <c r="C234" s="17">
        <f>[1]SUMMARY!C235</f>
        <v>16</v>
      </c>
      <c r="D234" s="25" t="str">
        <f>[1]SUMMARY!D235</f>
        <v>ARIVO (CH)</v>
      </c>
      <c r="E234" s="25" t="str">
        <f>[1]SUMMARY!E235</f>
        <v>TERRANO ARV HT</v>
      </c>
      <c r="F234" s="20"/>
      <c r="G234" s="20">
        <v>5</v>
      </c>
      <c r="H234" s="20">
        <v>5</v>
      </c>
      <c r="I234" s="30">
        <f t="shared" si="0"/>
        <v>0</v>
      </c>
      <c r="J234" s="22">
        <f>[1]SUMMARY!N235</f>
        <v>3119.04</v>
      </c>
      <c r="K234" s="23">
        <f t="shared" si="2"/>
        <v>0</v>
      </c>
      <c r="L234" s="8"/>
      <c r="M234" s="8"/>
    </row>
    <row r="235" spans="1:13" x14ac:dyDescent="0.2">
      <c r="A235" s="17">
        <f>[1]SUMMARY!A236</f>
        <v>265</v>
      </c>
      <c r="B235" s="17">
        <f>[1]SUMMARY!B236</f>
        <v>70</v>
      </c>
      <c r="C235" s="17">
        <f>[1]SUMMARY!C236</f>
        <v>16</v>
      </c>
      <c r="D235" s="25" t="str">
        <f>[1]SUMMARY!D236</f>
        <v>ARIVO (CH)</v>
      </c>
      <c r="E235" s="25" t="str">
        <f>[1]SUMMARY!E236</f>
        <v>TERAMAX ARV PRO AT</v>
      </c>
      <c r="F235" s="20"/>
      <c r="G235" s="20">
        <v>1</v>
      </c>
      <c r="H235" s="20">
        <v>1</v>
      </c>
      <c r="I235" s="30">
        <f t="shared" si="0"/>
        <v>0</v>
      </c>
      <c r="J235" s="22">
        <f>[1]SUMMARY!N236</f>
        <v>5300</v>
      </c>
      <c r="K235" s="23">
        <f t="shared" si="2"/>
        <v>0</v>
      </c>
      <c r="L235" s="8"/>
      <c r="M235" s="8"/>
    </row>
    <row r="236" spans="1:13" x14ac:dyDescent="0.2">
      <c r="A236" s="17">
        <f>[1]SUMMARY!A237</f>
        <v>215</v>
      </c>
      <c r="B236" s="17">
        <f>[1]SUMMARY!B237</f>
        <v>40</v>
      </c>
      <c r="C236" s="17">
        <f>[1]SUMMARY!C237</f>
        <v>17</v>
      </c>
      <c r="D236" s="25" t="str">
        <f>[1]SUMMARY!D237</f>
        <v>ARIVO (CH)</v>
      </c>
      <c r="E236" s="25" t="str">
        <f>[1]SUMMARY!E237</f>
        <v>ULTRA ARZ5</v>
      </c>
      <c r="F236" s="20"/>
      <c r="G236" s="20">
        <v>4</v>
      </c>
      <c r="H236" s="20">
        <v>4</v>
      </c>
      <c r="I236" s="30">
        <f t="shared" si="0"/>
        <v>0</v>
      </c>
      <c r="J236" s="22">
        <f>[1]SUMMARY!N237</f>
        <v>2541.44</v>
      </c>
      <c r="K236" s="23">
        <f t="shared" si="2"/>
        <v>0</v>
      </c>
      <c r="L236" s="8"/>
      <c r="M236" s="8"/>
    </row>
    <row r="237" spans="1:13" x14ac:dyDescent="0.2">
      <c r="A237" s="17">
        <f>[1]SUMMARY!A238</f>
        <v>205</v>
      </c>
      <c r="B237" s="17">
        <f>[1]SUMMARY!B238</f>
        <v>45</v>
      </c>
      <c r="C237" s="17">
        <f>[1]SUMMARY!C238</f>
        <v>17</v>
      </c>
      <c r="D237" s="25" t="str">
        <f>[1]SUMMARY!D238</f>
        <v>ARIVO (CH)</v>
      </c>
      <c r="E237" s="25" t="str">
        <f>[1]SUMMARY!E238</f>
        <v>ULTRA ARZ4</v>
      </c>
      <c r="F237" s="20"/>
      <c r="G237" s="20">
        <v>69</v>
      </c>
      <c r="H237" s="20">
        <v>69</v>
      </c>
      <c r="I237" s="24">
        <f t="shared" si="0"/>
        <v>0</v>
      </c>
      <c r="J237" s="22">
        <f>[1]SUMMARY!N238</f>
        <v>2397.04</v>
      </c>
      <c r="K237" s="23">
        <f t="shared" si="2"/>
        <v>0</v>
      </c>
      <c r="L237" s="8"/>
      <c r="M237" s="8"/>
    </row>
    <row r="238" spans="1:13" x14ac:dyDescent="0.2">
      <c r="A238" s="17">
        <f>[1]SUMMARY!A239</f>
        <v>205</v>
      </c>
      <c r="B238" s="17">
        <f>[1]SUMMARY!B239</f>
        <v>45</v>
      </c>
      <c r="C238" s="17">
        <f>[1]SUMMARY!C239</f>
        <v>17</v>
      </c>
      <c r="D238" s="25" t="str">
        <f>[1]SUMMARY!D239</f>
        <v>ARIVO (CH)</v>
      </c>
      <c r="E238" s="25" t="str">
        <f>[1]SUMMARY!E239</f>
        <v>ULTRA ARZ5</v>
      </c>
      <c r="F238" s="20"/>
      <c r="G238" s="20">
        <v>20</v>
      </c>
      <c r="H238" s="20">
        <v>12</v>
      </c>
      <c r="I238" s="24">
        <f t="shared" si="0"/>
        <v>8</v>
      </c>
      <c r="J238" s="22">
        <f>[1]SUMMARY!N239</f>
        <v>2397.04</v>
      </c>
      <c r="K238" s="23">
        <f t="shared" si="2"/>
        <v>19176.32</v>
      </c>
      <c r="L238" s="8"/>
      <c r="M238" s="8"/>
    </row>
    <row r="239" spans="1:13" x14ac:dyDescent="0.2">
      <c r="A239" s="17">
        <f>[1]SUMMARY!A240</f>
        <v>225</v>
      </c>
      <c r="B239" s="17">
        <f>[1]SUMMARY!B240</f>
        <v>45</v>
      </c>
      <c r="C239" s="17">
        <f>[1]SUMMARY!C240</f>
        <v>17</v>
      </c>
      <c r="D239" s="25" t="str">
        <f>[1]SUMMARY!D240</f>
        <v>ARIVO (CH)</v>
      </c>
      <c r="E239" s="25" t="str">
        <f>[1]SUMMARY!E240</f>
        <v>ULTRA ARZ4</v>
      </c>
      <c r="F239" s="20"/>
      <c r="G239" s="20"/>
      <c r="H239" s="20"/>
      <c r="I239" s="30">
        <f t="shared" si="0"/>
        <v>0</v>
      </c>
      <c r="J239" s="22">
        <f>[1]SUMMARY!N240</f>
        <v>3100</v>
      </c>
      <c r="K239" s="23">
        <f t="shared" si="2"/>
        <v>0</v>
      </c>
      <c r="L239" s="8"/>
      <c r="M239" s="8"/>
    </row>
    <row r="240" spans="1:13" x14ac:dyDescent="0.2">
      <c r="A240" s="17">
        <f>[1]SUMMARY!A241</f>
        <v>205</v>
      </c>
      <c r="B240" s="17">
        <f>[1]SUMMARY!B241</f>
        <v>50</v>
      </c>
      <c r="C240" s="17">
        <f>[1]SUMMARY!C241</f>
        <v>17</v>
      </c>
      <c r="D240" s="25" t="str">
        <f>[1]SUMMARY!D241</f>
        <v>ARIVO (CH)</v>
      </c>
      <c r="E240" s="25" t="str">
        <f>[1]SUMMARY!E241</f>
        <v>ULTRA ARZ4</v>
      </c>
      <c r="F240" s="20"/>
      <c r="G240" s="20">
        <v>4</v>
      </c>
      <c r="H240" s="20">
        <v>4</v>
      </c>
      <c r="I240" s="30">
        <f t="shared" si="0"/>
        <v>0</v>
      </c>
      <c r="J240" s="22">
        <f>[1]SUMMARY!N241</f>
        <v>2527</v>
      </c>
      <c r="K240" s="23">
        <f t="shared" si="2"/>
        <v>0</v>
      </c>
      <c r="L240" s="8"/>
      <c r="M240" s="8"/>
    </row>
    <row r="241" spans="1:13" x14ac:dyDescent="0.2">
      <c r="A241" s="17">
        <f>[1]SUMMARY!A242</f>
        <v>215</v>
      </c>
      <c r="B241" s="17">
        <f>[1]SUMMARY!B242</f>
        <v>55</v>
      </c>
      <c r="C241" s="17">
        <f>[1]SUMMARY!C242</f>
        <v>17</v>
      </c>
      <c r="D241" s="25" t="str">
        <f>[1]SUMMARY!D242</f>
        <v>ARIVO (CH)</v>
      </c>
      <c r="E241" s="25" t="str">
        <f>[1]SUMMARY!E242</f>
        <v>PREMIO ARZ1</v>
      </c>
      <c r="F241" s="20"/>
      <c r="G241" s="20">
        <v>7</v>
      </c>
      <c r="H241" s="20">
        <v>7</v>
      </c>
      <c r="I241" s="30">
        <f t="shared" si="0"/>
        <v>0</v>
      </c>
      <c r="J241" s="22">
        <f>[1]SUMMARY!N242</f>
        <v>2916.88</v>
      </c>
      <c r="K241" s="23">
        <f t="shared" si="2"/>
        <v>0</v>
      </c>
      <c r="L241" s="8"/>
      <c r="M241" s="8"/>
    </row>
    <row r="242" spans="1:13" x14ac:dyDescent="0.2">
      <c r="A242" s="17">
        <f>[1]SUMMARY!A243</f>
        <v>215</v>
      </c>
      <c r="B242" s="17">
        <f>[1]SUMMARY!B243</f>
        <v>55</v>
      </c>
      <c r="C242" s="17">
        <f>[1]SUMMARY!C243</f>
        <v>17</v>
      </c>
      <c r="D242" s="25" t="str">
        <f>[1]SUMMARY!D243</f>
        <v>ARIVO (CH)</v>
      </c>
      <c r="E242" s="25" t="str">
        <f>[1]SUMMARY!E243</f>
        <v>ULTRA ARZ4</v>
      </c>
      <c r="F242" s="20"/>
      <c r="G242" s="20">
        <v>26</v>
      </c>
      <c r="H242" s="20">
        <v>26</v>
      </c>
      <c r="I242" s="30">
        <f t="shared" si="0"/>
        <v>0</v>
      </c>
      <c r="J242" s="22">
        <f>[1]SUMMARY!N243</f>
        <v>2916.88</v>
      </c>
      <c r="K242" s="23">
        <f t="shared" si="2"/>
        <v>0</v>
      </c>
      <c r="L242" s="8"/>
      <c r="M242" s="8"/>
    </row>
    <row r="243" spans="1:13" x14ac:dyDescent="0.2">
      <c r="A243" s="17">
        <f>[1]SUMMARY!A244</f>
        <v>215</v>
      </c>
      <c r="B243" s="17">
        <f>[1]SUMMARY!B244</f>
        <v>55</v>
      </c>
      <c r="C243" s="17">
        <f>[1]SUMMARY!C244</f>
        <v>17</v>
      </c>
      <c r="D243" s="25" t="str">
        <f>[1]SUMMARY!D244</f>
        <v>ARIVO (CH)</v>
      </c>
      <c r="E243" s="25" t="str">
        <f>[1]SUMMARY!E244</f>
        <v>ULTRA ARZ5</v>
      </c>
      <c r="F243" s="20"/>
      <c r="G243" s="20">
        <v>20</v>
      </c>
      <c r="H243" s="20">
        <v>18</v>
      </c>
      <c r="I243" s="30">
        <f t="shared" si="0"/>
        <v>2</v>
      </c>
      <c r="J243" s="22">
        <f>[1]SUMMARY!N244</f>
        <v>2916.88</v>
      </c>
      <c r="K243" s="23">
        <f t="shared" si="2"/>
        <v>5833.76</v>
      </c>
      <c r="L243" s="8"/>
      <c r="M243" s="8"/>
    </row>
    <row r="244" spans="1:13" x14ac:dyDescent="0.2">
      <c r="A244" s="17">
        <f>[1]SUMMARY!A245</f>
        <v>225</v>
      </c>
      <c r="B244" s="17">
        <f>[1]SUMMARY!B245</f>
        <v>55</v>
      </c>
      <c r="C244" s="17">
        <f>[1]SUMMARY!C245</f>
        <v>17</v>
      </c>
      <c r="D244" s="25" t="str">
        <f>[1]SUMMARY!D245</f>
        <v>ARIVO (CH)</v>
      </c>
      <c r="E244" s="25" t="str">
        <f>[1]SUMMARY!E245</f>
        <v>PREMIO ARZ5</v>
      </c>
      <c r="F244" s="20"/>
      <c r="G244" s="20"/>
      <c r="H244" s="20"/>
      <c r="I244" s="30">
        <f t="shared" si="0"/>
        <v>0</v>
      </c>
      <c r="J244" s="22">
        <f>[1]SUMMARY!N245</f>
        <v>3500</v>
      </c>
      <c r="K244" s="23">
        <f t="shared" si="2"/>
        <v>0</v>
      </c>
      <c r="L244" s="8"/>
      <c r="M244" s="8"/>
    </row>
    <row r="245" spans="1:13" x14ac:dyDescent="0.2">
      <c r="A245" s="17">
        <f>[1]SUMMARY!A246</f>
        <v>225</v>
      </c>
      <c r="B245" s="17">
        <f>[1]SUMMARY!B246</f>
        <v>65</v>
      </c>
      <c r="C245" s="17">
        <f>[1]SUMMARY!C246</f>
        <v>17</v>
      </c>
      <c r="D245" s="25" t="str">
        <f>[1]SUMMARY!D246</f>
        <v>ARIVO (CH)</v>
      </c>
      <c r="E245" s="25" t="str">
        <f>[1]SUMMARY!E246</f>
        <v>PREMIO ARZ1</v>
      </c>
      <c r="F245" s="20"/>
      <c r="G245" s="20">
        <v>12</v>
      </c>
      <c r="H245" s="20">
        <v>12</v>
      </c>
      <c r="I245" s="30">
        <f t="shared" si="0"/>
        <v>0</v>
      </c>
      <c r="J245" s="22">
        <f>[1]SUMMARY!N246</f>
        <v>3140.7</v>
      </c>
      <c r="K245" s="23">
        <f t="shared" si="2"/>
        <v>0</v>
      </c>
      <c r="L245" s="8"/>
      <c r="M245" s="8"/>
    </row>
    <row r="246" spans="1:13" x14ac:dyDescent="0.2">
      <c r="A246" s="17">
        <f>[1]SUMMARY!A247</f>
        <v>265</v>
      </c>
      <c r="B246" s="17">
        <f>[1]SUMMARY!B247</f>
        <v>65</v>
      </c>
      <c r="C246" s="17">
        <f>[1]SUMMARY!C247</f>
        <v>17</v>
      </c>
      <c r="D246" s="25" t="str">
        <f>[1]SUMMARY!D247</f>
        <v>ARIVO (CH)</v>
      </c>
      <c r="E246" s="25" t="str">
        <f>[1]SUMMARY!E247</f>
        <v>ROCK TRAK R/T</v>
      </c>
      <c r="F246" s="20"/>
      <c r="G246" s="20">
        <v>12</v>
      </c>
      <c r="H246" s="20">
        <v>12</v>
      </c>
      <c r="I246" s="30">
        <f t="shared" si="0"/>
        <v>0</v>
      </c>
      <c r="J246" s="22">
        <f>[1]SUMMARY!N247</f>
        <v>5299.48</v>
      </c>
      <c r="K246" s="23">
        <f t="shared" si="2"/>
        <v>0</v>
      </c>
      <c r="L246" s="8"/>
      <c r="M246" s="8"/>
    </row>
    <row r="247" spans="1:13" x14ac:dyDescent="0.2">
      <c r="A247" s="17">
        <f>[1]SUMMARY!A248</f>
        <v>285</v>
      </c>
      <c r="B247" s="17">
        <f>[1]SUMMARY!B248</f>
        <v>70</v>
      </c>
      <c r="C247" s="17">
        <f>[1]SUMMARY!C248</f>
        <v>17</v>
      </c>
      <c r="D247" s="25" t="str">
        <f>[1]SUMMARY!D248</f>
        <v>ARIVO (CH)</v>
      </c>
      <c r="E247" s="25" t="str">
        <f>[1]SUMMARY!E248</f>
        <v>TERAMAX ARV PRO AT</v>
      </c>
      <c r="F247" s="20"/>
      <c r="G247" s="20">
        <v>18</v>
      </c>
      <c r="H247" s="20">
        <v>18</v>
      </c>
      <c r="I247" s="30">
        <f t="shared" si="0"/>
        <v>0</v>
      </c>
      <c r="J247" s="22">
        <f>[1]SUMMARY!N248</f>
        <v>6678.5</v>
      </c>
      <c r="K247" s="23">
        <f t="shared" si="2"/>
        <v>0</v>
      </c>
      <c r="L247" s="8"/>
      <c r="M247" s="8"/>
    </row>
    <row r="248" spans="1:13" x14ac:dyDescent="0.2">
      <c r="A248" s="17">
        <f>[1]SUMMARY!A249</f>
        <v>285</v>
      </c>
      <c r="B248" s="17">
        <f>[1]SUMMARY!B249</f>
        <v>70</v>
      </c>
      <c r="C248" s="17">
        <f>[1]SUMMARY!C249</f>
        <v>17</v>
      </c>
      <c r="D248" s="25" t="str">
        <f>[1]SUMMARY!D249</f>
        <v>ARIVO (CH)</v>
      </c>
      <c r="E248" s="25" t="str">
        <f>[1]SUMMARY!E249</f>
        <v>ROCK TRAK M/T</v>
      </c>
      <c r="F248" s="20"/>
      <c r="G248" s="20">
        <v>8</v>
      </c>
      <c r="H248" s="20">
        <v>4</v>
      </c>
      <c r="I248" s="24">
        <f t="shared" si="0"/>
        <v>4</v>
      </c>
      <c r="J248" s="22">
        <f>[1]SUMMARY!N249</f>
        <v>7147.8</v>
      </c>
      <c r="K248" s="23">
        <f t="shared" si="2"/>
        <v>28591.200000000001</v>
      </c>
      <c r="L248" s="8"/>
      <c r="M248" s="8"/>
    </row>
    <row r="249" spans="1:13" x14ac:dyDescent="0.2">
      <c r="A249" s="17">
        <f>[1]SUMMARY!A250</f>
        <v>225</v>
      </c>
      <c r="B249" s="17">
        <f>[1]SUMMARY!B250</f>
        <v>40</v>
      </c>
      <c r="C249" s="17">
        <f>[1]SUMMARY!C250</f>
        <v>18</v>
      </c>
      <c r="D249" s="25" t="str">
        <f>[1]SUMMARY!D250</f>
        <v>ARIVO (CH)</v>
      </c>
      <c r="E249" s="25" t="str">
        <f>[1]SUMMARY!E250</f>
        <v>ULTRA ARZ4</v>
      </c>
      <c r="F249" s="20"/>
      <c r="G249" s="20">
        <v>4</v>
      </c>
      <c r="H249" s="20">
        <v>4</v>
      </c>
      <c r="I249" s="30">
        <f t="shared" si="0"/>
        <v>0</v>
      </c>
      <c r="J249" s="22">
        <f>[1]SUMMARY!N250</f>
        <v>2895.22</v>
      </c>
      <c r="K249" s="23">
        <f t="shared" si="2"/>
        <v>0</v>
      </c>
      <c r="L249" s="8"/>
      <c r="M249" s="8"/>
    </row>
    <row r="250" spans="1:13" x14ac:dyDescent="0.2">
      <c r="A250" s="17">
        <f>[1]SUMMARY!A251</f>
        <v>225</v>
      </c>
      <c r="B250" s="17">
        <f>[1]SUMMARY!B251</f>
        <v>45</v>
      </c>
      <c r="C250" s="17">
        <f>[1]SUMMARY!C251</f>
        <v>18</v>
      </c>
      <c r="D250" s="25" t="str">
        <f>[1]SUMMARY!D251</f>
        <v>ARIVO (CH)</v>
      </c>
      <c r="E250" s="25" t="str">
        <f>[1]SUMMARY!E251</f>
        <v>ULTRA ARZ4</v>
      </c>
      <c r="F250" s="20"/>
      <c r="G250" s="20"/>
      <c r="H250" s="20"/>
      <c r="I250" s="30">
        <f t="shared" si="0"/>
        <v>0</v>
      </c>
      <c r="J250" s="22">
        <f>[1]SUMMARY!N251</f>
        <v>2851.9</v>
      </c>
      <c r="K250" s="23">
        <f t="shared" si="2"/>
        <v>0</v>
      </c>
      <c r="L250" s="8"/>
      <c r="M250" s="8"/>
    </row>
    <row r="251" spans="1:13" x14ac:dyDescent="0.2">
      <c r="A251" s="17">
        <f>[1]SUMMARY!A252</f>
        <v>235</v>
      </c>
      <c r="B251" s="17">
        <f>[1]SUMMARY!B252</f>
        <v>45</v>
      </c>
      <c r="C251" s="17">
        <f>[1]SUMMARY!C252</f>
        <v>18</v>
      </c>
      <c r="D251" s="25" t="str">
        <f>[1]SUMMARY!D252</f>
        <v>ARIVO (CH)</v>
      </c>
      <c r="E251" s="25" t="str">
        <f>[1]SUMMARY!E252</f>
        <v>ULTRA ARZ4</v>
      </c>
      <c r="F251" s="20"/>
      <c r="G251" s="20"/>
      <c r="H251" s="20"/>
      <c r="I251" s="30">
        <f t="shared" si="0"/>
        <v>0</v>
      </c>
      <c r="J251" s="22">
        <f>[1]SUMMARY!N252</f>
        <v>3097.38</v>
      </c>
      <c r="K251" s="23">
        <f t="shared" si="2"/>
        <v>0</v>
      </c>
      <c r="L251" s="8"/>
      <c r="M251" s="8"/>
    </row>
    <row r="252" spans="1:13" x14ac:dyDescent="0.2">
      <c r="A252" s="17">
        <f>[1]SUMMARY!A253</f>
        <v>235</v>
      </c>
      <c r="B252" s="17">
        <f>[1]SUMMARY!B253</f>
        <v>45</v>
      </c>
      <c r="C252" s="17">
        <f>[1]SUMMARY!C253</f>
        <v>18</v>
      </c>
      <c r="D252" s="25" t="str">
        <f>[1]SUMMARY!D253</f>
        <v>ARIVO (CH)</v>
      </c>
      <c r="E252" s="25" t="str">
        <f>[1]SUMMARY!E253</f>
        <v>ULTRA ARZ5</v>
      </c>
      <c r="F252" s="20"/>
      <c r="G252" s="20">
        <v>20</v>
      </c>
      <c r="H252" s="20">
        <v>16</v>
      </c>
      <c r="I252" s="30">
        <f t="shared" si="0"/>
        <v>4</v>
      </c>
      <c r="J252" s="22">
        <f>[1]SUMMARY!N253</f>
        <v>3097.38</v>
      </c>
      <c r="K252" s="23">
        <f t="shared" si="2"/>
        <v>12389.52</v>
      </c>
      <c r="L252" s="8"/>
      <c r="M252" s="8"/>
    </row>
    <row r="253" spans="1:13" x14ac:dyDescent="0.2">
      <c r="A253" s="17">
        <f>[1]SUMMARY!A254</f>
        <v>235</v>
      </c>
      <c r="B253" s="17">
        <f>[1]SUMMARY!B254</f>
        <v>50</v>
      </c>
      <c r="C253" s="17">
        <f>[1]SUMMARY!C254</f>
        <v>18</v>
      </c>
      <c r="D253" s="25" t="str">
        <f>[1]SUMMARY!D254</f>
        <v>ARIVO (CH)</v>
      </c>
      <c r="E253" s="25" t="str">
        <f>[1]SUMMARY!E254</f>
        <v>ULTRA ARZ5</v>
      </c>
      <c r="F253" s="20"/>
      <c r="G253" s="20">
        <v>18</v>
      </c>
      <c r="H253" s="20">
        <v>14</v>
      </c>
      <c r="I253" s="30">
        <f t="shared" si="0"/>
        <v>4</v>
      </c>
      <c r="J253" s="22">
        <f>[1]SUMMARY!N254</f>
        <v>3321.2</v>
      </c>
      <c r="K253" s="23">
        <f t="shared" si="2"/>
        <v>13284.8</v>
      </c>
      <c r="L253" s="8"/>
      <c r="M253" s="8"/>
    </row>
    <row r="254" spans="1:13" x14ac:dyDescent="0.2">
      <c r="A254" s="17">
        <f>[1]SUMMARY!A255</f>
        <v>265</v>
      </c>
      <c r="B254" s="17">
        <f>[1]SUMMARY!B255</f>
        <v>60</v>
      </c>
      <c r="C254" s="17">
        <f>[1]SUMMARY!C255</f>
        <v>18</v>
      </c>
      <c r="D254" s="25" t="str">
        <f>[1]SUMMARY!D255</f>
        <v>ARIVO (CH)</v>
      </c>
      <c r="E254" s="25" t="str">
        <f>[1]SUMMARY!E255</f>
        <v>TERAMAX ARV PRO A/T</v>
      </c>
      <c r="F254" s="20"/>
      <c r="G254" s="20">
        <v>14</v>
      </c>
      <c r="H254" s="20">
        <v>14</v>
      </c>
      <c r="I254" s="30">
        <f t="shared" si="0"/>
        <v>0</v>
      </c>
      <c r="J254" s="22">
        <f>[1]SUMMARY!N255</f>
        <v>4620.8</v>
      </c>
      <c r="K254" s="23">
        <f t="shared" si="2"/>
        <v>0</v>
      </c>
      <c r="L254" s="8"/>
      <c r="M254" s="8"/>
    </row>
    <row r="255" spans="1:13" x14ac:dyDescent="0.2">
      <c r="A255" s="17">
        <f>[1]SUMMARY!A256</f>
        <v>275</v>
      </c>
      <c r="B255" s="17">
        <f>[1]SUMMARY!B256</f>
        <v>65</v>
      </c>
      <c r="C255" s="17">
        <f>[1]SUMMARY!C256</f>
        <v>18</v>
      </c>
      <c r="D255" s="25" t="str">
        <f>[1]SUMMARY!D256</f>
        <v>ARIVO (CH)</v>
      </c>
      <c r="E255" s="25" t="str">
        <f>[1]SUMMARY!E256</f>
        <v>ARV PRO AT</v>
      </c>
      <c r="F255" s="20"/>
      <c r="G255" s="20">
        <v>4</v>
      </c>
      <c r="H255" s="20">
        <v>4</v>
      </c>
      <c r="I255" s="30">
        <f t="shared" si="0"/>
        <v>0</v>
      </c>
      <c r="J255" s="22">
        <f>[1]SUMMARY!N256</f>
        <v>5434</v>
      </c>
      <c r="K255" s="23">
        <f t="shared" si="2"/>
        <v>0</v>
      </c>
      <c r="L255" s="8"/>
      <c r="M255" s="8"/>
    </row>
    <row r="256" spans="1:13" x14ac:dyDescent="0.2">
      <c r="A256" s="17">
        <f>[1]SUMMARY!A257</f>
        <v>235</v>
      </c>
      <c r="B256" s="17">
        <f>[1]SUMMARY!B257</f>
        <v>35</v>
      </c>
      <c r="C256" s="17">
        <f>[1]SUMMARY!C257</f>
        <v>19</v>
      </c>
      <c r="D256" s="25" t="str">
        <f>[1]SUMMARY!D257</f>
        <v>ARIVO (CH)</v>
      </c>
      <c r="E256" s="25" t="str">
        <f>[1]SUMMARY!E257</f>
        <v>ULTRA ARZ5</v>
      </c>
      <c r="F256" s="20"/>
      <c r="G256" s="20">
        <v>2</v>
      </c>
      <c r="H256" s="20">
        <v>2</v>
      </c>
      <c r="I256" s="30">
        <f t="shared" si="0"/>
        <v>0</v>
      </c>
      <c r="J256" s="22">
        <f>[1]SUMMARY!N257</f>
        <v>3638.88</v>
      </c>
      <c r="K256" s="23">
        <f t="shared" si="2"/>
        <v>0</v>
      </c>
      <c r="L256" s="8"/>
      <c r="M256" s="8"/>
    </row>
    <row r="257" spans="1:13" x14ac:dyDescent="0.2">
      <c r="A257" s="17">
        <f>[1]SUMMARY!A258</f>
        <v>245</v>
      </c>
      <c r="B257" s="17">
        <f>[1]SUMMARY!B258</f>
        <v>35</v>
      </c>
      <c r="C257" s="17">
        <f>[1]SUMMARY!C258</f>
        <v>19</v>
      </c>
      <c r="D257" s="25" t="str">
        <f>[1]SUMMARY!D258</f>
        <v>ARIVO (CH)</v>
      </c>
      <c r="E257" s="25" t="str">
        <f>[1]SUMMARY!E258</f>
        <v>ULTRA ARZ5</v>
      </c>
      <c r="F257" s="20"/>
      <c r="G257" s="20"/>
      <c r="H257" s="20"/>
      <c r="I257" s="30">
        <f t="shared" si="0"/>
        <v>0</v>
      </c>
      <c r="J257" s="22">
        <f>[1]SUMMARY!N258</f>
        <v>3638.88</v>
      </c>
      <c r="K257" s="23">
        <f t="shared" si="2"/>
        <v>0</v>
      </c>
      <c r="L257" s="8"/>
      <c r="M257" s="8"/>
    </row>
    <row r="258" spans="1:13" x14ac:dyDescent="0.2">
      <c r="A258" s="17">
        <f>[1]SUMMARY!A259</f>
        <v>235</v>
      </c>
      <c r="B258" s="17">
        <f>[1]SUMMARY!B259</f>
        <v>55</v>
      </c>
      <c r="C258" s="17">
        <f>[1]SUMMARY!C259</f>
        <v>19</v>
      </c>
      <c r="D258" s="25" t="str">
        <f>[1]SUMMARY!D259</f>
        <v>ARIVO (CH)</v>
      </c>
      <c r="E258" s="25" t="str">
        <f>[1]SUMMARY!E259</f>
        <v>ULTRA ARZ4</v>
      </c>
      <c r="F258" s="20"/>
      <c r="G258" s="20">
        <v>2</v>
      </c>
      <c r="H258" s="20">
        <v>2</v>
      </c>
      <c r="I258" s="30">
        <f t="shared" ref="I258:I461" si="3">F258+G258-H258</f>
        <v>0</v>
      </c>
      <c r="J258" s="22">
        <f>[1]SUMMARY!N259</f>
        <v>4440.3</v>
      </c>
      <c r="K258" s="23">
        <f t="shared" si="2"/>
        <v>0</v>
      </c>
      <c r="L258" s="8"/>
      <c r="M258" s="8"/>
    </row>
    <row r="259" spans="1:13" x14ac:dyDescent="0.2">
      <c r="A259" s="17">
        <f>[1]SUMMARY!A260</f>
        <v>245</v>
      </c>
      <c r="B259" s="17">
        <f>[1]SUMMARY!B260</f>
        <v>40</v>
      </c>
      <c r="C259" s="17">
        <f>[1]SUMMARY!C260</f>
        <v>20</v>
      </c>
      <c r="D259" s="25" t="str">
        <f>[1]SUMMARY!D260</f>
        <v>ARIVO (CH)</v>
      </c>
      <c r="E259" s="25" t="str">
        <f>[1]SUMMARY!E260</f>
        <v>ULTRA ARZ5</v>
      </c>
      <c r="F259" s="20"/>
      <c r="G259" s="20"/>
      <c r="H259" s="20"/>
      <c r="I259" s="30">
        <f t="shared" si="3"/>
        <v>0</v>
      </c>
      <c r="J259" s="22">
        <f>[1]SUMMARY!N260</f>
        <v>3754.4</v>
      </c>
      <c r="K259" s="23">
        <f t="shared" si="2"/>
        <v>0</v>
      </c>
      <c r="L259" s="8"/>
      <c r="M259" s="8"/>
    </row>
    <row r="260" spans="1:13" x14ac:dyDescent="0.2">
      <c r="A260" s="17">
        <f>[1]SUMMARY!A261</f>
        <v>245</v>
      </c>
      <c r="B260" s="17">
        <f>[1]SUMMARY!B261</f>
        <v>45</v>
      </c>
      <c r="C260" s="17">
        <f>[1]SUMMARY!C261</f>
        <v>20</v>
      </c>
      <c r="D260" s="25" t="str">
        <f>[1]SUMMARY!D261</f>
        <v>ARIVO (CH)</v>
      </c>
      <c r="E260" s="25" t="str">
        <f>[1]SUMMARY!E261</f>
        <v>ULTRA ARZ5</v>
      </c>
      <c r="F260" s="20"/>
      <c r="G260" s="20"/>
      <c r="H260" s="20"/>
      <c r="I260" s="30">
        <f t="shared" si="3"/>
        <v>0</v>
      </c>
      <c r="J260" s="22">
        <f>[1]SUMMARY!N261</f>
        <v>4160.01</v>
      </c>
      <c r="K260" s="23">
        <f t="shared" si="2"/>
        <v>0</v>
      </c>
      <c r="L260" s="8"/>
      <c r="M260" s="8"/>
    </row>
    <row r="261" spans="1:13" x14ac:dyDescent="0.2">
      <c r="A261" s="17">
        <f>[1]SUMMARY!A262</f>
        <v>265</v>
      </c>
      <c r="B261" s="17">
        <f>[1]SUMMARY!B262</f>
        <v>50</v>
      </c>
      <c r="C261" s="17">
        <f>[1]SUMMARY!C262</f>
        <v>20</v>
      </c>
      <c r="D261" s="25" t="str">
        <f>[1]SUMMARY!D262</f>
        <v>ARIVO (CH)</v>
      </c>
      <c r="E261" s="25" t="str">
        <f>[1]SUMMARY!E262</f>
        <v>ROCK TRAK R/T</v>
      </c>
      <c r="F261" s="20"/>
      <c r="G261" s="20">
        <v>8</v>
      </c>
      <c r="H261" s="20">
        <v>4</v>
      </c>
      <c r="I261" s="24">
        <f t="shared" si="3"/>
        <v>4</v>
      </c>
      <c r="J261" s="22">
        <f>[1]SUMMARY!N262</f>
        <v>5566.62</v>
      </c>
      <c r="K261" s="23">
        <f t="shared" si="2"/>
        <v>22266.48</v>
      </c>
      <c r="L261" s="8"/>
      <c r="M261" s="8"/>
    </row>
    <row r="262" spans="1:13" x14ac:dyDescent="0.2">
      <c r="A262" s="17">
        <f>[1]SUMMARY!A263</f>
        <v>265</v>
      </c>
      <c r="B262" s="17">
        <f>[1]SUMMARY!B263</f>
        <v>50</v>
      </c>
      <c r="C262" s="17">
        <f>[1]SUMMARY!C263</f>
        <v>20</v>
      </c>
      <c r="D262" s="25" t="str">
        <f>[1]SUMMARY!D263</f>
        <v>ARIVO (CH)</v>
      </c>
      <c r="E262" s="25" t="str">
        <f>[1]SUMMARY!E263</f>
        <v>TERRAMAX ARV PRO A/T</v>
      </c>
      <c r="F262" s="20"/>
      <c r="G262" s="20"/>
      <c r="H262" s="20"/>
      <c r="I262" s="24">
        <f t="shared" si="3"/>
        <v>0</v>
      </c>
      <c r="J262" s="22">
        <f>[1]SUMMARY!N263</f>
        <v>4924.04</v>
      </c>
      <c r="K262" s="23">
        <f t="shared" si="2"/>
        <v>0</v>
      </c>
      <c r="L262" s="8"/>
      <c r="M262" s="8"/>
    </row>
    <row r="263" spans="1:13" x14ac:dyDescent="0.2">
      <c r="A263" s="17">
        <f>[1]SUMMARY!A264</f>
        <v>275</v>
      </c>
      <c r="B263" s="17">
        <f>[1]SUMMARY!B264</f>
        <v>55</v>
      </c>
      <c r="C263" s="17">
        <f>[1]SUMMARY!C264</f>
        <v>20</v>
      </c>
      <c r="D263" s="25" t="str">
        <f>[1]SUMMARY!D264</f>
        <v>ARIVO (CH)</v>
      </c>
      <c r="E263" s="25" t="str">
        <f>[1]SUMMARY!E264</f>
        <v>TERRAMAX ARV PRO A/T</v>
      </c>
      <c r="F263" s="20"/>
      <c r="G263" s="20">
        <v>6</v>
      </c>
      <c r="H263" s="20">
        <v>6</v>
      </c>
      <c r="I263" s="30">
        <f t="shared" si="3"/>
        <v>0</v>
      </c>
      <c r="J263" s="22">
        <f>[1]SUMMARY!N264</f>
        <v>5183.96</v>
      </c>
      <c r="K263" s="23">
        <f t="shared" si="2"/>
        <v>0</v>
      </c>
      <c r="L263" s="8"/>
      <c r="M263" s="8"/>
    </row>
    <row r="264" spans="1:13" x14ac:dyDescent="0.2">
      <c r="A264" s="17">
        <f>[1]SUMMARY!A265</f>
        <v>33</v>
      </c>
      <c r="B264" s="17">
        <f>[1]SUMMARY!B265</f>
        <v>12.5</v>
      </c>
      <c r="C264" s="17">
        <f>[1]SUMMARY!C265</f>
        <v>20</v>
      </c>
      <c r="D264" s="25" t="str">
        <f>[1]SUMMARY!D265</f>
        <v>ARIVO (CH)</v>
      </c>
      <c r="E264" s="25" t="str">
        <f>[1]SUMMARY!E265</f>
        <v>ROCK TRAK R/T</v>
      </c>
      <c r="F264" s="20"/>
      <c r="G264" s="20">
        <v>4</v>
      </c>
      <c r="H264" s="20">
        <v>4</v>
      </c>
      <c r="I264" s="30">
        <f t="shared" si="3"/>
        <v>0</v>
      </c>
      <c r="J264" s="22">
        <f>[1]SUMMARY!N265</f>
        <v>8122.5</v>
      </c>
      <c r="K264" s="23">
        <f t="shared" si="2"/>
        <v>0</v>
      </c>
    </row>
    <row r="265" spans="1:13" x14ac:dyDescent="0.2">
      <c r="A265" s="17">
        <f>[1]SUMMARY!A266</f>
        <v>305</v>
      </c>
      <c r="B265" s="17">
        <f>[1]SUMMARY!B266</f>
        <v>40</v>
      </c>
      <c r="C265" s="17">
        <f>[1]SUMMARY!C266</f>
        <v>22</v>
      </c>
      <c r="D265" s="25" t="str">
        <f>[1]SUMMARY!D266</f>
        <v>ARIVO (CH)</v>
      </c>
      <c r="E265" s="25" t="str">
        <f>[1]SUMMARY!E266</f>
        <v>ULTRA SPORT ARV7</v>
      </c>
      <c r="F265" s="20"/>
      <c r="G265" s="20">
        <v>4</v>
      </c>
      <c r="H265" s="20">
        <v>4</v>
      </c>
      <c r="I265" s="30">
        <f t="shared" si="3"/>
        <v>0</v>
      </c>
      <c r="J265" s="22">
        <f>[1]SUMMARY!N266</f>
        <v>5790.44</v>
      </c>
      <c r="K265" s="23">
        <f t="shared" si="2"/>
        <v>0</v>
      </c>
      <c r="L265" s="8"/>
      <c r="M265" s="8"/>
    </row>
    <row r="266" spans="1:13" x14ac:dyDescent="0.2">
      <c r="A266" s="17">
        <f>[1]SUMMARY!A267</f>
        <v>285</v>
      </c>
      <c r="B266" s="17">
        <f>[1]SUMMARY!B267</f>
        <v>45</v>
      </c>
      <c r="C266" s="17">
        <f>[1]SUMMARY!C267</f>
        <v>22</v>
      </c>
      <c r="D266" s="25" t="str">
        <f>[1]SUMMARY!D267</f>
        <v>ARIVO (CH)</v>
      </c>
      <c r="E266" s="25" t="str">
        <f>[1]SUMMARY!E267</f>
        <v>ULTRA SPORT ARV7</v>
      </c>
      <c r="F266" s="20"/>
      <c r="G266" s="20">
        <v>4</v>
      </c>
      <c r="H266" s="20">
        <v>4</v>
      </c>
      <c r="I266" s="30">
        <f t="shared" si="3"/>
        <v>0</v>
      </c>
      <c r="J266" s="22">
        <f>[1]SUMMARY!N267</f>
        <v>6505.22</v>
      </c>
      <c r="K266" s="23">
        <f t="shared" si="2"/>
        <v>0</v>
      </c>
      <c r="L266" s="28">
        <f>SUM(K204:K266)</f>
        <v>200163.84</v>
      </c>
      <c r="M266" s="29" t="s">
        <v>16</v>
      </c>
    </row>
    <row r="267" spans="1:13" x14ac:dyDescent="0.2">
      <c r="A267" s="17">
        <f>[1]SUMMARY!A268</f>
        <v>175</v>
      </c>
      <c r="B267" s="17">
        <f>[1]SUMMARY!B268</f>
        <v>65</v>
      </c>
      <c r="C267" s="17">
        <f>[1]SUMMARY!C268</f>
        <v>14</v>
      </c>
      <c r="D267" s="25" t="str">
        <f>[1]SUMMARY!D268</f>
        <v>ARROYO (TH)</v>
      </c>
      <c r="E267" s="25" t="str">
        <f>[1]SUMMARY!E268</f>
        <v>ECO PRO A/S</v>
      </c>
      <c r="F267" s="20"/>
      <c r="G267" s="20">
        <v>8</v>
      </c>
      <c r="H267" s="20">
        <v>4</v>
      </c>
      <c r="I267" s="31">
        <f t="shared" si="3"/>
        <v>4</v>
      </c>
      <c r="J267" s="22">
        <f>[1]SUMMARY!N268</f>
        <v>1824</v>
      </c>
      <c r="K267" s="23">
        <f t="shared" si="2"/>
        <v>7296</v>
      </c>
      <c r="L267" s="8"/>
      <c r="M267" s="8"/>
    </row>
    <row r="268" spans="1:13" x14ac:dyDescent="0.2">
      <c r="A268" s="17">
        <f>[1]SUMMARY!A269</f>
        <v>175</v>
      </c>
      <c r="B268" s="17">
        <f>[1]SUMMARY!B269</f>
        <v>70</v>
      </c>
      <c r="C268" s="17">
        <f>[1]SUMMARY!C269</f>
        <v>14</v>
      </c>
      <c r="D268" s="25" t="str">
        <f>[1]SUMMARY!D269</f>
        <v>ARROYO (TH)</v>
      </c>
      <c r="E268" s="25" t="str">
        <f>[1]SUMMARY!E269</f>
        <v>ECO PRO A/S</v>
      </c>
      <c r="F268" s="20"/>
      <c r="G268" s="20">
        <v>4</v>
      </c>
      <c r="H268" s="20">
        <v>4</v>
      </c>
      <c r="I268" s="31">
        <f t="shared" si="3"/>
        <v>0</v>
      </c>
      <c r="J268" s="22">
        <f>[1]SUMMARY!N269</f>
        <v>1960.8</v>
      </c>
      <c r="K268" s="23">
        <f t="shared" si="2"/>
        <v>0</v>
      </c>
      <c r="L268" s="8"/>
      <c r="M268" s="8"/>
    </row>
    <row r="269" spans="1:13" x14ac:dyDescent="0.2">
      <c r="A269" s="17">
        <f>[1]SUMMARY!A270</f>
        <v>185</v>
      </c>
      <c r="B269" s="17">
        <f>[1]SUMMARY!B270</f>
        <v>55</v>
      </c>
      <c r="C269" s="17">
        <f>[1]SUMMARY!C270</f>
        <v>15</v>
      </c>
      <c r="D269" s="25" t="str">
        <f>[1]SUMMARY!D270</f>
        <v>ARROYO (TH)</v>
      </c>
      <c r="E269" s="25" t="str">
        <f>[1]SUMMARY!E270</f>
        <v>GRAND SPORT A/S</v>
      </c>
      <c r="F269" s="20"/>
      <c r="G269" s="20">
        <v>4</v>
      </c>
      <c r="H269" s="20"/>
      <c r="I269" s="31">
        <f t="shared" si="3"/>
        <v>4</v>
      </c>
      <c r="J269" s="22">
        <f>[1]SUMMARY!N270</f>
        <v>2154.6</v>
      </c>
      <c r="K269" s="23">
        <f t="shared" si="2"/>
        <v>8618.4</v>
      </c>
      <c r="L269" s="8"/>
      <c r="M269" s="8"/>
    </row>
    <row r="270" spans="1:13" x14ac:dyDescent="0.2">
      <c r="A270" s="17">
        <f>[1]SUMMARY!A271</f>
        <v>31</v>
      </c>
      <c r="B270" s="17">
        <f>[1]SUMMARY!B271</f>
        <v>10.5</v>
      </c>
      <c r="C270" s="17">
        <f>[1]SUMMARY!C271</f>
        <v>15</v>
      </c>
      <c r="D270" s="25" t="str">
        <f>[1]SUMMARY!D271</f>
        <v>ARROYO (TH)</v>
      </c>
      <c r="E270" s="25" t="str">
        <f>[1]SUMMARY!E271</f>
        <v>TAMAROCK A/T LT</v>
      </c>
      <c r="F270" s="20"/>
      <c r="G270" s="20">
        <v>10</v>
      </c>
      <c r="H270" s="20">
        <v>6</v>
      </c>
      <c r="I270" s="31">
        <f t="shared" si="3"/>
        <v>4</v>
      </c>
      <c r="J270" s="22">
        <f>[1]SUMMARY!N271</f>
        <v>5348.5</v>
      </c>
      <c r="K270" s="23">
        <f t="shared" si="2"/>
        <v>21394</v>
      </c>
      <c r="L270" s="8"/>
      <c r="M270" s="8"/>
    </row>
    <row r="271" spans="1:13" x14ac:dyDescent="0.2">
      <c r="A271" s="17">
        <f>[1]SUMMARY!A272</f>
        <v>205</v>
      </c>
      <c r="B271" s="17">
        <f>[1]SUMMARY!B272</f>
        <v>55</v>
      </c>
      <c r="C271" s="17">
        <f>[1]SUMMARY!C272</f>
        <v>16</v>
      </c>
      <c r="D271" s="25" t="str">
        <f>[1]SUMMARY!D272</f>
        <v>ARROYO (TH)</v>
      </c>
      <c r="E271" s="25" t="str">
        <f>[1]SUMMARY!E272</f>
        <v>GRAND SPORT A/S</v>
      </c>
      <c r="F271" s="20"/>
      <c r="G271" s="20">
        <v>4</v>
      </c>
      <c r="H271" s="20">
        <v>1</v>
      </c>
      <c r="I271" s="31">
        <f t="shared" si="3"/>
        <v>3</v>
      </c>
      <c r="J271" s="22">
        <f>[1]SUMMARY!N272</f>
        <v>2584</v>
      </c>
      <c r="K271" s="23">
        <f t="shared" si="2"/>
        <v>7752</v>
      </c>
      <c r="L271" s="8"/>
      <c r="M271" s="8"/>
    </row>
    <row r="272" spans="1:13" x14ac:dyDescent="0.2">
      <c r="A272" s="17">
        <f>[1]SUMMARY!A273</f>
        <v>265</v>
      </c>
      <c r="B272" s="17">
        <f>[1]SUMMARY!B273</f>
        <v>70</v>
      </c>
      <c r="C272" s="17">
        <f>[1]SUMMARY!C273</f>
        <v>16</v>
      </c>
      <c r="D272" s="25" t="str">
        <f>[1]SUMMARY!D273</f>
        <v>ARROYO (TH)</v>
      </c>
      <c r="E272" s="25" t="str">
        <f>[1]SUMMARY!E273</f>
        <v>TAMAROCK A/T</v>
      </c>
      <c r="F272" s="20"/>
      <c r="G272" s="20">
        <v>8</v>
      </c>
      <c r="H272" s="20">
        <v>4</v>
      </c>
      <c r="I272" s="31">
        <f t="shared" si="3"/>
        <v>4</v>
      </c>
      <c r="J272" s="22">
        <f>[1]SUMMARY!N273</f>
        <v>5215.5</v>
      </c>
      <c r="K272" s="23">
        <f t="shared" si="2"/>
        <v>20862</v>
      </c>
      <c r="L272" s="8"/>
      <c r="M272" s="8"/>
    </row>
    <row r="273" spans="1:13" x14ac:dyDescent="0.2">
      <c r="A273" s="17">
        <f>[1]SUMMARY!A274</f>
        <v>265</v>
      </c>
      <c r="B273" s="17">
        <f>[1]SUMMARY!B274</f>
        <v>65</v>
      </c>
      <c r="C273" s="17">
        <f>[1]SUMMARY!C274</f>
        <v>17</v>
      </c>
      <c r="D273" s="25" t="str">
        <f>[1]SUMMARY!D274</f>
        <v>ARROYO (TH)</v>
      </c>
      <c r="E273" s="25" t="str">
        <f>[1]SUMMARY!E274</f>
        <v>ECO PRO H/T</v>
      </c>
      <c r="F273" s="20"/>
      <c r="G273" s="20">
        <v>4</v>
      </c>
      <c r="H273" s="20"/>
      <c r="I273" s="31">
        <f t="shared" si="3"/>
        <v>4</v>
      </c>
      <c r="J273" s="22">
        <f>[1]SUMMARY!N274</f>
        <v>5301</v>
      </c>
      <c r="K273" s="23">
        <f t="shared" si="2"/>
        <v>21204</v>
      </c>
      <c r="L273" s="8"/>
      <c r="M273" s="8"/>
    </row>
    <row r="274" spans="1:13" x14ac:dyDescent="0.2">
      <c r="A274" s="17">
        <f>[1]SUMMARY!A275</f>
        <v>265</v>
      </c>
      <c r="B274" s="17">
        <f>[1]SUMMARY!B275</f>
        <v>65</v>
      </c>
      <c r="C274" s="17">
        <f>[1]SUMMARY!C275</f>
        <v>17</v>
      </c>
      <c r="D274" s="25" t="str">
        <f>[1]SUMMARY!D275</f>
        <v>ARROYO (TH)</v>
      </c>
      <c r="E274" s="25" t="str">
        <f>[1]SUMMARY!E275</f>
        <v>TAMAROCK A/T</v>
      </c>
      <c r="F274" s="20"/>
      <c r="G274" s="20">
        <v>10</v>
      </c>
      <c r="H274" s="20">
        <v>6</v>
      </c>
      <c r="I274" s="31">
        <f t="shared" si="3"/>
        <v>4</v>
      </c>
      <c r="J274" s="22">
        <f>[1]SUMMARY!N275</f>
        <v>5396</v>
      </c>
      <c r="K274" s="23">
        <f t="shared" si="2"/>
        <v>21584</v>
      </c>
      <c r="L274" s="8"/>
      <c r="M274" s="8"/>
    </row>
    <row r="275" spans="1:13" x14ac:dyDescent="0.2">
      <c r="A275" s="17">
        <f>[1]SUMMARY!A276</f>
        <v>265</v>
      </c>
      <c r="B275" s="17">
        <f>[1]SUMMARY!B276</f>
        <v>65</v>
      </c>
      <c r="C275" s="17">
        <f>[1]SUMMARY!C276</f>
        <v>17</v>
      </c>
      <c r="D275" s="25" t="str">
        <f>[1]SUMMARY!D276</f>
        <v>ARROYO (TH)</v>
      </c>
      <c r="E275" s="25" t="str">
        <f>[1]SUMMARY!E276</f>
        <v>TAMAROCK R/T (WHITE LETTER)</v>
      </c>
      <c r="F275" s="20"/>
      <c r="G275" s="20">
        <v>5</v>
      </c>
      <c r="H275" s="20">
        <v>5</v>
      </c>
      <c r="I275" s="31">
        <f t="shared" si="3"/>
        <v>0</v>
      </c>
      <c r="J275" s="22">
        <f>[1]SUMMARY!N276</f>
        <v>5795</v>
      </c>
      <c r="K275" s="23">
        <f t="shared" si="2"/>
        <v>0</v>
      </c>
      <c r="L275" s="8"/>
      <c r="M275" s="8"/>
    </row>
    <row r="276" spans="1:13" x14ac:dyDescent="0.2">
      <c r="A276" s="17">
        <f>[1]SUMMARY!A277</f>
        <v>265</v>
      </c>
      <c r="B276" s="17">
        <f>[1]SUMMARY!B277</f>
        <v>70</v>
      </c>
      <c r="C276" s="17">
        <f>[1]SUMMARY!C277</f>
        <v>17</v>
      </c>
      <c r="D276" s="25" t="str">
        <f>[1]SUMMARY!D277</f>
        <v>ARROYO (TH)</v>
      </c>
      <c r="E276" s="25" t="str">
        <f>[1]SUMMARY!E277</f>
        <v>TAMAROCK R/T (WHITE LETTER)</v>
      </c>
      <c r="F276" s="20"/>
      <c r="G276" s="20">
        <v>12</v>
      </c>
      <c r="H276" s="20">
        <v>8</v>
      </c>
      <c r="I276" s="31">
        <f t="shared" si="3"/>
        <v>4</v>
      </c>
      <c r="J276" s="22">
        <f>[1]SUMMARY!N277</f>
        <v>7068</v>
      </c>
      <c r="K276" s="23">
        <f t="shared" si="2"/>
        <v>28272</v>
      </c>
      <c r="L276" s="8"/>
      <c r="M276" s="8"/>
    </row>
    <row r="277" spans="1:13" x14ac:dyDescent="0.2">
      <c r="A277" s="17">
        <f>[1]SUMMARY!A278</f>
        <v>265</v>
      </c>
      <c r="B277" s="17">
        <f>[1]SUMMARY!B278</f>
        <v>70</v>
      </c>
      <c r="C277" s="17">
        <f>[1]SUMMARY!C278</f>
        <v>17</v>
      </c>
      <c r="D277" s="25" t="str">
        <f>[1]SUMMARY!D278</f>
        <v>ARROYO (TH)</v>
      </c>
      <c r="E277" s="25" t="str">
        <f>[1]SUMMARY!E278</f>
        <v>TAMAROCK A/T</v>
      </c>
      <c r="F277" s="20"/>
      <c r="G277" s="20">
        <v>16</v>
      </c>
      <c r="H277" s="20">
        <v>12</v>
      </c>
      <c r="I277" s="31">
        <f t="shared" si="3"/>
        <v>4</v>
      </c>
      <c r="J277" s="22">
        <f>[1]SUMMARY!N278</f>
        <v>5548</v>
      </c>
      <c r="K277" s="23">
        <f t="shared" si="2"/>
        <v>22192</v>
      </c>
      <c r="L277" s="8"/>
      <c r="M277" s="8"/>
    </row>
    <row r="278" spans="1:13" x14ac:dyDescent="0.2">
      <c r="A278" s="17">
        <f>[1]SUMMARY!A279</f>
        <v>285</v>
      </c>
      <c r="B278" s="17">
        <f>[1]SUMMARY!B279</f>
        <v>70</v>
      </c>
      <c r="C278" s="17">
        <f>[1]SUMMARY!C279</f>
        <v>17</v>
      </c>
      <c r="D278" s="25" t="str">
        <f>[1]SUMMARY!D279</f>
        <v>ARROYO (TH)</v>
      </c>
      <c r="E278" s="25" t="str">
        <f>[1]SUMMARY!E279</f>
        <v>TAMAROCK R/T (RED LETTER)</v>
      </c>
      <c r="F278" s="20"/>
      <c r="G278" s="20">
        <v>22</v>
      </c>
      <c r="H278" s="20">
        <v>18</v>
      </c>
      <c r="I278" s="31">
        <f t="shared" si="3"/>
        <v>4</v>
      </c>
      <c r="J278" s="22">
        <f>[1]SUMMARY!N279</f>
        <v>8208</v>
      </c>
      <c r="K278" s="23">
        <f t="shared" si="2"/>
        <v>32832</v>
      </c>
      <c r="L278" s="8"/>
      <c r="M278" s="8"/>
    </row>
    <row r="279" spans="1:13" x14ac:dyDescent="0.2">
      <c r="A279" s="17">
        <f>[1]SUMMARY!A280</f>
        <v>265</v>
      </c>
      <c r="B279" s="17">
        <f>[1]SUMMARY!B280</f>
        <v>60</v>
      </c>
      <c r="C279" s="17">
        <f>[1]SUMMARY!C280</f>
        <v>18</v>
      </c>
      <c r="D279" s="25" t="str">
        <f>[1]SUMMARY!D280</f>
        <v>ARROYO (TH)</v>
      </c>
      <c r="E279" s="25" t="str">
        <f>[1]SUMMARY!E280</f>
        <v>ECO PRO H/T</v>
      </c>
      <c r="F279" s="20"/>
      <c r="G279" s="20">
        <v>4</v>
      </c>
      <c r="H279" s="20">
        <v>2</v>
      </c>
      <c r="I279" s="31">
        <f t="shared" si="3"/>
        <v>2</v>
      </c>
      <c r="J279" s="22">
        <f>[1]SUMMARY!N280</f>
        <v>5396</v>
      </c>
      <c r="K279" s="23">
        <f t="shared" si="2"/>
        <v>10792</v>
      </c>
      <c r="L279" s="8"/>
      <c r="M279" s="8"/>
    </row>
    <row r="280" spans="1:13" x14ac:dyDescent="0.2">
      <c r="A280" s="17">
        <f>[1]SUMMARY!A281</f>
        <v>265</v>
      </c>
      <c r="B280" s="17">
        <f>[1]SUMMARY!B281</f>
        <v>60</v>
      </c>
      <c r="C280" s="17">
        <f>[1]SUMMARY!C281</f>
        <v>18</v>
      </c>
      <c r="D280" s="25" t="str">
        <f>[1]SUMMARY!D281</f>
        <v>ARROYO (TH)</v>
      </c>
      <c r="E280" s="25" t="str">
        <f>[1]SUMMARY!E281</f>
        <v>TAMAROCK A/T (WHITE LETTER)</v>
      </c>
      <c r="F280" s="20"/>
      <c r="G280" s="20">
        <v>17</v>
      </c>
      <c r="H280" s="20">
        <v>14</v>
      </c>
      <c r="I280" s="31">
        <f t="shared" si="3"/>
        <v>3</v>
      </c>
      <c r="J280" s="22">
        <f>[1]SUMMARY!N281</f>
        <v>5443.5</v>
      </c>
      <c r="K280" s="23">
        <f t="shared" si="2"/>
        <v>16330.5</v>
      </c>
      <c r="L280" s="8"/>
      <c r="M280" s="8"/>
    </row>
    <row r="281" spans="1:13" x14ac:dyDescent="0.2">
      <c r="A281" s="17">
        <f>[1]SUMMARY!A282</f>
        <v>265</v>
      </c>
      <c r="B281" s="17">
        <f>[1]SUMMARY!B282</f>
        <v>60</v>
      </c>
      <c r="C281" s="17">
        <f>[1]SUMMARY!C282</f>
        <v>18</v>
      </c>
      <c r="D281" s="25" t="str">
        <f>[1]SUMMARY!D282</f>
        <v>ARROYO (TH)</v>
      </c>
      <c r="E281" s="25" t="str">
        <f>[1]SUMMARY!E282</f>
        <v>TAMAROCK R/T (WHITE LETTER)</v>
      </c>
      <c r="F281" s="20"/>
      <c r="G281" s="20">
        <v>4</v>
      </c>
      <c r="H281" s="20"/>
      <c r="I281" s="31">
        <f t="shared" si="3"/>
        <v>4</v>
      </c>
      <c r="J281" s="22">
        <f>[1]SUMMARY!N282</f>
        <v>5795</v>
      </c>
      <c r="K281" s="23">
        <f t="shared" si="2"/>
        <v>23180</v>
      </c>
      <c r="L281" s="8"/>
      <c r="M281" s="8"/>
    </row>
    <row r="282" spans="1:13" x14ac:dyDescent="0.2">
      <c r="A282" s="17">
        <f>[1]SUMMARY!A283</f>
        <v>265</v>
      </c>
      <c r="B282" s="17">
        <f>[1]SUMMARY!B283</f>
        <v>65</v>
      </c>
      <c r="C282" s="17">
        <f>[1]SUMMARY!C283</f>
        <v>18</v>
      </c>
      <c r="D282" s="25" t="str">
        <f>[1]SUMMARY!D283</f>
        <v>ARROYO (TH)</v>
      </c>
      <c r="E282" s="25" t="str">
        <f>[1]SUMMARY!E283</f>
        <v>TAMAROCK R/T (WHITE LETTER)</v>
      </c>
      <c r="F282" s="20"/>
      <c r="G282" s="20">
        <v>8</v>
      </c>
      <c r="H282" s="20">
        <v>8</v>
      </c>
      <c r="I282" s="21">
        <f t="shared" si="3"/>
        <v>0</v>
      </c>
      <c r="J282" s="22">
        <f>[1]SUMMARY!N283</f>
        <v>6156</v>
      </c>
      <c r="K282" s="23">
        <f t="shared" si="2"/>
        <v>0</v>
      </c>
      <c r="L282" s="8"/>
      <c r="M282" s="8"/>
    </row>
    <row r="283" spans="1:13" x14ac:dyDescent="0.2">
      <c r="A283" s="17">
        <f>[1]SUMMARY!A284</f>
        <v>265</v>
      </c>
      <c r="B283" s="17">
        <f>[1]SUMMARY!B284</f>
        <v>65</v>
      </c>
      <c r="C283" s="17">
        <f>[1]SUMMARY!C284</f>
        <v>18</v>
      </c>
      <c r="D283" s="25" t="str">
        <f>[1]SUMMARY!D284</f>
        <v>ARROYO (TH)</v>
      </c>
      <c r="E283" s="25" t="str">
        <f>[1]SUMMARY!E284</f>
        <v>TAMAROCK A/T</v>
      </c>
      <c r="F283" s="20"/>
      <c r="G283" s="20">
        <v>10</v>
      </c>
      <c r="H283" s="20">
        <v>8</v>
      </c>
      <c r="I283" s="31">
        <f t="shared" si="3"/>
        <v>2</v>
      </c>
      <c r="J283" s="22">
        <f>[1]SUMMARY!N284</f>
        <v>5966</v>
      </c>
      <c r="K283" s="23">
        <f t="shared" si="2"/>
        <v>11932</v>
      </c>
      <c r="L283" s="8"/>
      <c r="M283" s="8"/>
    </row>
    <row r="284" spans="1:13" x14ac:dyDescent="0.2">
      <c r="A284" s="17">
        <f>[1]SUMMARY!A285</f>
        <v>275</v>
      </c>
      <c r="B284" s="17">
        <f>[1]SUMMARY!B285</f>
        <v>65</v>
      </c>
      <c r="C284" s="17">
        <f>[1]SUMMARY!C285</f>
        <v>18</v>
      </c>
      <c r="D284" s="25" t="str">
        <f>[1]SUMMARY!D285</f>
        <v>ARROYO (TH)</v>
      </c>
      <c r="E284" s="25" t="str">
        <f>[1]SUMMARY!E285</f>
        <v>TAMAROCK A/T</v>
      </c>
      <c r="F284" s="20"/>
      <c r="G284" s="20">
        <v>4</v>
      </c>
      <c r="H284" s="20"/>
      <c r="I284" s="31">
        <f t="shared" si="3"/>
        <v>4</v>
      </c>
      <c r="J284" s="22">
        <f>[1]SUMMARY!N285</f>
        <v>6137</v>
      </c>
      <c r="K284" s="23">
        <f t="shared" si="2"/>
        <v>24548</v>
      </c>
      <c r="L284" s="8"/>
      <c r="M284" s="8"/>
    </row>
    <row r="285" spans="1:13" x14ac:dyDescent="0.2">
      <c r="A285" s="17">
        <f>[1]SUMMARY!A286</f>
        <v>285</v>
      </c>
      <c r="B285" s="17">
        <f>[1]SUMMARY!B286</f>
        <v>65</v>
      </c>
      <c r="C285" s="17">
        <f>[1]SUMMARY!C286</f>
        <v>18</v>
      </c>
      <c r="D285" s="25" t="str">
        <f>[1]SUMMARY!D286</f>
        <v>ARROYO (TH)</v>
      </c>
      <c r="E285" s="25" t="str">
        <f>[1]SUMMARY!E286</f>
        <v>TAMAROCK R/T (WHITE LETTER)</v>
      </c>
      <c r="F285" s="20"/>
      <c r="G285" s="20">
        <v>8</v>
      </c>
      <c r="H285" s="20">
        <v>4</v>
      </c>
      <c r="I285" s="31">
        <f t="shared" si="3"/>
        <v>4</v>
      </c>
      <c r="J285" s="22">
        <f>[1]SUMMARY!N286</f>
        <v>8844.5</v>
      </c>
      <c r="K285" s="23">
        <f t="shared" si="2"/>
        <v>35378</v>
      </c>
      <c r="L285" s="8"/>
      <c r="M285" s="8"/>
    </row>
    <row r="286" spans="1:13" x14ac:dyDescent="0.2">
      <c r="A286" s="17">
        <f>[1]SUMMARY!A287</f>
        <v>265</v>
      </c>
      <c r="B286" s="17">
        <f>[1]SUMMARY!B287</f>
        <v>50</v>
      </c>
      <c r="C286" s="17">
        <f>[1]SUMMARY!C287</f>
        <v>20</v>
      </c>
      <c r="D286" s="25" t="str">
        <f>[1]SUMMARY!D287</f>
        <v>ARROYO (TH)</v>
      </c>
      <c r="E286" s="25" t="str">
        <f>[1]SUMMARY!E287</f>
        <v>TAMAROCK A/T (WHITE LETTER)</v>
      </c>
      <c r="F286" s="20"/>
      <c r="G286" s="20">
        <v>20</v>
      </c>
      <c r="H286" s="20">
        <v>16</v>
      </c>
      <c r="I286" s="31">
        <f t="shared" si="3"/>
        <v>4</v>
      </c>
      <c r="J286" s="22">
        <f>[1]SUMMARY!N287</f>
        <v>6317.5</v>
      </c>
      <c r="K286" s="23">
        <f t="shared" si="2"/>
        <v>25270</v>
      </c>
      <c r="L286" s="8"/>
      <c r="M286" s="8"/>
    </row>
    <row r="287" spans="1:13" x14ac:dyDescent="0.2">
      <c r="A287" s="17">
        <f>[1]SUMMARY!A288</f>
        <v>265</v>
      </c>
      <c r="B287" s="17">
        <f>[1]SUMMARY!B288</f>
        <v>50</v>
      </c>
      <c r="C287" s="17">
        <f>[1]SUMMARY!C288</f>
        <v>20</v>
      </c>
      <c r="D287" s="25" t="str">
        <f>[1]SUMMARY!D288</f>
        <v>ARROYO (TH)</v>
      </c>
      <c r="E287" s="25" t="str">
        <f>[1]SUMMARY!E288</f>
        <v>TAMAROCK R/T (WHITE LETTER)</v>
      </c>
      <c r="F287" s="20"/>
      <c r="G287" s="20">
        <v>8</v>
      </c>
      <c r="H287" s="20">
        <v>8</v>
      </c>
      <c r="I287" s="31">
        <f t="shared" si="3"/>
        <v>0</v>
      </c>
      <c r="J287" s="22">
        <f>[1]SUMMARY!N288</f>
        <v>6574</v>
      </c>
      <c r="K287" s="23">
        <f t="shared" si="2"/>
        <v>0</v>
      </c>
      <c r="L287" s="32"/>
      <c r="M287" s="33"/>
    </row>
    <row r="288" spans="1:13" x14ac:dyDescent="0.2">
      <c r="A288" s="17">
        <f>[1]SUMMARY!A289</f>
        <v>275</v>
      </c>
      <c r="B288" s="17">
        <f>[1]SUMMARY!B289</f>
        <v>55</v>
      </c>
      <c r="C288" s="17">
        <f>[1]SUMMARY!C289</f>
        <v>20</v>
      </c>
      <c r="D288" s="25" t="str">
        <f>[1]SUMMARY!D289</f>
        <v>ARROYO (TH)</v>
      </c>
      <c r="E288" s="25" t="str">
        <f>[1]SUMMARY!E289</f>
        <v>TAMAROCK R/T</v>
      </c>
      <c r="F288" s="20"/>
      <c r="G288" s="20">
        <v>16</v>
      </c>
      <c r="H288" s="20">
        <v>16</v>
      </c>
      <c r="I288" s="31">
        <f t="shared" si="3"/>
        <v>0</v>
      </c>
      <c r="J288" s="22">
        <f>[1]SUMMARY!N289</f>
        <v>6716.5</v>
      </c>
      <c r="K288" s="23">
        <f t="shared" si="2"/>
        <v>0</v>
      </c>
      <c r="L288" s="32"/>
      <c r="M288" s="33"/>
    </row>
    <row r="289" spans="1:13" x14ac:dyDescent="0.2">
      <c r="A289" s="17">
        <f>[1]SUMMARY!A290</f>
        <v>285</v>
      </c>
      <c r="B289" s="17">
        <f>[1]SUMMARY!B290</f>
        <v>55</v>
      </c>
      <c r="C289" s="17">
        <f>[1]SUMMARY!C290</f>
        <v>20</v>
      </c>
      <c r="D289" s="25" t="str">
        <f>[1]SUMMARY!D290</f>
        <v>ARROYO (TH)</v>
      </c>
      <c r="E289" s="25" t="str">
        <f>[1]SUMMARY!E290</f>
        <v>TAMAROCK R/T (WHITE LETTER)</v>
      </c>
      <c r="F289" s="20"/>
      <c r="G289" s="20">
        <v>12</v>
      </c>
      <c r="H289" s="20">
        <v>8</v>
      </c>
      <c r="I289" s="31">
        <f t="shared" si="3"/>
        <v>4</v>
      </c>
      <c r="J289" s="22">
        <f>[1]SUMMARY!N290</f>
        <v>9956</v>
      </c>
      <c r="K289" s="23">
        <f t="shared" ref="K289:K543" si="4">J289*I289</f>
        <v>39824</v>
      </c>
      <c r="L289" s="28">
        <f>SUM(K267:K289)</f>
        <v>379260.9</v>
      </c>
      <c r="M289" s="29" t="s">
        <v>17</v>
      </c>
    </row>
    <row r="290" spans="1:13" x14ac:dyDescent="0.2">
      <c r="A290" s="17">
        <f>[1]SUMMARY!A291</f>
        <v>175</v>
      </c>
      <c r="B290" s="17">
        <f>[1]SUMMARY!B291</f>
        <v>65</v>
      </c>
      <c r="C290" s="17">
        <f>[1]SUMMARY!C291</f>
        <v>14</v>
      </c>
      <c r="D290" s="25" t="str">
        <f>[1]SUMMARY!D291</f>
        <v>ATLANDER</v>
      </c>
      <c r="E290" s="25" t="str">
        <f>[1]SUMMARY!E291</f>
        <v>XSPORT-76</v>
      </c>
      <c r="F290" s="20"/>
      <c r="G290" s="20">
        <v>12</v>
      </c>
      <c r="H290" s="20">
        <v>12</v>
      </c>
      <c r="I290" s="24">
        <f t="shared" si="3"/>
        <v>0</v>
      </c>
      <c r="J290" s="22">
        <f>[1]SUMMARY!N291</f>
        <v>1988.8</v>
      </c>
      <c r="K290" s="23">
        <f t="shared" si="4"/>
        <v>0</v>
      </c>
      <c r="L290" s="8"/>
      <c r="M290" s="8"/>
    </row>
    <row r="291" spans="1:13" x14ac:dyDescent="0.2">
      <c r="A291" s="17">
        <f>[1]SUMMARY!A292</f>
        <v>185</v>
      </c>
      <c r="B291" s="17">
        <f>[1]SUMMARY!B292</f>
        <v>0</v>
      </c>
      <c r="C291" s="17" t="str">
        <f>[1]SUMMARY!C292</f>
        <v>14C</v>
      </c>
      <c r="D291" s="25" t="str">
        <f>[1]SUMMARY!D292</f>
        <v>ATLANDER</v>
      </c>
      <c r="E291" s="25" t="str">
        <f>[1]SUMMARY!E292</f>
        <v>VANPLUS C18</v>
      </c>
      <c r="F291" s="20"/>
      <c r="G291" s="20">
        <v>16</v>
      </c>
      <c r="H291" s="20">
        <v>12</v>
      </c>
      <c r="I291" s="24">
        <f t="shared" si="3"/>
        <v>4</v>
      </c>
      <c r="J291" s="22">
        <f>[1]SUMMARY!N292</f>
        <v>2705.6</v>
      </c>
      <c r="K291" s="23">
        <f t="shared" si="4"/>
        <v>10822.4</v>
      </c>
      <c r="L291" s="8"/>
      <c r="M291" s="8"/>
    </row>
    <row r="292" spans="1:13" x14ac:dyDescent="0.2">
      <c r="A292" s="17">
        <f>[1]SUMMARY!A293</f>
        <v>185</v>
      </c>
      <c r="B292" s="17">
        <f>[1]SUMMARY!B293</f>
        <v>55</v>
      </c>
      <c r="C292" s="17">
        <f>[1]SUMMARY!C293</f>
        <v>15</v>
      </c>
      <c r="D292" s="25" t="str">
        <f>[1]SUMMARY!D293</f>
        <v>ATLANDER</v>
      </c>
      <c r="E292" s="25" t="str">
        <f>[1]SUMMARY!E293</f>
        <v>AX77</v>
      </c>
      <c r="F292" s="20"/>
      <c r="G292" s="20">
        <v>12</v>
      </c>
      <c r="H292" s="20">
        <v>8</v>
      </c>
      <c r="I292" s="24">
        <f t="shared" si="3"/>
        <v>4</v>
      </c>
      <c r="J292" s="22">
        <f>[1]SUMMARY!N293</f>
        <v>2249.6</v>
      </c>
      <c r="K292" s="23">
        <f t="shared" si="4"/>
        <v>8998.4</v>
      </c>
      <c r="L292" s="8"/>
      <c r="M292" s="8"/>
    </row>
    <row r="293" spans="1:13" x14ac:dyDescent="0.2">
      <c r="A293" s="17">
        <f>[1]SUMMARY!A294</f>
        <v>185</v>
      </c>
      <c r="B293" s="17">
        <f>[1]SUMMARY!B294</f>
        <v>60</v>
      </c>
      <c r="C293" s="17">
        <f>[1]SUMMARY!C294</f>
        <v>15</v>
      </c>
      <c r="D293" s="25" t="str">
        <f>[1]SUMMARY!D294</f>
        <v>ATLANDER</v>
      </c>
      <c r="E293" s="25" t="str">
        <f>[1]SUMMARY!E294</f>
        <v>AX77</v>
      </c>
      <c r="F293" s="20"/>
      <c r="G293" s="20">
        <v>14</v>
      </c>
      <c r="H293" s="20">
        <v>12</v>
      </c>
      <c r="I293" s="21">
        <f t="shared" si="3"/>
        <v>2</v>
      </c>
      <c r="J293" s="22">
        <f>[1]SUMMARY!N294</f>
        <v>2173.6</v>
      </c>
      <c r="K293" s="23">
        <f t="shared" si="4"/>
        <v>4347.2</v>
      </c>
      <c r="L293" s="8"/>
      <c r="M293" s="8"/>
    </row>
    <row r="294" spans="1:13" x14ac:dyDescent="0.2">
      <c r="A294" s="17">
        <f>[1]SUMMARY!A295</f>
        <v>185</v>
      </c>
      <c r="B294" s="17">
        <f>[1]SUMMARY!B295</f>
        <v>65</v>
      </c>
      <c r="C294" s="17">
        <f>[1]SUMMARY!C295</f>
        <v>15</v>
      </c>
      <c r="D294" s="25" t="str">
        <f>[1]SUMMARY!D295</f>
        <v>ATLANDER</v>
      </c>
      <c r="E294" s="25" t="str">
        <f>[1]SUMMARY!E295</f>
        <v>XSPORT-76</v>
      </c>
      <c r="F294" s="20"/>
      <c r="G294" s="20">
        <v>13</v>
      </c>
      <c r="H294" s="20">
        <v>9</v>
      </c>
      <c r="I294" s="24">
        <f t="shared" si="3"/>
        <v>4</v>
      </c>
      <c r="J294" s="22">
        <f>[1]SUMMARY!N295</f>
        <v>2333.1999999999998</v>
      </c>
      <c r="K294" s="23">
        <f t="shared" si="4"/>
        <v>9332.7999999999993</v>
      </c>
      <c r="L294" s="8"/>
      <c r="M294" s="8"/>
    </row>
    <row r="295" spans="1:13" x14ac:dyDescent="0.2">
      <c r="A295" s="17">
        <f>[1]SUMMARY!A296</f>
        <v>195</v>
      </c>
      <c r="B295" s="17">
        <f>[1]SUMMARY!B296</f>
        <v>0</v>
      </c>
      <c r="C295" s="17" t="str">
        <f>[1]SUMMARY!C296</f>
        <v>15C</v>
      </c>
      <c r="D295" s="25" t="str">
        <f>[1]SUMMARY!D296</f>
        <v>ATLANDER</v>
      </c>
      <c r="E295" s="25" t="str">
        <f>[1]SUMMARY!E296</f>
        <v>VANPLUS C18</v>
      </c>
      <c r="F295" s="20"/>
      <c r="G295" s="20">
        <v>14</v>
      </c>
      <c r="H295" s="20">
        <v>8</v>
      </c>
      <c r="I295" s="24">
        <f t="shared" si="3"/>
        <v>6</v>
      </c>
      <c r="J295" s="22">
        <f>[1]SUMMARY!N296</f>
        <v>3184.4</v>
      </c>
      <c r="K295" s="23">
        <f t="shared" si="4"/>
        <v>19106.400000000001</v>
      </c>
      <c r="L295" s="8"/>
      <c r="M295" s="8"/>
    </row>
    <row r="296" spans="1:13" x14ac:dyDescent="0.2">
      <c r="A296" s="17">
        <f>[1]SUMMARY!A297</f>
        <v>195</v>
      </c>
      <c r="B296" s="17">
        <f>[1]SUMMARY!B297</f>
        <v>55</v>
      </c>
      <c r="C296" s="17">
        <f>[1]SUMMARY!C297</f>
        <v>15</v>
      </c>
      <c r="D296" s="25" t="str">
        <f>[1]SUMMARY!D297</f>
        <v>ATLANDER</v>
      </c>
      <c r="E296" s="25" t="str">
        <f>[1]SUMMARY!E297</f>
        <v>AX77</v>
      </c>
      <c r="F296" s="20"/>
      <c r="G296" s="20">
        <v>16</v>
      </c>
      <c r="H296" s="20">
        <v>16</v>
      </c>
      <c r="I296" s="24">
        <f t="shared" si="3"/>
        <v>0</v>
      </c>
      <c r="J296" s="22">
        <f>[1]SUMMARY!N297</f>
        <v>2348.4</v>
      </c>
      <c r="K296" s="23">
        <f t="shared" si="4"/>
        <v>0</v>
      </c>
      <c r="L296" s="8"/>
      <c r="M296" s="8"/>
    </row>
    <row r="297" spans="1:13" x14ac:dyDescent="0.2">
      <c r="A297" s="17">
        <f>[1]SUMMARY!A298</f>
        <v>205</v>
      </c>
      <c r="B297" s="17">
        <f>[1]SUMMARY!B298</f>
        <v>50</v>
      </c>
      <c r="C297" s="17">
        <f>[1]SUMMARY!C298</f>
        <v>16</v>
      </c>
      <c r="D297" s="25" t="str">
        <f>[1]SUMMARY!D298</f>
        <v>ATLANDER</v>
      </c>
      <c r="E297" s="25" t="str">
        <f>[1]SUMMARY!E298</f>
        <v>XSPORT-86</v>
      </c>
      <c r="F297" s="20"/>
      <c r="G297" s="20">
        <v>40</v>
      </c>
      <c r="H297" s="20">
        <v>32</v>
      </c>
      <c r="I297" s="24">
        <f t="shared" si="3"/>
        <v>8</v>
      </c>
      <c r="J297" s="22">
        <f>[1]SUMMARY!N298</f>
        <v>2834.8</v>
      </c>
      <c r="K297" s="23">
        <f t="shared" si="4"/>
        <v>22678.400000000001</v>
      </c>
      <c r="L297" s="8"/>
      <c r="M297" s="8"/>
    </row>
    <row r="298" spans="1:13" x14ac:dyDescent="0.2">
      <c r="A298" s="17">
        <f>[1]SUMMARY!A299</f>
        <v>195</v>
      </c>
      <c r="B298" s="17">
        <f>[1]SUMMARY!B299</f>
        <v>55</v>
      </c>
      <c r="C298" s="17">
        <f>[1]SUMMARY!C299</f>
        <v>16</v>
      </c>
      <c r="D298" s="25" t="str">
        <f>[1]SUMMARY!D299</f>
        <v>ATLANDER</v>
      </c>
      <c r="E298" s="25" t="str">
        <f>[1]SUMMARY!E299</f>
        <v>XSPORT-86</v>
      </c>
      <c r="F298" s="20"/>
      <c r="G298" s="20">
        <v>16</v>
      </c>
      <c r="H298" s="20">
        <v>12</v>
      </c>
      <c r="I298" s="24">
        <f t="shared" si="3"/>
        <v>4</v>
      </c>
      <c r="J298" s="22">
        <f>[1]SUMMARY!N299</f>
        <v>2690.4</v>
      </c>
      <c r="K298" s="23">
        <f t="shared" si="4"/>
        <v>10761.6</v>
      </c>
      <c r="L298" s="8"/>
      <c r="M298" s="8"/>
    </row>
    <row r="299" spans="1:13" x14ac:dyDescent="0.2">
      <c r="A299" s="17">
        <f>[1]SUMMARY!A300</f>
        <v>205</v>
      </c>
      <c r="B299" s="17">
        <f>[1]SUMMARY!B300</f>
        <v>55</v>
      </c>
      <c r="C299" s="17">
        <f>[1]SUMMARY!C300</f>
        <v>16</v>
      </c>
      <c r="D299" s="25" t="str">
        <f>[1]SUMMARY!D300</f>
        <v>ATLANDER</v>
      </c>
      <c r="E299" s="25" t="str">
        <f>[1]SUMMARY!E300</f>
        <v>XSPORT-86</v>
      </c>
      <c r="F299" s="20"/>
      <c r="G299" s="20">
        <v>6</v>
      </c>
      <c r="H299" s="20">
        <v>4</v>
      </c>
      <c r="I299" s="24">
        <f t="shared" si="3"/>
        <v>2</v>
      </c>
      <c r="J299" s="22">
        <f>[1]SUMMARY!N300</f>
        <v>2834.8</v>
      </c>
      <c r="K299" s="23">
        <f t="shared" si="4"/>
        <v>5669.6</v>
      </c>
      <c r="L299" s="8"/>
      <c r="M299" s="8"/>
    </row>
    <row r="300" spans="1:13" x14ac:dyDescent="0.2">
      <c r="A300" s="17">
        <f>[1]SUMMARY!A301</f>
        <v>205</v>
      </c>
      <c r="B300" s="17">
        <f>[1]SUMMARY!B301</f>
        <v>60</v>
      </c>
      <c r="C300" s="17">
        <f>[1]SUMMARY!C301</f>
        <v>16</v>
      </c>
      <c r="D300" s="25" t="str">
        <f>[1]SUMMARY!D301</f>
        <v>ATLANDER</v>
      </c>
      <c r="E300" s="25" t="str">
        <f>[1]SUMMARY!E301</f>
        <v>XSPORT-86</v>
      </c>
      <c r="F300" s="20"/>
      <c r="G300" s="20">
        <v>8</v>
      </c>
      <c r="H300" s="20">
        <v>3</v>
      </c>
      <c r="I300" s="24">
        <f t="shared" si="3"/>
        <v>5</v>
      </c>
      <c r="J300" s="22">
        <f>[1]SUMMARY!N301</f>
        <v>2910.8</v>
      </c>
      <c r="K300" s="23">
        <f t="shared" si="4"/>
        <v>14554</v>
      </c>
      <c r="L300" s="8"/>
      <c r="M300" s="8"/>
    </row>
    <row r="301" spans="1:13" x14ac:dyDescent="0.2">
      <c r="A301" s="17">
        <f>[1]SUMMARY!A302</f>
        <v>205</v>
      </c>
      <c r="B301" s="17">
        <f>[1]SUMMARY!B302</f>
        <v>65</v>
      </c>
      <c r="C301" s="17">
        <f>[1]SUMMARY!C302</f>
        <v>16</v>
      </c>
      <c r="D301" s="25" t="str">
        <f>[1]SUMMARY!D302</f>
        <v>ATLANDER</v>
      </c>
      <c r="E301" s="25" t="str">
        <f>[1]SUMMARY!E302</f>
        <v>XSPORT-86</v>
      </c>
      <c r="F301" s="20"/>
      <c r="G301" s="20">
        <v>12</v>
      </c>
      <c r="H301" s="20">
        <v>8</v>
      </c>
      <c r="I301" s="24">
        <f t="shared" si="3"/>
        <v>4</v>
      </c>
      <c r="J301" s="22">
        <f>[1]SUMMARY!N302</f>
        <v>2956.4</v>
      </c>
      <c r="K301" s="23">
        <f t="shared" si="4"/>
        <v>11825.6</v>
      </c>
      <c r="L301" s="8"/>
      <c r="M301" s="8"/>
    </row>
    <row r="302" spans="1:13" x14ac:dyDescent="0.2">
      <c r="A302" s="17">
        <f>[1]SUMMARY!A303</f>
        <v>215</v>
      </c>
      <c r="B302" s="17">
        <f>[1]SUMMARY!B303</f>
        <v>65</v>
      </c>
      <c r="C302" s="17">
        <f>[1]SUMMARY!C303</f>
        <v>16</v>
      </c>
      <c r="D302" s="25" t="str">
        <f>[1]SUMMARY!D303</f>
        <v>ATLANDER</v>
      </c>
      <c r="E302" s="25" t="str">
        <f>[1]SUMMARY!E303</f>
        <v>ROVERSTAR HT</v>
      </c>
      <c r="F302" s="20"/>
      <c r="G302" s="20">
        <v>10</v>
      </c>
      <c r="H302" s="20">
        <v>8</v>
      </c>
      <c r="I302" s="21">
        <f t="shared" si="3"/>
        <v>2</v>
      </c>
      <c r="J302" s="22">
        <f>[1]SUMMARY!N303</f>
        <v>3564.4</v>
      </c>
      <c r="K302" s="23">
        <f t="shared" si="4"/>
        <v>7128.8</v>
      </c>
      <c r="L302" s="8"/>
      <c r="M302" s="8"/>
    </row>
    <row r="303" spans="1:13" x14ac:dyDescent="0.2">
      <c r="A303" s="17">
        <f>[1]SUMMARY!A304</f>
        <v>245</v>
      </c>
      <c r="B303" s="17">
        <f>[1]SUMMARY!B304</f>
        <v>70</v>
      </c>
      <c r="C303" s="17">
        <f>[1]SUMMARY!C304</f>
        <v>16</v>
      </c>
      <c r="D303" s="25" t="str">
        <f>[1]SUMMARY!D304</f>
        <v>ATLANDER</v>
      </c>
      <c r="E303" s="25" t="str">
        <f>[1]SUMMARY!E304</f>
        <v>ROVERCLAW AT</v>
      </c>
      <c r="F303" s="20"/>
      <c r="G303" s="20">
        <v>4</v>
      </c>
      <c r="H303" s="20"/>
      <c r="I303" s="21">
        <f t="shared" si="3"/>
        <v>4</v>
      </c>
      <c r="J303" s="22">
        <f>[1]SUMMARY!N304</f>
        <v>4837.3999999999996</v>
      </c>
      <c r="K303" s="23">
        <f t="shared" si="4"/>
        <v>19349.599999999999</v>
      </c>
      <c r="L303" s="8"/>
      <c r="M303" s="8"/>
    </row>
    <row r="304" spans="1:13" x14ac:dyDescent="0.2">
      <c r="A304" s="17">
        <f>[1]SUMMARY!A305</f>
        <v>285</v>
      </c>
      <c r="B304" s="17">
        <f>[1]SUMMARY!B305</f>
        <v>75</v>
      </c>
      <c r="C304" s="17">
        <f>[1]SUMMARY!C305</f>
        <v>16</v>
      </c>
      <c r="D304" s="25" t="str">
        <f>[1]SUMMARY!D305</f>
        <v>ATLANDER</v>
      </c>
      <c r="E304" s="25" t="str">
        <f>[1]SUMMARY!E305</f>
        <v>ROVERCLAW AT</v>
      </c>
      <c r="F304" s="20"/>
      <c r="G304" s="20"/>
      <c r="H304" s="20"/>
      <c r="I304" s="21">
        <f t="shared" si="3"/>
        <v>0</v>
      </c>
      <c r="J304" s="22">
        <f>[1]SUMMARY!N305</f>
        <v>6500</v>
      </c>
      <c r="K304" s="23">
        <f t="shared" si="4"/>
        <v>0</v>
      </c>
      <c r="L304" s="8"/>
      <c r="M304" s="8"/>
    </row>
    <row r="305" spans="1:13" x14ac:dyDescent="0.2">
      <c r="A305" s="17">
        <f>[1]SUMMARY!A306</f>
        <v>205</v>
      </c>
      <c r="B305" s="17">
        <f>[1]SUMMARY!B306</f>
        <v>45</v>
      </c>
      <c r="C305" s="17">
        <f>[1]SUMMARY!C306</f>
        <v>17</v>
      </c>
      <c r="D305" s="25" t="str">
        <f>[1]SUMMARY!D306</f>
        <v>ATLANDER</v>
      </c>
      <c r="E305" s="25" t="str">
        <f>[1]SUMMARY!E306</f>
        <v>XSPORT-86</v>
      </c>
      <c r="F305" s="20"/>
      <c r="G305" s="20">
        <v>20</v>
      </c>
      <c r="H305" s="20">
        <v>16</v>
      </c>
      <c r="I305" s="21">
        <f t="shared" si="3"/>
        <v>4</v>
      </c>
      <c r="J305" s="22">
        <f>[1]SUMMARY!N306</f>
        <v>2635.3</v>
      </c>
      <c r="K305" s="23">
        <f t="shared" si="4"/>
        <v>10541.2</v>
      </c>
      <c r="L305" s="8"/>
      <c r="M305" s="8"/>
    </row>
    <row r="306" spans="1:13" x14ac:dyDescent="0.2">
      <c r="A306" s="17">
        <f>[1]SUMMARY!A307</f>
        <v>205</v>
      </c>
      <c r="B306" s="17">
        <f>[1]SUMMARY!B307</f>
        <v>50</v>
      </c>
      <c r="C306" s="17">
        <f>[1]SUMMARY!C307</f>
        <v>17</v>
      </c>
      <c r="D306" s="25" t="str">
        <f>[1]SUMMARY!D307</f>
        <v>ATLANDER</v>
      </c>
      <c r="E306" s="25" t="str">
        <f>[1]SUMMARY!E307</f>
        <v>XSPORT-86</v>
      </c>
      <c r="F306" s="20"/>
      <c r="G306" s="20">
        <v>11</v>
      </c>
      <c r="H306" s="20">
        <v>7</v>
      </c>
      <c r="I306" s="21">
        <f t="shared" si="3"/>
        <v>4</v>
      </c>
      <c r="J306" s="22">
        <f>[1]SUMMARY!N307</f>
        <v>3032.4</v>
      </c>
      <c r="K306" s="23">
        <f t="shared" si="4"/>
        <v>12129.6</v>
      </c>
      <c r="L306" s="8"/>
      <c r="M306" s="8"/>
    </row>
    <row r="307" spans="1:13" x14ac:dyDescent="0.2">
      <c r="A307" s="17">
        <f>[1]SUMMARY!A308</f>
        <v>215</v>
      </c>
      <c r="B307" s="17">
        <f>[1]SUMMARY!B308</f>
        <v>55</v>
      </c>
      <c r="C307" s="17">
        <f>[1]SUMMARY!C308</f>
        <v>17</v>
      </c>
      <c r="D307" s="25" t="str">
        <f>[1]SUMMARY!D308</f>
        <v>ATLANDER</v>
      </c>
      <c r="E307" s="25" t="str">
        <f>[1]SUMMARY!E308</f>
        <v>XSPORT-86</v>
      </c>
      <c r="F307" s="20"/>
      <c r="G307" s="20">
        <v>18</v>
      </c>
      <c r="H307" s="20">
        <v>16</v>
      </c>
      <c r="I307" s="21">
        <f t="shared" si="3"/>
        <v>2</v>
      </c>
      <c r="J307" s="22">
        <f>[1]SUMMARY!N308</f>
        <v>3511.2</v>
      </c>
      <c r="K307" s="23">
        <f t="shared" si="4"/>
        <v>7022.4</v>
      </c>
      <c r="L307" s="8"/>
      <c r="M307" s="8"/>
    </row>
    <row r="308" spans="1:13" x14ac:dyDescent="0.2">
      <c r="A308" s="17">
        <f>[1]SUMMARY!A309</f>
        <v>215</v>
      </c>
      <c r="B308" s="17">
        <f>[1]SUMMARY!B309</f>
        <v>60</v>
      </c>
      <c r="C308" s="17">
        <f>[1]SUMMARY!C309</f>
        <v>17</v>
      </c>
      <c r="D308" s="25" t="str">
        <f>[1]SUMMARY!D309</f>
        <v>ATLANDER</v>
      </c>
      <c r="E308" s="25" t="str">
        <f>[1]SUMMARY!E309</f>
        <v>ROVERSTAR HT</v>
      </c>
      <c r="F308" s="20"/>
      <c r="G308" s="20">
        <v>12</v>
      </c>
      <c r="H308" s="20">
        <v>8</v>
      </c>
      <c r="I308" s="21">
        <f t="shared" si="3"/>
        <v>4</v>
      </c>
      <c r="J308" s="22">
        <f>[1]SUMMARY!N309</f>
        <v>3270.66</v>
      </c>
      <c r="K308" s="23">
        <f t="shared" si="4"/>
        <v>13082.64</v>
      </c>
      <c r="L308" s="8"/>
      <c r="M308" s="8"/>
    </row>
    <row r="309" spans="1:13" x14ac:dyDescent="0.2">
      <c r="A309" s="17">
        <f>[1]SUMMARY!A310</f>
        <v>33</v>
      </c>
      <c r="B309" s="17">
        <f>[1]SUMMARY!B310</f>
        <v>12.5</v>
      </c>
      <c r="C309" s="17">
        <f>[1]SUMMARY!C310</f>
        <v>17</v>
      </c>
      <c r="D309" s="25" t="str">
        <f>[1]SUMMARY!D310</f>
        <v>ATLANDER</v>
      </c>
      <c r="E309" s="25" t="str">
        <f>[1]SUMMARY!E310</f>
        <v>ROVERCLAW RT</v>
      </c>
      <c r="F309" s="20"/>
      <c r="G309" s="20"/>
      <c r="H309" s="20"/>
      <c r="I309" s="21">
        <f t="shared" si="3"/>
        <v>0</v>
      </c>
      <c r="J309" s="22">
        <f>[1]SUMMARY!N310</f>
        <v>8021.42</v>
      </c>
      <c r="K309" s="23">
        <f t="shared" si="4"/>
        <v>0</v>
      </c>
      <c r="L309" s="8"/>
      <c r="M309" s="8"/>
    </row>
    <row r="310" spans="1:13" x14ac:dyDescent="0.2">
      <c r="A310" s="17">
        <f>[1]SUMMARY!A311</f>
        <v>235</v>
      </c>
      <c r="B310" s="17">
        <f>[1]SUMMARY!B311</f>
        <v>50</v>
      </c>
      <c r="C310" s="17">
        <f>[1]SUMMARY!C311</f>
        <v>18</v>
      </c>
      <c r="D310" s="25" t="str">
        <f>[1]SUMMARY!D311</f>
        <v>ATLANDER</v>
      </c>
      <c r="E310" s="25" t="str">
        <f>[1]SUMMARY!E311</f>
        <v>XSPORT-86</v>
      </c>
      <c r="F310" s="20"/>
      <c r="G310" s="20">
        <v>20</v>
      </c>
      <c r="H310" s="20">
        <v>20</v>
      </c>
      <c r="I310" s="24">
        <f t="shared" si="3"/>
        <v>0</v>
      </c>
      <c r="J310" s="22">
        <f>[1]SUMMARY!N311</f>
        <v>3898.8</v>
      </c>
      <c r="K310" s="23">
        <f t="shared" si="4"/>
        <v>0</v>
      </c>
      <c r="L310" s="34"/>
      <c r="M310" s="35"/>
    </row>
    <row r="311" spans="1:13" x14ac:dyDescent="0.2">
      <c r="A311" s="17">
        <f>[1]SUMMARY!A312</f>
        <v>245</v>
      </c>
      <c r="B311" s="17">
        <f>[1]SUMMARY!B312</f>
        <v>40</v>
      </c>
      <c r="C311" s="17">
        <f>[1]SUMMARY!C312</f>
        <v>20</v>
      </c>
      <c r="D311" s="25" t="str">
        <f>[1]SUMMARY!D312</f>
        <v>ATLANDER</v>
      </c>
      <c r="E311" s="25" t="str">
        <f>[1]SUMMARY!E312</f>
        <v>XSPORT-86</v>
      </c>
      <c r="F311" s="20"/>
      <c r="G311" s="20"/>
      <c r="H311" s="20"/>
      <c r="I311" s="21">
        <f t="shared" si="3"/>
        <v>0</v>
      </c>
      <c r="J311" s="22">
        <f>[1]SUMMARY!N312</f>
        <v>4620.8</v>
      </c>
      <c r="K311" s="23">
        <f t="shared" si="4"/>
        <v>0</v>
      </c>
      <c r="L311" s="28">
        <f>SUM(K290:K311)</f>
        <v>187350.64</v>
      </c>
      <c r="M311" s="29" t="s">
        <v>18</v>
      </c>
    </row>
    <row r="312" spans="1:13" x14ac:dyDescent="0.2">
      <c r="A312" s="17">
        <f>[1]SUMMARY!A313</f>
        <v>305</v>
      </c>
      <c r="B312" s="17">
        <f>[1]SUMMARY!B313</f>
        <v>45</v>
      </c>
      <c r="C312" s="17">
        <f>[1]SUMMARY!C313</f>
        <v>22</v>
      </c>
      <c r="D312" s="25" t="str">
        <f>[1]SUMMARY!D313</f>
        <v>ATLANDER</v>
      </c>
      <c r="E312" s="25" t="str">
        <f>[1]SUMMARY!E313</f>
        <v>AX99</v>
      </c>
      <c r="F312" s="20"/>
      <c r="G312" s="20"/>
      <c r="H312" s="20"/>
      <c r="I312" s="21">
        <f t="shared" si="3"/>
        <v>0</v>
      </c>
      <c r="J312" s="22">
        <f>[1]SUMMARY!N313</f>
        <v>7584.8</v>
      </c>
      <c r="K312" s="23">
        <f t="shared" si="4"/>
        <v>0</v>
      </c>
      <c r="L312" s="8"/>
      <c r="M312" s="8"/>
    </row>
    <row r="313" spans="1:13" x14ac:dyDescent="0.2">
      <c r="A313" s="17">
        <f>[1]SUMMARY!A314</f>
        <v>265</v>
      </c>
      <c r="B313" s="17">
        <f>[1]SUMMARY!B314</f>
        <v>60</v>
      </c>
      <c r="C313" s="17">
        <f>[1]SUMMARY!C314</f>
        <v>18</v>
      </c>
      <c r="D313" s="25" t="str">
        <f>[1]SUMMARY!D314</f>
        <v>ATTURO (THAI)</v>
      </c>
      <c r="E313" s="25" t="str">
        <f>[1]SUMMARY!E314</f>
        <v>TRAILBLADE (A/T)</v>
      </c>
      <c r="F313" s="20"/>
      <c r="G313" s="20">
        <v>12</v>
      </c>
      <c r="H313" s="20">
        <v>12</v>
      </c>
      <c r="I313" s="21">
        <f t="shared" si="3"/>
        <v>0</v>
      </c>
      <c r="J313" s="22">
        <f>[1]SUMMARY!N314</f>
        <v>5625</v>
      </c>
      <c r="K313" s="23">
        <f t="shared" si="4"/>
        <v>0</v>
      </c>
      <c r="L313" s="8"/>
      <c r="M313" s="8"/>
    </row>
    <row r="314" spans="1:13" x14ac:dyDescent="0.2">
      <c r="A314" s="17">
        <f>[1]SUMMARY!A315</f>
        <v>265</v>
      </c>
      <c r="B314" s="17">
        <f>[1]SUMMARY!B315</f>
        <v>50</v>
      </c>
      <c r="C314" s="17">
        <f>[1]SUMMARY!C315</f>
        <v>20</v>
      </c>
      <c r="D314" s="25" t="str">
        <f>[1]SUMMARY!D315</f>
        <v>ATTURO (TAIWAN)</v>
      </c>
      <c r="E314" s="25" t="str">
        <f>[1]SUMMARY!E315</f>
        <v>ATW AZ800 (H/T)</v>
      </c>
      <c r="F314" s="20"/>
      <c r="G314" s="20">
        <v>12</v>
      </c>
      <c r="H314" s="20">
        <v>12</v>
      </c>
      <c r="I314" s="21">
        <f t="shared" si="3"/>
        <v>0</v>
      </c>
      <c r="J314" s="22">
        <f>[1]SUMMARY!N315</f>
        <v>5000</v>
      </c>
      <c r="K314" s="23">
        <f t="shared" si="4"/>
        <v>0</v>
      </c>
      <c r="L314" s="8"/>
      <c r="M314" s="8"/>
    </row>
    <row r="315" spans="1:13" x14ac:dyDescent="0.2">
      <c r="A315" s="17">
        <f>[1]SUMMARY!A316</f>
        <v>265</v>
      </c>
      <c r="B315" s="17">
        <f>[1]SUMMARY!B316</f>
        <v>50</v>
      </c>
      <c r="C315" s="17">
        <f>[1]SUMMARY!C316</f>
        <v>20</v>
      </c>
      <c r="D315" s="25" t="str">
        <f>[1]SUMMARY!D316</f>
        <v>ATTURO (TAIWAN)</v>
      </c>
      <c r="E315" s="25" t="str">
        <f>[1]SUMMARY!E316</f>
        <v>TRAILBLADE XT</v>
      </c>
      <c r="F315" s="20"/>
      <c r="G315" s="20">
        <v>16</v>
      </c>
      <c r="H315" s="20">
        <v>16</v>
      </c>
      <c r="I315" s="21">
        <f t="shared" si="3"/>
        <v>0</v>
      </c>
      <c r="J315" s="22">
        <f>[1]SUMMARY!N316</f>
        <v>6300</v>
      </c>
      <c r="K315" s="23">
        <f t="shared" si="4"/>
        <v>0</v>
      </c>
      <c r="L315" s="28">
        <f>SUM(K313:K315)</f>
        <v>0</v>
      </c>
      <c r="M315" s="29" t="s">
        <v>19</v>
      </c>
    </row>
    <row r="316" spans="1:13" x14ac:dyDescent="0.2">
      <c r="A316" s="17">
        <f>[1]SUMMARY!A317</f>
        <v>175</v>
      </c>
      <c r="B316" s="17">
        <f>[1]SUMMARY!B317</f>
        <v>65</v>
      </c>
      <c r="C316" s="17">
        <f>[1]SUMMARY!C317</f>
        <v>14</v>
      </c>
      <c r="D316" s="25" t="str">
        <f>[1]SUMMARY!D317</f>
        <v>BF GOODRICH</v>
      </c>
      <c r="E316" s="25" t="str">
        <f>[1]SUMMARY!E317</f>
        <v>ADVANTAGE TOURING</v>
      </c>
      <c r="F316" s="20"/>
      <c r="G316" s="20">
        <v>139</v>
      </c>
      <c r="H316" s="20">
        <v>131</v>
      </c>
      <c r="I316" s="30">
        <f t="shared" si="3"/>
        <v>8</v>
      </c>
      <c r="J316" s="22">
        <f>[1]SUMMARY!N317</f>
        <v>3240.88</v>
      </c>
      <c r="K316" s="23">
        <f t="shared" si="4"/>
        <v>25927.040000000001</v>
      </c>
      <c r="L316" s="8"/>
      <c r="M316" s="8"/>
    </row>
    <row r="317" spans="1:13" x14ac:dyDescent="0.2">
      <c r="A317" s="17">
        <f>[1]SUMMARY!A318</f>
        <v>175</v>
      </c>
      <c r="B317" s="17">
        <f>[1]SUMMARY!B318</f>
        <v>70</v>
      </c>
      <c r="C317" s="17">
        <f>[1]SUMMARY!C318</f>
        <v>14</v>
      </c>
      <c r="D317" s="25" t="str">
        <f>[1]SUMMARY!D318</f>
        <v>BF GOODRICH</v>
      </c>
      <c r="E317" s="25" t="str">
        <f>[1]SUMMARY!E318</f>
        <v>ADVANTAGE TOURING</v>
      </c>
      <c r="F317" s="20">
        <v>4</v>
      </c>
      <c r="G317" s="20">
        <v>25</v>
      </c>
      <c r="H317" s="20">
        <v>25</v>
      </c>
      <c r="I317" s="36">
        <f t="shared" si="3"/>
        <v>4</v>
      </c>
      <c r="J317" s="22">
        <f>[1]SUMMARY!N318</f>
        <v>3679.86</v>
      </c>
      <c r="K317" s="23">
        <f t="shared" si="4"/>
        <v>14719.44</v>
      </c>
      <c r="L317" s="8"/>
      <c r="M317" s="8"/>
    </row>
    <row r="318" spans="1:13" x14ac:dyDescent="0.2">
      <c r="A318" s="17">
        <f>[1]SUMMARY!A319</f>
        <v>185</v>
      </c>
      <c r="B318" s="17">
        <f>[1]SUMMARY!B319</f>
        <v>65</v>
      </c>
      <c r="C318" s="17">
        <f>[1]SUMMARY!C319</f>
        <v>14</v>
      </c>
      <c r="D318" s="25" t="str">
        <f>[1]SUMMARY!D319</f>
        <v>BF GOODRICH</v>
      </c>
      <c r="E318" s="25" t="str">
        <f>[1]SUMMARY!E319</f>
        <v>ADV T/A</v>
      </c>
      <c r="F318" s="20">
        <v>4</v>
      </c>
      <c r="G318" s="20">
        <v>2</v>
      </c>
      <c r="H318" s="20">
        <v>6</v>
      </c>
      <c r="I318" s="30">
        <f t="shared" si="3"/>
        <v>0</v>
      </c>
      <c r="J318" s="22">
        <f>[1]SUMMARY!N319</f>
        <v>3180.87</v>
      </c>
      <c r="K318" s="23">
        <f t="shared" si="4"/>
        <v>0</v>
      </c>
      <c r="L318" s="8"/>
      <c r="M318" s="8"/>
    </row>
    <row r="319" spans="1:13" x14ac:dyDescent="0.2">
      <c r="A319" s="17">
        <f>[1]SUMMARY!A320</f>
        <v>185</v>
      </c>
      <c r="B319" s="17">
        <f>[1]SUMMARY!B320</f>
        <v>65</v>
      </c>
      <c r="C319" s="17">
        <f>[1]SUMMARY!C320</f>
        <v>14</v>
      </c>
      <c r="D319" s="25" t="str">
        <f>[1]SUMMARY!D320</f>
        <v>BF GOODRICH</v>
      </c>
      <c r="E319" s="25" t="str">
        <f>[1]SUMMARY!E320</f>
        <v>ADVANTAGE TOURING</v>
      </c>
      <c r="F319" s="20"/>
      <c r="G319" s="20">
        <v>33</v>
      </c>
      <c r="H319" s="20">
        <v>25</v>
      </c>
      <c r="I319" s="36">
        <f t="shared" si="3"/>
        <v>8</v>
      </c>
      <c r="J319" s="22">
        <f>[1]SUMMARY!N320</f>
        <v>3566.68</v>
      </c>
      <c r="K319" s="23">
        <f t="shared" si="4"/>
        <v>28533.439999999999</v>
      </c>
      <c r="L319" s="8"/>
      <c r="M319" s="8"/>
    </row>
    <row r="320" spans="1:13" x14ac:dyDescent="0.2">
      <c r="A320" s="17">
        <f>[1]SUMMARY!A321</f>
        <v>185</v>
      </c>
      <c r="B320" s="17">
        <f>[1]SUMMARY!B321</f>
        <v>70</v>
      </c>
      <c r="C320" s="17">
        <f>[1]SUMMARY!C321</f>
        <v>14</v>
      </c>
      <c r="D320" s="25" t="str">
        <f>[1]SUMMARY!D321</f>
        <v>BF GOODRICH</v>
      </c>
      <c r="E320" s="25" t="str">
        <f>[1]SUMMARY!E321</f>
        <v>ADVANTAGE TOURING</v>
      </c>
      <c r="F320" s="20"/>
      <c r="G320" s="20">
        <v>49</v>
      </c>
      <c r="H320" s="20">
        <v>42</v>
      </c>
      <c r="I320" s="36">
        <f t="shared" si="3"/>
        <v>7</v>
      </c>
      <c r="J320" s="22">
        <f>[1]SUMMARY!N321</f>
        <v>3652.42</v>
      </c>
      <c r="K320" s="23">
        <f t="shared" si="4"/>
        <v>25566.940000000002</v>
      </c>
      <c r="L320" s="8"/>
      <c r="M320" s="8"/>
    </row>
    <row r="321" spans="1:13" x14ac:dyDescent="0.2">
      <c r="A321" s="17">
        <f>[1]SUMMARY!A322</f>
        <v>175</v>
      </c>
      <c r="B321" s="17">
        <f>[1]SUMMARY!B322</f>
        <v>50</v>
      </c>
      <c r="C321" s="17">
        <f>[1]SUMMARY!C322</f>
        <v>15</v>
      </c>
      <c r="D321" s="25" t="str">
        <f>[1]SUMMARY!D322</f>
        <v>BF GOODRICH</v>
      </c>
      <c r="E321" s="25" t="str">
        <f>[1]SUMMARY!E322</f>
        <v>ADVANTAGE TOURING</v>
      </c>
      <c r="F321" s="20"/>
      <c r="G321" s="20">
        <v>30</v>
      </c>
      <c r="H321" s="20">
        <v>30</v>
      </c>
      <c r="I321" s="30">
        <f t="shared" si="3"/>
        <v>0</v>
      </c>
      <c r="J321" s="22">
        <f>[1]SUMMARY!N322</f>
        <v>3815.32</v>
      </c>
      <c r="K321" s="23">
        <f t="shared" si="4"/>
        <v>0</v>
      </c>
      <c r="L321" s="8"/>
      <c r="M321" s="8"/>
    </row>
    <row r="322" spans="1:13" x14ac:dyDescent="0.2">
      <c r="A322" s="17">
        <f>[1]SUMMARY!A323</f>
        <v>195</v>
      </c>
      <c r="B322" s="17">
        <f>[1]SUMMARY!B323</f>
        <v>50</v>
      </c>
      <c r="C322" s="17">
        <f>[1]SUMMARY!C323</f>
        <v>15</v>
      </c>
      <c r="D322" s="25" t="str">
        <f>[1]SUMMARY!D323</f>
        <v>BF GOODRICH</v>
      </c>
      <c r="E322" s="25" t="str">
        <f>[1]SUMMARY!E323</f>
        <v>ADVANTAGE TOURING</v>
      </c>
      <c r="F322" s="20">
        <v>4</v>
      </c>
      <c r="G322" s="20">
        <v>30</v>
      </c>
      <c r="H322" s="20">
        <v>34</v>
      </c>
      <c r="I322" s="36">
        <f t="shared" si="3"/>
        <v>0</v>
      </c>
      <c r="J322" s="22">
        <f>[1]SUMMARY!N323</f>
        <v>4029.66</v>
      </c>
      <c r="K322" s="23">
        <f t="shared" si="4"/>
        <v>0</v>
      </c>
      <c r="L322" s="8"/>
      <c r="M322" s="8"/>
    </row>
    <row r="323" spans="1:13" x14ac:dyDescent="0.2">
      <c r="A323" s="17">
        <f>[1]SUMMARY!A324</f>
        <v>185</v>
      </c>
      <c r="B323" s="17">
        <f>[1]SUMMARY!B324</f>
        <v>55</v>
      </c>
      <c r="C323" s="17">
        <f>[1]SUMMARY!C324</f>
        <v>15</v>
      </c>
      <c r="D323" s="25" t="str">
        <f>[1]SUMMARY!D324</f>
        <v>BF GOODRICH</v>
      </c>
      <c r="E323" s="25" t="str">
        <f>[1]SUMMARY!E324</f>
        <v>ADVANTAGE TOURING</v>
      </c>
      <c r="F323" s="20"/>
      <c r="G323" s="20">
        <v>85</v>
      </c>
      <c r="H323" s="20">
        <v>81</v>
      </c>
      <c r="I323" s="36">
        <f t="shared" si="3"/>
        <v>4</v>
      </c>
      <c r="J323" s="22">
        <f>[1]SUMMARY!N324</f>
        <v>3755.3</v>
      </c>
      <c r="K323" s="23">
        <f t="shared" si="4"/>
        <v>15021.2</v>
      </c>
      <c r="L323" s="8"/>
      <c r="M323" s="8"/>
    </row>
    <row r="324" spans="1:13" x14ac:dyDescent="0.2">
      <c r="A324" s="17">
        <f>[1]SUMMARY!A325</f>
        <v>195</v>
      </c>
      <c r="B324" s="17">
        <f>[1]SUMMARY!B325</f>
        <v>55</v>
      </c>
      <c r="C324" s="17">
        <f>[1]SUMMARY!C325</f>
        <v>15</v>
      </c>
      <c r="D324" s="25" t="str">
        <f>[1]SUMMARY!D325</f>
        <v>BF GOODRICH</v>
      </c>
      <c r="E324" s="25" t="str">
        <f>[1]SUMMARY!E325</f>
        <v>ADVANTAGE TOURING</v>
      </c>
      <c r="F324" s="20"/>
      <c r="G324" s="20">
        <v>80</v>
      </c>
      <c r="H324" s="20">
        <v>72</v>
      </c>
      <c r="I324" s="36">
        <f t="shared" si="3"/>
        <v>8</v>
      </c>
      <c r="J324" s="22">
        <f>[1]SUMMARY!N325</f>
        <v>3909.63</v>
      </c>
      <c r="K324" s="23">
        <f t="shared" si="4"/>
        <v>31277.040000000001</v>
      </c>
      <c r="L324" s="8"/>
      <c r="M324" s="8"/>
    </row>
    <row r="325" spans="1:13" x14ac:dyDescent="0.2">
      <c r="A325" s="17">
        <f>[1]SUMMARY!A326</f>
        <v>185</v>
      </c>
      <c r="B325" s="17">
        <f>[1]SUMMARY!B326</f>
        <v>60</v>
      </c>
      <c r="C325" s="17">
        <f>[1]SUMMARY!C326</f>
        <v>15</v>
      </c>
      <c r="D325" s="25" t="str">
        <f>[1]SUMMARY!D326</f>
        <v>BF GOODRICH</v>
      </c>
      <c r="E325" s="25" t="str">
        <f>[1]SUMMARY!E326</f>
        <v>ADVANTAGE TOURING</v>
      </c>
      <c r="F325" s="20"/>
      <c r="G325" s="20">
        <v>148</v>
      </c>
      <c r="H325" s="20">
        <v>140</v>
      </c>
      <c r="I325" s="36">
        <f t="shared" si="3"/>
        <v>8</v>
      </c>
      <c r="J325" s="22">
        <f>[1]SUMMARY!N326</f>
        <v>3729.58</v>
      </c>
      <c r="K325" s="23">
        <f t="shared" si="4"/>
        <v>29836.639999999999</v>
      </c>
      <c r="L325" s="8"/>
      <c r="M325" s="8"/>
    </row>
    <row r="326" spans="1:13" x14ac:dyDescent="0.2">
      <c r="A326" s="17">
        <f>[1]SUMMARY!A327</f>
        <v>195</v>
      </c>
      <c r="B326" s="17">
        <f>[1]SUMMARY!B327</f>
        <v>60</v>
      </c>
      <c r="C326" s="17">
        <f>[1]SUMMARY!C327</f>
        <v>15</v>
      </c>
      <c r="D326" s="25" t="str">
        <f>[1]SUMMARY!D327</f>
        <v>BF GOODRICH</v>
      </c>
      <c r="E326" s="25" t="str">
        <f>[1]SUMMARY!E327</f>
        <v>ADVANTAGE TOURING</v>
      </c>
      <c r="F326" s="20"/>
      <c r="G326" s="20">
        <v>34</v>
      </c>
      <c r="H326" s="20">
        <v>30</v>
      </c>
      <c r="I326" s="36">
        <f t="shared" si="3"/>
        <v>4</v>
      </c>
      <c r="J326" s="22">
        <f>[1]SUMMARY!N327</f>
        <v>4012.51</v>
      </c>
      <c r="K326" s="23">
        <f t="shared" si="4"/>
        <v>16050.04</v>
      </c>
      <c r="L326" s="8"/>
      <c r="M326" s="8"/>
    </row>
    <row r="327" spans="1:13" x14ac:dyDescent="0.2">
      <c r="A327" s="17">
        <f>[1]SUMMARY!A328</f>
        <v>175</v>
      </c>
      <c r="B327" s="17">
        <f>[1]SUMMARY!B328</f>
        <v>65</v>
      </c>
      <c r="C327" s="17">
        <f>[1]SUMMARY!C328</f>
        <v>15</v>
      </c>
      <c r="D327" s="25" t="str">
        <f>[1]SUMMARY!D328</f>
        <v>BF GOODRICH</v>
      </c>
      <c r="E327" s="25" t="str">
        <f>[1]SUMMARY!E328</f>
        <v>ADVANTAGE TOURING</v>
      </c>
      <c r="F327" s="20"/>
      <c r="G327" s="20">
        <v>50</v>
      </c>
      <c r="H327" s="20">
        <v>46</v>
      </c>
      <c r="I327" s="36">
        <f t="shared" si="3"/>
        <v>4</v>
      </c>
      <c r="J327" s="22">
        <f>[1]SUMMARY!N328</f>
        <v>3326.61</v>
      </c>
      <c r="K327" s="23">
        <f t="shared" si="4"/>
        <v>13306.44</v>
      </c>
      <c r="L327" s="8"/>
      <c r="M327" s="8"/>
    </row>
    <row r="328" spans="1:13" x14ac:dyDescent="0.2">
      <c r="A328" s="17">
        <f>[1]SUMMARY!A329</f>
        <v>185</v>
      </c>
      <c r="B328" s="17">
        <f>[1]SUMMARY!B329</f>
        <v>65</v>
      </c>
      <c r="C328" s="17">
        <f>[1]SUMMARY!C329</f>
        <v>15</v>
      </c>
      <c r="D328" s="25" t="str">
        <f>[1]SUMMARY!D329</f>
        <v>BF GOODRICH</v>
      </c>
      <c r="E328" s="25" t="str">
        <f>[1]SUMMARY!E329</f>
        <v>ADVANTAGE TOURING</v>
      </c>
      <c r="F328" s="20"/>
      <c r="G328" s="20">
        <v>86</v>
      </c>
      <c r="H328" s="20">
        <v>74</v>
      </c>
      <c r="I328" s="36">
        <f t="shared" si="3"/>
        <v>12</v>
      </c>
      <c r="J328" s="22">
        <f>[1]SUMMARY!N329</f>
        <v>3918.2</v>
      </c>
      <c r="K328" s="23">
        <f t="shared" si="4"/>
        <v>47018.399999999994</v>
      </c>
      <c r="L328" s="8"/>
      <c r="M328" s="8"/>
    </row>
    <row r="329" spans="1:13" x14ac:dyDescent="0.2">
      <c r="A329" s="17">
        <f>[1]SUMMARY!A330</f>
        <v>195</v>
      </c>
      <c r="B329" s="17">
        <f>[1]SUMMARY!B330</f>
        <v>65</v>
      </c>
      <c r="C329" s="17">
        <f>[1]SUMMARY!C330</f>
        <v>15</v>
      </c>
      <c r="D329" s="25" t="str">
        <f>[1]SUMMARY!D330</f>
        <v>BF GOODRICH</v>
      </c>
      <c r="E329" s="25" t="str">
        <f>[1]SUMMARY!E330</f>
        <v>ADVANTAGE TOURING</v>
      </c>
      <c r="F329" s="20"/>
      <c r="G329" s="20">
        <v>65</v>
      </c>
      <c r="H329" s="20">
        <v>59</v>
      </c>
      <c r="I329" s="36">
        <f t="shared" si="3"/>
        <v>6</v>
      </c>
      <c r="J329" s="22">
        <f>[1]SUMMARY!N330</f>
        <v>3961.07</v>
      </c>
      <c r="K329" s="23">
        <f t="shared" si="4"/>
        <v>23766.420000000002</v>
      </c>
      <c r="L329" s="8"/>
      <c r="M329" s="8"/>
    </row>
    <row r="330" spans="1:13" x14ac:dyDescent="0.2">
      <c r="A330" s="17">
        <f>[1]SUMMARY!A331</f>
        <v>205</v>
      </c>
      <c r="B330" s="17">
        <f>[1]SUMMARY!B331</f>
        <v>65</v>
      </c>
      <c r="C330" s="17">
        <f>[1]SUMMARY!C331</f>
        <v>15</v>
      </c>
      <c r="D330" s="25" t="str">
        <f>[1]SUMMARY!D331</f>
        <v>BF GOODRICH</v>
      </c>
      <c r="E330" s="25" t="str">
        <f>[1]SUMMARY!E331</f>
        <v>ADVANTAGE TOURING</v>
      </c>
      <c r="F330" s="20"/>
      <c r="G330" s="20">
        <v>49</v>
      </c>
      <c r="H330" s="20">
        <v>45</v>
      </c>
      <c r="I330" s="36">
        <f t="shared" si="3"/>
        <v>4</v>
      </c>
      <c r="J330" s="22">
        <f>[1]SUMMARY!N331</f>
        <v>4149.6899999999996</v>
      </c>
      <c r="K330" s="23">
        <f t="shared" si="4"/>
        <v>16598.759999999998</v>
      </c>
      <c r="L330" s="8"/>
      <c r="M330" s="8"/>
    </row>
    <row r="331" spans="1:13" x14ac:dyDescent="0.2">
      <c r="A331" s="17">
        <f>[1]SUMMARY!A332</f>
        <v>205</v>
      </c>
      <c r="B331" s="17">
        <f>[1]SUMMARY!B332</f>
        <v>70</v>
      </c>
      <c r="C331" s="17">
        <f>[1]SUMMARY!C332</f>
        <v>15</v>
      </c>
      <c r="D331" s="25" t="str">
        <f>[1]SUMMARY!D332</f>
        <v>BF GOODRICH</v>
      </c>
      <c r="E331" s="25" t="str">
        <f>[1]SUMMARY!E332</f>
        <v>ADVANTAGE TOURING</v>
      </c>
      <c r="F331" s="20"/>
      <c r="G331" s="20">
        <v>23</v>
      </c>
      <c r="H331" s="20">
        <v>19</v>
      </c>
      <c r="I331" s="36">
        <f t="shared" si="3"/>
        <v>4</v>
      </c>
      <c r="J331" s="22">
        <f>[1]SUMMARY!N332</f>
        <v>4621.25</v>
      </c>
      <c r="K331" s="23">
        <f t="shared" si="4"/>
        <v>18485</v>
      </c>
      <c r="L331" s="8"/>
      <c r="M331" s="8"/>
    </row>
    <row r="332" spans="1:13" x14ac:dyDescent="0.2">
      <c r="A332" s="17">
        <f>[1]SUMMARY!A333</f>
        <v>205</v>
      </c>
      <c r="B332" s="17">
        <f>[1]SUMMARY!B333</f>
        <v>70</v>
      </c>
      <c r="C332" s="17">
        <f>[1]SUMMARY!C333</f>
        <v>15</v>
      </c>
      <c r="D332" s="25" t="str">
        <f>[1]SUMMARY!D333</f>
        <v>BF GOODRICH</v>
      </c>
      <c r="E332" s="25" t="str">
        <f>[1]SUMMARY!E333</f>
        <v>ADV T/A</v>
      </c>
      <c r="F332" s="20">
        <v>2</v>
      </c>
      <c r="G332" s="20"/>
      <c r="H332" s="20">
        <v>2</v>
      </c>
      <c r="I332" s="30">
        <f t="shared" si="3"/>
        <v>0</v>
      </c>
      <c r="J332" s="22">
        <f>[1]SUMMARY!N333</f>
        <v>3826</v>
      </c>
      <c r="K332" s="23">
        <f t="shared" si="4"/>
        <v>0</v>
      </c>
      <c r="L332" s="8"/>
      <c r="M332" s="8"/>
    </row>
    <row r="333" spans="1:13" x14ac:dyDescent="0.2">
      <c r="A333" s="17">
        <f>[1]SUMMARY!A334</f>
        <v>215</v>
      </c>
      <c r="B333" s="17">
        <f>[1]SUMMARY!B334</f>
        <v>70</v>
      </c>
      <c r="C333" s="17">
        <f>[1]SUMMARY!C334</f>
        <v>15</v>
      </c>
      <c r="D333" s="25" t="str">
        <f>[1]SUMMARY!D334</f>
        <v>BF GOODRICH</v>
      </c>
      <c r="E333" s="25" t="str">
        <f>[1]SUMMARY!E334</f>
        <v>ADVANTAGE TOURING</v>
      </c>
      <c r="F333" s="20"/>
      <c r="G333" s="20">
        <v>25</v>
      </c>
      <c r="H333" s="20">
        <v>21</v>
      </c>
      <c r="I333" s="36">
        <f t="shared" si="3"/>
        <v>4</v>
      </c>
      <c r="J333" s="22">
        <f>[1]SUMMARY!N334</f>
        <v>5152.82</v>
      </c>
      <c r="K333" s="23">
        <f t="shared" si="4"/>
        <v>20611.28</v>
      </c>
      <c r="L333" s="8"/>
      <c r="M333" s="8"/>
    </row>
    <row r="334" spans="1:13" x14ac:dyDescent="0.2">
      <c r="A334" s="17">
        <f>[1]SUMMARY!A335</f>
        <v>235</v>
      </c>
      <c r="B334" s="17">
        <f>[1]SUMMARY!B335</f>
        <v>70</v>
      </c>
      <c r="C334" s="17">
        <f>[1]SUMMARY!C335</f>
        <v>15</v>
      </c>
      <c r="D334" s="25" t="str">
        <f>[1]SUMMARY!D335</f>
        <v>BF GOODRICH</v>
      </c>
      <c r="E334" s="25" t="str">
        <f>[1]SUMMARY!E335</f>
        <v>ADVANTAGE TOURING</v>
      </c>
      <c r="F334" s="20"/>
      <c r="G334" s="20">
        <v>8</v>
      </c>
      <c r="H334" s="20">
        <v>4</v>
      </c>
      <c r="I334" s="30">
        <f t="shared" si="3"/>
        <v>4</v>
      </c>
      <c r="J334" s="22">
        <f>[1]SUMMARY!N335</f>
        <v>5838.72</v>
      </c>
      <c r="K334" s="23">
        <f t="shared" si="4"/>
        <v>23354.880000000001</v>
      </c>
      <c r="L334" s="8"/>
      <c r="M334" s="8"/>
    </row>
    <row r="335" spans="1:13" x14ac:dyDescent="0.2">
      <c r="A335" s="17">
        <f>[1]SUMMARY!A336</f>
        <v>215</v>
      </c>
      <c r="B335" s="17">
        <f>[1]SUMMARY!B336</f>
        <v>75</v>
      </c>
      <c r="C335" s="17">
        <f>[1]SUMMARY!C336</f>
        <v>15</v>
      </c>
      <c r="D335" s="25" t="str">
        <f>[1]SUMMARY!D336</f>
        <v>BF GOODRICH</v>
      </c>
      <c r="E335" s="25" t="str">
        <f>[1]SUMMARY!E336</f>
        <v>KO2</v>
      </c>
      <c r="F335" s="20"/>
      <c r="G335" s="20">
        <v>9</v>
      </c>
      <c r="H335" s="20">
        <v>9</v>
      </c>
      <c r="I335" s="30">
        <f t="shared" si="3"/>
        <v>0</v>
      </c>
      <c r="J335" s="22">
        <f>[1]SUMMARY!N336</f>
        <v>11344.42</v>
      </c>
      <c r="K335" s="23">
        <f t="shared" si="4"/>
        <v>0</v>
      </c>
      <c r="L335" s="8"/>
      <c r="M335" s="8"/>
    </row>
    <row r="336" spans="1:13" x14ac:dyDescent="0.2">
      <c r="A336" s="17">
        <f>[1]SUMMARY!A337</f>
        <v>235</v>
      </c>
      <c r="B336" s="17">
        <f>[1]SUMMARY!B337</f>
        <v>75</v>
      </c>
      <c r="C336" s="17">
        <f>[1]SUMMARY!C337</f>
        <v>15</v>
      </c>
      <c r="D336" s="25" t="str">
        <f>[1]SUMMARY!D337</f>
        <v>BF GOODRICH</v>
      </c>
      <c r="E336" s="25" t="str">
        <f>[1]SUMMARY!E337</f>
        <v>KO2</v>
      </c>
      <c r="F336" s="20"/>
      <c r="G336" s="20">
        <v>17</v>
      </c>
      <c r="H336" s="20">
        <v>17</v>
      </c>
      <c r="I336" s="36">
        <f t="shared" si="3"/>
        <v>0</v>
      </c>
      <c r="J336" s="22">
        <f>[1]SUMMARY!N337</f>
        <v>12102.52</v>
      </c>
      <c r="K336" s="23">
        <f t="shared" si="4"/>
        <v>0</v>
      </c>
      <c r="L336" s="8"/>
      <c r="M336" s="8"/>
    </row>
    <row r="337" spans="1:13" x14ac:dyDescent="0.2">
      <c r="A337" s="17">
        <f>[1]SUMMARY!A338</f>
        <v>235</v>
      </c>
      <c r="B337" s="17">
        <f>[1]SUMMARY!B338</f>
        <v>75</v>
      </c>
      <c r="C337" s="17">
        <f>[1]SUMMARY!C338</f>
        <v>15</v>
      </c>
      <c r="D337" s="25" t="str">
        <f>[1]SUMMARY!D338</f>
        <v>BF GOODRICH</v>
      </c>
      <c r="E337" s="25" t="str">
        <f>[1]SUMMARY!E338</f>
        <v>ADV T/Z</v>
      </c>
      <c r="F337" s="20">
        <v>10</v>
      </c>
      <c r="G337" s="20">
        <v>4</v>
      </c>
      <c r="H337" s="20">
        <v>14</v>
      </c>
      <c r="I337" s="30">
        <f t="shared" si="3"/>
        <v>0</v>
      </c>
      <c r="J337" s="22">
        <f>[1]SUMMARY!N338</f>
        <v>5090.1000000000004</v>
      </c>
      <c r="K337" s="23">
        <f t="shared" si="4"/>
        <v>0</v>
      </c>
      <c r="L337" s="8"/>
      <c r="M337" s="8"/>
    </row>
    <row r="338" spans="1:13" x14ac:dyDescent="0.2">
      <c r="A338" s="17">
        <f>[1]SUMMARY!A339</f>
        <v>235</v>
      </c>
      <c r="B338" s="17">
        <f>[1]SUMMARY!B339</f>
        <v>75</v>
      </c>
      <c r="C338" s="17">
        <f>[1]SUMMARY!C339</f>
        <v>15</v>
      </c>
      <c r="D338" s="25" t="str">
        <f>[1]SUMMARY!D339</f>
        <v>BF GOODRICH</v>
      </c>
      <c r="E338" s="25" t="str">
        <f>[1]SUMMARY!E339</f>
        <v>ADVANTAGE TOURING</v>
      </c>
      <c r="F338" s="20"/>
      <c r="G338" s="20">
        <v>12</v>
      </c>
      <c r="H338" s="20">
        <v>12</v>
      </c>
      <c r="I338" s="36">
        <f t="shared" si="3"/>
        <v>0</v>
      </c>
      <c r="J338" s="22">
        <f>[1]SUMMARY!N339</f>
        <v>6095.93</v>
      </c>
      <c r="K338" s="23">
        <f t="shared" si="4"/>
        <v>0</v>
      </c>
      <c r="L338" s="8"/>
      <c r="M338" s="8"/>
    </row>
    <row r="339" spans="1:13" x14ac:dyDescent="0.2">
      <c r="A339" s="17">
        <f>[1]SUMMARY!A340</f>
        <v>195</v>
      </c>
      <c r="B339" s="17">
        <f>[1]SUMMARY!B340</f>
        <v>50</v>
      </c>
      <c r="C339" s="17">
        <f>[1]SUMMARY!C340</f>
        <v>16</v>
      </c>
      <c r="D339" s="25" t="str">
        <f>[1]SUMMARY!D340</f>
        <v>BF GOODRICH</v>
      </c>
      <c r="E339" s="25" t="str">
        <f>[1]SUMMARY!E340</f>
        <v>ADVANTAGE TOURING</v>
      </c>
      <c r="F339" s="20"/>
      <c r="G339" s="20">
        <v>6</v>
      </c>
      <c r="H339" s="20">
        <v>2</v>
      </c>
      <c r="I339" s="36">
        <f t="shared" si="3"/>
        <v>4</v>
      </c>
      <c r="J339" s="22">
        <f>[1]SUMMARY!N340</f>
        <v>4029.66</v>
      </c>
      <c r="K339" s="23">
        <f t="shared" si="4"/>
        <v>16118.64</v>
      </c>
      <c r="L339" s="8"/>
      <c r="M339" s="8"/>
    </row>
    <row r="340" spans="1:13" x14ac:dyDescent="0.2">
      <c r="A340" s="17">
        <f>[1]SUMMARY!A341</f>
        <v>185</v>
      </c>
      <c r="B340" s="17">
        <f>[1]SUMMARY!B341</f>
        <v>55</v>
      </c>
      <c r="C340" s="17">
        <f>[1]SUMMARY!C341</f>
        <v>16</v>
      </c>
      <c r="D340" s="25" t="str">
        <f>[1]SUMMARY!D341</f>
        <v>BF GOODRICH</v>
      </c>
      <c r="E340" s="25" t="str">
        <f>[1]SUMMARY!E341</f>
        <v>ADVANTAGE TOURING</v>
      </c>
      <c r="F340" s="20"/>
      <c r="G340" s="20">
        <v>121</v>
      </c>
      <c r="H340" s="20">
        <v>113</v>
      </c>
      <c r="I340" s="36">
        <f t="shared" si="3"/>
        <v>8</v>
      </c>
      <c r="J340" s="22">
        <f>[1]SUMMARY!N341</f>
        <v>3532.39</v>
      </c>
      <c r="K340" s="23">
        <f t="shared" si="4"/>
        <v>28259.119999999999</v>
      </c>
      <c r="L340" s="8"/>
      <c r="M340" s="8"/>
    </row>
    <row r="341" spans="1:13" x14ac:dyDescent="0.2">
      <c r="A341" s="17">
        <f>[1]SUMMARY!A342</f>
        <v>195</v>
      </c>
      <c r="B341" s="17">
        <f>[1]SUMMARY!B342</f>
        <v>55</v>
      </c>
      <c r="C341" s="17">
        <f>[1]SUMMARY!C342</f>
        <v>16</v>
      </c>
      <c r="D341" s="25" t="str">
        <f>[1]SUMMARY!D342</f>
        <v>BF GOODRICH</v>
      </c>
      <c r="E341" s="25" t="str">
        <f>[1]SUMMARY!E342</f>
        <v>ADVANTAGE TOURING</v>
      </c>
      <c r="F341" s="20"/>
      <c r="G341" s="20">
        <v>40</v>
      </c>
      <c r="H341" s="20">
        <v>36</v>
      </c>
      <c r="I341" s="36">
        <f t="shared" si="3"/>
        <v>4</v>
      </c>
      <c r="J341" s="22">
        <f>[1]SUMMARY!N342</f>
        <v>3892.48</v>
      </c>
      <c r="K341" s="23">
        <f t="shared" si="4"/>
        <v>15569.92</v>
      </c>
      <c r="L341" s="8"/>
      <c r="M341" s="8"/>
    </row>
    <row r="342" spans="1:13" x14ac:dyDescent="0.2">
      <c r="A342" s="17">
        <f>[1]SUMMARY!A343</f>
        <v>205</v>
      </c>
      <c r="B342" s="17">
        <f>[1]SUMMARY!B343</f>
        <v>55</v>
      </c>
      <c r="C342" s="17">
        <f>[1]SUMMARY!C343</f>
        <v>16</v>
      </c>
      <c r="D342" s="25" t="str">
        <f>[1]SUMMARY!D343</f>
        <v>BF GOODRICH</v>
      </c>
      <c r="E342" s="25" t="str">
        <f>[1]SUMMARY!E343</f>
        <v>ADVANTAGE TOURING</v>
      </c>
      <c r="F342" s="20"/>
      <c r="G342" s="20">
        <v>73</v>
      </c>
      <c r="H342" s="20">
        <v>69</v>
      </c>
      <c r="I342" s="36">
        <f t="shared" si="3"/>
        <v>4</v>
      </c>
      <c r="J342" s="22">
        <f>[1]SUMMARY!N343</f>
        <v>4758.43</v>
      </c>
      <c r="K342" s="23">
        <f t="shared" si="4"/>
        <v>19033.72</v>
      </c>
      <c r="L342" s="8"/>
      <c r="M342" s="8"/>
    </row>
    <row r="343" spans="1:13" x14ac:dyDescent="0.2">
      <c r="A343" s="17">
        <f>[1]SUMMARY!A344</f>
        <v>215</v>
      </c>
      <c r="B343" s="17">
        <f>[1]SUMMARY!B344</f>
        <v>55</v>
      </c>
      <c r="C343" s="17">
        <f>[1]SUMMARY!C344</f>
        <v>16</v>
      </c>
      <c r="D343" s="25" t="str">
        <f>[1]SUMMARY!D344</f>
        <v>BF GOODRICH</v>
      </c>
      <c r="E343" s="25" t="str">
        <f>[1]SUMMARY!E344</f>
        <v>ADVANTAGE TOURING</v>
      </c>
      <c r="F343" s="20"/>
      <c r="G343" s="20">
        <v>46</v>
      </c>
      <c r="H343" s="20">
        <v>42</v>
      </c>
      <c r="I343" s="36">
        <f t="shared" si="3"/>
        <v>4</v>
      </c>
      <c r="J343" s="22">
        <f>[1]SUMMARY!N344</f>
        <v>4441.2</v>
      </c>
      <c r="K343" s="23">
        <f t="shared" si="4"/>
        <v>17764.8</v>
      </c>
      <c r="L343" s="8"/>
      <c r="M343" s="8"/>
    </row>
    <row r="344" spans="1:13" x14ac:dyDescent="0.2">
      <c r="A344" s="17">
        <f>[1]SUMMARY!A345</f>
        <v>195</v>
      </c>
      <c r="B344" s="17">
        <f>[1]SUMMARY!B345</f>
        <v>60</v>
      </c>
      <c r="C344" s="17">
        <f>[1]SUMMARY!C345</f>
        <v>16</v>
      </c>
      <c r="D344" s="25" t="str">
        <f>[1]SUMMARY!D345</f>
        <v>BF GOODRICH</v>
      </c>
      <c r="E344" s="25" t="str">
        <f>[1]SUMMARY!E345</f>
        <v>ADVANTAGE TOURING</v>
      </c>
      <c r="F344" s="20"/>
      <c r="G344" s="20">
        <v>63</v>
      </c>
      <c r="H344" s="20">
        <v>59</v>
      </c>
      <c r="I344" s="36">
        <f t="shared" si="3"/>
        <v>4</v>
      </c>
      <c r="J344" s="22">
        <f>[1]SUMMARY!N345</f>
        <v>4141.12</v>
      </c>
      <c r="K344" s="23">
        <f t="shared" si="4"/>
        <v>16564.48</v>
      </c>
      <c r="L344" s="8"/>
      <c r="M344" s="8"/>
    </row>
    <row r="345" spans="1:13" x14ac:dyDescent="0.2">
      <c r="A345" s="17">
        <f>[1]SUMMARY!A346</f>
        <v>205</v>
      </c>
      <c r="B345" s="17">
        <f>[1]SUMMARY!B346</f>
        <v>60</v>
      </c>
      <c r="C345" s="17">
        <f>[1]SUMMARY!C346</f>
        <v>16</v>
      </c>
      <c r="D345" s="25" t="str">
        <f>[1]SUMMARY!D346</f>
        <v>BF GOODRICH</v>
      </c>
      <c r="E345" s="25" t="str">
        <f>[1]SUMMARY!E346</f>
        <v>ADVANTAGE TOURING</v>
      </c>
      <c r="F345" s="20"/>
      <c r="G345" s="20">
        <v>56</v>
      </c>
      <c r="H345" s="20">
        <v>49</v>
      </c>
      <c r="I345" s="36">
        <f t="shared" si="3"/>
        <v>7</v>
      </c>
      <c r="J345" s="22">
        <f>[1]SUMMARY!N346</f>
        <v>4674.95</v>
      </c>
      <c r="K345" s="23">
        <f t="shared" si="4"/>
        <v>32724.649999999998</v>
      </c>
      <c r="L345" s="8"/>
      <c r="M345" s="8"/>
    </row>
    <row r="346" spans="1:13" x14ac:dyDescent="0.2">
      <c r="A346" s="17">
        <f>[1]SUMMARY!A347</f>
        <v>215</v>
      </c>
      <c r="B346" s="17">
        <f>[1]SUMMARY!B347</f>
        <v>60</v>
      </c>
      <c r="C346" s="17">
        <f>[1]SUMMARY!C347</f>
        <v>16</v>
      </c>
      <c r="D346" s="25" t="str">
        <f>[1]SUMMARY!D347</f>
        <v>BF GOODRICH</v>
      </c>
      <c r="E346" s="25" t="str">
        <f>[1]SUMMARY!E347</f>
        <v>ADVANTAGE TOURING</v>
      </c>
      <c r="F346" s="20"/>
      <c r="G346" s="20">
        <v>28</v>
      </c>
      <c r="H346" s="20">
        <v>22</v>
      </c>
      <c r="I346" s="36">
        <f t="shared" si="3"/>
        <v>6</v>
      </c>
      <c r="J346" s="22">
        <f>[1]SUMMARY!N347</f>
        <v>4999.8500000000004</v>
      </c>
      <c r="K346" s="23">
        <f t="shared" si="4"/>
        <v>29999.100000000002</v>
      </c>
      <c r="L346" s="8"/>
      <c r="M346" s="8"/>
    </row>
    <row r="347" spans="1:13" x14ac:dyDescent="0.2">
      <c r="A347" s="17">
        <f>[1]SUMMARY!A348</f>
        <v>205</v>
      </c>
      <c r="B347" s="17">
        <f>[1]SUMMARY!B348</f>
        <v>65</v>
      </c>
      <c r="C347" s="17">
        <f>[1]SUMMARY!C348</f>
        <v>16</v>
      </c>
      <c r="D347" s="25" t="str">
        <f>[1]SUMMARY!D348</f>
        <v>BF GOODRICH</v>
      </c>
      <c r="E347" s="25" t="str">
        <f>[1]SUMMARY!E348</f>
        <v>ADVANTAGE TOURING</v>
      </c>
      <c r="F347" s="20"/>
      <c r="G347" s="20">
        <v>152</v>
      </c>
      <c r="H347" s="20">
        <v>146</v>
      </c>
      <c r="I347" s="36">
        <f t="shared" si="3"/>
        <v>6</v>
      </c>
      <c r="J347" s="22">
        <f>[1]SUMMARY!N348</f>
        <v>4278.3</v>
      </c>
      <c r="K347" s="23">
        <f t="shared" si="4"/>
        <v>25669.800000000003</v>
      </c>
      <c r="L347" s="8"/>
      <c r="M347" s="8"/>
    </row>
    <row r="348" spans="1:13" x14ac:dyDescent="0.2">
      <c r="A348" s="17">
        <f>[1]SUMMARY!A349</f>
        <v>215</v>
      </c>
      <c r="B348" s="17">
        <f>[1]SUMMARY!B349</f>
        <v>70</v>
      </c>
      <c r="C348" s="17">
        <f>[1]SUMMARY!C349</f>
        <v>16</v>
      </c>
      <c r="D348" s="25" t="str">
        <f>[1]SUMMARY!D349</f>
        <v>BF GOODRICH</v>
      </c>
      <c r="E348" s="25" t="str">
        <f>[1]SUMMARY!E349</f>
        <v>ADVANTAGE TOURING</v>
      </c>
      <c r="F348" s="20"/>
      <c r="G348" s="20">
        <v>26</v>
      </c>
      <c r="H348" s="20">
        <v>24</v>
      </c>
      <c r="I348" s="36">
        <f t="shared" si="3"/>
        <v>2</v>
      </c>
      <c r="J348" s="22">
        <f>[1]SUMMARY!N349</f>
        <v>5470.05</v>
      </c>
      <c r="K348" s="23">
        <f t="shared" si="4"/>
        <v>10940.1</v>
      </c>
      <c r="L348" s="8"/>
      <c r="M348" s="8"/>
    </row>
    <row r="349" spans="1:13" x14ac:dyDescent="0.2">
      <c r="A349" s="17">
        <f>[1]SUMMARY!A350</f>
        <v>235</v>
      </c>
      <c r="B349" s="17">
        <f>[1]SUMMARY!B350</f>
        <v>70</v>
      </c>
      <c r="C349" s="17">
        <f>[1]SUMMARY!C350</f>
        <v>16</v>
      </c>
      <c r="D349" s="25" t="str">
        <f>[1]SUMMARY!D350</f>
        <v>BF GOODRICH</v>
      </c>
      <c r="E349" s="25" t="str">
        <f>[1]SUMMARY!E350</f>
        <v>K03 BLK (TH)</v>
      </c>
      <c r="F349" s="20"/>
      <c r="G349" s="20">
        <v>9</v>
      </c>
      <c r="H349" s="20">
        <v>4</v>
      </c>
      <c r="I349" s="36">
        <f t="shared" si="3"/>
        <v>5</v>
      </c>
      <c r="J349" s="22">
        <f>[1]SUMMARY!N350</f>
        <v>14277.55</v>
      </c>
      <c r="K349" s="23">
        <f t="shared" si="4"/>
        <v>71387.75</v>
      </c>
      <c r="L349" s="8"/>
      <c r="M349" s="8"/>
    </row>
    <row r="350" spans="1:13" x14ac:dyDescent="0.2">
      <c r="A350" s="17">
        <f>[1]SUMMARY!A351</f>
        <v>265</v>
      </c>
      <c r="B350" s="17">
        <f>[1]SUMMARY!B351</f>
        <v>70</v>
      </c>
      <c r="C350" s="17">
        <f>[1]SUMMARY!C351</f>
        <v>16</v>
      </c>
      <c r="D350" s="25" t="str">
        <f>[1]SUMMARY!D351</f>
        <v>BF GOODRICH</v>
      </c>
      <c r="E350" s="25" t="str">
        <f>[1]SUMMARY!E351</f>
        <v>ADVANTAGE TOURING</v>
      </c>
      <c r="F350" s="20"/>
      <c r="G350" s="20"/>
      <c r="H350" s="20"/>
      <c r="I350" s="36">
        <f t="shared" si="3"/>
        <v>0</v>
      </c>
      <c r="J350" s="22">
        <f>[1]SUMMARY!N351</f>
        <v>6951.11</v>
      </c>
      <c r="K350" s="23">
        <f t="shared" si="4"/>
        <v>0</v>
      </c>
      <c r="L350" s="8"/>
      <c r="M350" s="8"/>
    </row>
    <row r="351" spans="1:13" x14ac:dyDescent="0.2">
      <c r="A351" s="17">
        <f>[1]SUMMARY!A352</f>
        <v>265</v>
      </c>
      <c r="B351" s="17">
        <f>[1]SUMMARY!B352</f>
        <v>70</v>
      </c>
      <c r="C351" s="17">
        <f>[1]SUMMARY!C352</f>
        <v>16</v>
      </c>
      <c r="D351" s="25" t="str">
        <f>[1]SUMMARY!D352</f>
        <v>BF GOODRICH</v>
      </c>
      <c r="E351" s="25" t="str">
        <f>[1]SUMMARY!E352</f>
        <v>ADV T/A SUV GO</v>
      </c>
      <c r="F351" s="20">
        <v>4</v>
      </c>
      <c r="G351" s="20"/>
      <c r="H351" s="20">
        <v>4</v>
      </c>
      <c r="I351" s="30">
        <f t="shared" si="3"/>
        <v>0</v>
      </c>
      <c r="J351" s="22">
        <f>[1]SUMMARY!N352</f>
        <v>6660.45</v>
      </c>
      <c r="K351" s="23">
        <f t="shared" si="4"/>
        <v>0</v>
      </c>
      <c r="L351" s="8"/>
      <c r="M351" s="8"/>
    </row>
    <row r="352" spans="1:13" x14ac:dyDescent="0.2">
      <c r="A352" s="17">
        <f>[1]SUMMARY!A353</f>
        <v>285</v>
      </c>
      <c r="B352" s="17">
        <f>[1]SUMMARY!B353</f>
        <v>75</v>
      </c>
      <c r="C352" s="17">
        <f>[1]SUMMARY!C353</f>
        <v>16</v>
      </c>
      <c r="D352" s="25" t="str">
        <f>[1]SUMMARY!D353</f>
        <v>BF GOODRICH</v>
      </c>
      <c r="E352" s="25" t="str">
        <f>[1]SUMMARY!E353</f>
        <v>K03</v>
      </c>
      <c r="F352" s="20"/>
      <c r="G352" s="20"/>
      <c r="H352" s="20"/>
      <c r="I352" s="30">
        <f t="shared" si="3"/>
        <v>0</v>
      </c>
      <c r="J352" s="22">
        <f>[1]SUMMARY!N353</f>
        <v>17698.03</v>
      </c>
      <c r="K352" s="23">
        <f t="shared" si="4"/>
        <v>0</v>
      </c>
      <c r="L352" s="8"/>
      <c r="M352" s="8"/>
    </row>
    <row r="353" spans="1:13" x14ac:dyDescent="0.2">
      <c r="A353" s="17">
        <f>[1]SUMMARY!A354</f>
        <v>205</v>
      </c>
      <c r="B353" s="17">
        <f>[1]SUMMARY!B354</f>
        <v>45</v>
      </c>
      <c r="C353" s="17">
        <f>[1]SUMMARY!C354</f>
        <v>17</v>
      </c>
      <c r="D353" s="25" t="str">
        <f>[1]SUMMARY!D354</f>
        <v>BF GOODRICH</v>
      </c>
      <c r="E353" s="25" t="str">
        <f>[1]SUMMARY!E354</f>
        <v>G-FORCE PHENOM</v>
      </c>
      <c r="F353" s="20"/>
      <c r="G353" s="20">
        <v>11</v>
      </c>
      <c r="H353" s="20">
        <v>11</v>
      </c>
      <c r="I353" s="36">
        <f t="shared" si="3"/>
        <v>0</v>
      </c>
      <c r="J353" s="22">
        <f>[1]SUMMARY!N354</f>
        <v>6436.67</v>
      </c>
      <c r="K353" s="23">
        <f t="shared" si="4"/>
        <v>0</v>
      </c>
      <c r="L353" s="8"/>
      <c r="M353" s="8"/>
    </row>
    <row r="354" spans="1:13" x14ac:dyDescent="0.2">
      <c r="A354" s="17">
        <f>[1]SUMMARY!A355</f>
        <v>215</v>
      </c>
      <c r="B354" s="17">
        <f>[1]SUMMARY!B355</f>
        <v>45</v>
      </c>
      <c r="C354" s="17">
        <f>[1]SUMMARY!C355</f>
        <v>17</v>
      </c>
      <c r="D354" s="25" t="str">
        <f>[1]SUMMARY!D355</f>
        <v>BF GOODRICH</v>
      </c>
      <c r="E354" s="25" t="str">
        <f>[1]SUMMARY!E355</f>
        <v>ADVANTAGE TOURING</v>
      </c>
      <c r="F354" s="20"/>
      <c r="G354" s="20">
        <v>36</v>
      </c>
      <c r="H354" s="20">
        <v>34</v>
      </c>
      <c r="I354" s="36">
        <f t="shared" si="3"/>
        <v>2</v>
      </c>
      <c r="J354" s="22">
        <f>[1]SUMMARY!N355</f>
        <v>4758.43</v>
      </c>
      <c r="K354" s="23">
        <f t="shared" si="4"/>
        <v>9516.86</v>
      </c>
      <c r="L354" s="8"/>
      <c r="M354" s="8"/>
    </row>
    <row r="355" spans="1:13" x14ac:dyDescent="0.2">
      <c r="A355" s="17">
        <f>[1]SUMMARY!A356</f>
        <v>215</v>
      </c>
      <c r="B355" s="17">
        <f>[1]SUMMARY!B356</f>
        <v>50</v>
      </c>
      <c r="C355" s="17">
        <f>[1]SUMMARY!C356</f>
        <v>17</v>
      </c>
      <c r="D355" s="25" t="str">
        <f>[1]SUMMARY!D356</f>
        <v>BF GOODRICH</v>
      </c>
      <c r="E355" s="25" t="str">
        <f>[1]SUMMARY!E356</f>
        <v>ADVANTAGE TOURING</v>
      </c>
      <c r="F355" s="20"/>
      <c r="G355" s="20">
        <v>40</v>
      </c>
      <c r="H355" s="20">
        <v>36</v>
      </c>
      <c r="I355" s="36">
        <f t="shared" si="3"/>
        <v>4</v>
      </c>
      <c r="J355" s="22">
        <f>[1]SUMMARY!N356</f>
        <v>4664.3100000000004</v>
      </c>
      <c r="K355" s="23">
        <f t="shared" si="4"/>
        <v>18657.240000000002</v>
      </c>
      <c r="L355" s="8"/>
      <c r="M355" s="8"/>
    </row>
    <row r="356" spans="1:13" x14ac:dyDescent="0.2">
      <c r="A356" s="17">
        <f>[1]SUMMARY!A357</f>
        <v>215</v>
      </c>
      <c r="B356" s="17">
        <f>[1]SUMMARY!B357</f>
        <v>55</v>
      </c>
      <c r="C356" s="17">
        <f>[1]SUMMARY!C357</f>
        <v>17</v>
      </c>
      <c r="D356" s="25" t="str">
        <f>[1]SUMMARY!D357</f>
        <v>BF GOODRICH</v>
      </c>
      <c r="E356" s="25" t="str">
        <f>[1]SUMMARY!E357</f>
        <v>ADVANTAGE TOURING</v>
      </c>
      <c r="F356" s="20"/>
      <c r="G356" s="20">
        <v>63</v>
      </c>
      <c r="H356" s="20">
        <v>57</v>
      </c>
      <c r="I356" s="36">
        <f t="shared" si="3"/>
        <v>6</v>
      </c>
      <c r="J356" s="22">
        <f>[1]SUMMARY!N357</f>
        <v>5081.3999999999996</v>
      </c>
      <c r="K356" s="23">
        <f t="shared" si="4"/>
        <v>30488.399999999998</v>
      </c>
      <c r="L356" s="8"/>
      <c r="M356" s="8"/>
    </row>
    <row r="357" spans="1:13" x14ac:dyDescent="0.2">
      <c r="A357" s="17">
        <f>[1]SUMMARY!A358</f>
        <v>215</v>
      </c>
      <c r="B357" s="17">
        <f>[1]SUMMARY!B358</f>
        <v>60</v>
      </c>
      <c r="C357" s="17">
        <f>[1]SUMMARY!C358</f>
        <v>17</v>
      </c>
      <c r="D357" s="25" t="str">
        <f>[1]SUMMARY!D358</f>
        <v>BF GOODRICH</v>
      </c>
      <c r="E357" s="25" t="str">
        <f>[1]SUMMARY!E358</f>
        <v>ADVANTAGE TOURING</v>
      </c>
      <c r="F357" s="20"/>
      <c r="G357" s="20">
        <v>12</v>
      </c>
      <c r="H357" s="20">
        <v>12</v>
      </c>
      <c r="I357" s="36">
        <f t="shared" si="3"/>
        <v>0</v>
      </c>
      <c r="J357" s="22">
        <f>[1]SUMMARY!N358</f>
        <v>5075.66</v>
      </c>
      <c r="K357" s="23">
        <f t="shared" si="4"/>
        <v>0</v>
      </c>
      <c r="L357" s="8"/>
      <c r="M357" s="8"/>
    </row>
    <row r="358" spans="1:13" x14ac:dyDescent="0.2">
      <c r="A358" s="17">
        <f>[1]SUMMARY!A359</f>
        <v>225</v>
      </c>
      <c r="B358" s="17">
        <f>[1]SUMMARY!B359</f>
        <v>60</v>
      </c>
      <c r="C358" s="17">
        <f>[1]SUMMARY!C359</f>
        <v>17</v>
      </c>
      <c r="D358" s="25" t="str">
        <f>[1]SUMMARY!D359</f>
        <v>BF GOODRICH</v>
      </c>
      <c r="E358" s="25" t="str">
        <f>[1]SUMMARY!E359</f>
        <v>ADVANTAGE TOURING</v>
      </c>
      <c r="F358" s="20"/>
      <c r="G358" s="20">
        <v>43</v>
      </c>
      <c r="H358" s="20">
        <v>38</v>
      </c>
      <c r="I358" s="36">
        <f t="shared" si="3"/>
        <v>5</v>
      </c>
      <c r="J358" s="22">
        <f>[1]SUMMARY!N359</f>
        <v>5615.81</v>
      </c>
      <c r="K358" s="23">
        <f t="shared" si="4"/>
        <v>28079.050000000003</v>
      </c>
      <c r="L358" s="8"/>
      <c r="M358" s="8"/>
    </row>
    <row r="359" spans="1:13" x14ac:dyDescent="0.2">
      <c r="A359" s="17">
        <f>[1]SUMMARY!A360</f>
        <v>235</v>
      </c>
      <c r="B359" s="17">
        <f>[1]SUMMARY!B360</f>
        <v>60</v>
      </c>
      <c r="C359" s="17">
        <f>[1]SUMMARY!C360</f>
        <v>17</v>
      </c>
      <c r="D359" s="25" t="str">
        <f>[1]SUMMARY!D360</f>
        <v>BF GOODRICH</v>
      </c>
      <c r="E359" s="25" t="str">
        <f>[1]SUMMARY!E360</f>
        <v>ADVANTAGE TOURING</v>
      </c>
      <c r="F359" s="20"/>
      <c r="G359" s="20">
        <v>30</v>
      </c>
      <c r="H359" s="20">
        <v>27</v>
      </c>
      <c r="I359" s="36">
        <f t="shared" si="3"/>
        <v>3</v>
      </c>
      <c r="J359" s="22">
        <f>[1]SUMMARY!N360</f>
        <v>5596.34</v>
      </c>
      <c r="K359" s="23">
        <f t="shared" si="4"/>
        <v>16789.02</v>
      </c>
      <c r="L359" s="8"/>
      <c r="M359" s="8"/>
    </row>
    <row r="360" spans="1:13" x14ac:dyDescent="0.2">
      <c r="A360" s="17">
        <f>[1]SUMMARY!A361</f>
        <v>225</v>
      </c>
      <c r="B360" s="17">
        <f>[1]SUMMARY!B361</f>
        <v>65</v>
      </c>
      <c r="C360" s="17">
        <f>[1]SUMMARY!C361</f>
        <v>17</v>
      </c>
      <c r="D360" s="25" t="str">
        <f>[1]SUMMARY!D361</f>
        <v>BF GOODRICH</v>
      </c>
      <c r="E360" s="25" t="str">
        <f>[1]SUMMARY!E361</f>
        <v>ADVANTAGE TOURING</v>
      </c>
      <c r="F360" s="20"/>
      <c r="G360" s="20">
        <v>31</v>
      </c>
      <c r="H360" s="20">
        <v>27</v>
      </c>
      <c r="I360" s="36">
        <f t="shared" si="3"/>
        <v>4</v>
      </c>
      <c r="J360" s="22">
        <f>[1]SUMMARY!N361</f>
        <v>6378.87</v>
      </c>
      <c r="K360" s="23">
        <f t="shared" si="4"/>
        <v>25515.48</v>
      </c>
      <c r="L360" s="8"/>
      <c r="M360" s="8"/>
    </row>
    <row r="361" spans="1:13" x14ac:dyDescent="0.2">
      <c r="A361" s="17">
        <f>[1]SUMMARY!A362</f>
        <v>265</v>
      </c>
      <c r="B361" s="17">
        <f>[1]SUMMARY!B362</f>
        <v>65</v>
      </c>
      <c r="C361" s="17">
        <f>[1]SUMMARY!C362</f>
        <v>17</v>
      </c>
      <c r="D361" s="25" t="str">
        <f>[1]SUMMARY!D362</f>
        <v>BF GOODRICH</v>
      </c>
      <c r="E361" s="25" t="str">
        <f>[1]SUMMARY!E362</f>
        <v>ADVANTAGE TOURING</v>
      </c>
      <c r="F361" s="20"/>
      <c r="G361" s="20">
        <v>34</v>
      </c>
      <c r="H361" s="20">
        <v>28</v>
      </c>
      <c r="I361" s="30">
        <f t="shared" si="3"/>
        <v>6</v>
      </c>
      <c r="J361" s="22">
        <f>[1]SUMMARY!N362</f>
        <v>8402.27</v>
      </c>
      <c r="K361" s="23">
        <f t="shared" si="4"/>
        <v>50413.62</v>
      </c>
      <c r="L361" s="8"/>
      <c r="M361" s="8"/>
    </row>
    <row r="362" spans="1:13" x14ac:dyDescent="0.2">
      <c r="A362" s="17">
        <f>[1]SUMMARY!A363</f>
        <v>265</v>
      </c>
      <c r="B362" s="17">
        <f>[1]SUMMARY!B363</f>
        <v>65</v>
      </c>
      <c r="C362" s="17">
        <f>[1]SUMMARY!C363</f>
        <v>17</v>
      </c>
      <c r="D362" s="25" t="str">
        <f>[1]SUMMARY!D363</f>
        <v>BF GOODRICH</v>
      </c>
      <c r="E362" s="25" t="str">
        <f>[1]SUMMARY!E363</f>
        <v>KO2</v>
      </c>
      <c r="F362" s="20"/>
      <c r="G362" s="20">
        <v>24</v>
      </c>
      <c r="H362" s="20">
        <v>24</v>
      </c>
      <c r="I362" s="30">
        <f t="shared" si="3"/>
        <v>0</v>
      </c>
      <c r="J362" s="22">
        <f>[1]SUMMARY!N363</f>
        <v>13636.78</v>
      </c>
      <c r="K362" s="23">
        <f t="shared" si="4"/>
        <v>0</v>
      </c>
      <c r="L362" s="8"/>
      <c r="M362" s="8"/>
    </row>
    <row r="363" spans="1:13" x14ac:dyDescent="0.2">
      <c r="A363" s="17">
        <f>[1]SUMMARY!A364</f>
        <v>265</v>
      </c>
      <c r="B363" s="17">
        <f>[1]SUMMARY!B364</f>
        <v>65</v>
      </c>
      <c r="C363" s="17">
        <f>[1]SUMMARY!C364</f>
        <v>17</v>
      </c>
      <c r="D363" s="25" t="str">
        <f>[1]SUMMARY!D364</f>
        <v>BF GOODRICH</v>
      </c>
      <c r="E363" s="25" t="str">
        <f>[1]SUMMARY!E364</f>
        <v>ADV T/A</v>
      </c>
      <c r="F363" s="20"/>
      <c r="G363" s="20">
        <v>24</v>
      </c>
      <c r="H363" s="20">
        <v>24</v>
      </c>
      <c r="I363" s="30">
        <f t="shared" si="3"/>
        <v>0</v>
      </c>
      <c r="J363" s="22">
        <f>[1]SUMMARY!N364</f>
        <v>8062</v>
      </c>
      <c r="K363" s="23">
        <f t="shared" si="4"/>
        <v>0</v>
      </c>
      <c r="L363" s="8"/>
      <c r="M363" s="8"/>
    </row>
    <row r="364" spans="1:13" x14ac:dyDescent="0.2">
      <c r="A364" s="17">
        <f>[1]SUMMARY!A365</f>
        <v>265</v>
      </c>
      <c r="B364" s="17">
        <f>[1]SUMMARY!B365</f>
        <v>65</v>
      </c>
      <c r="C364" s="17">
        <f>[1]SUMMARY!C365</f>
        <v>17</v>
      </c>
      <c r="D364" s="25" t="str">
        <f>[1]SUMMARY!D365</f>
        <v>BF GOODRICH</v>
      </c>
      <c r="E364" s="25" t="str">
        <f>[1]SUMMARY!E365</f>
        <v>K03 WHITE (TH)</v>
      </c>
      <c r="F364" s="20"/>
      <c r="G364" s="20">
        <v>65</v>
      </c>
      <c r="H364" s="20">
        <v>46</v>
      </c>
      <c r="I364" s="36">
        <f t="shared" si="3"/>
        <v>19</v>
      </c>
      <c r="J364" s="22">
        <f>[1]SUMMARY!N365</f>
        <v>14015.83</v>
      </c>
      <c r="K364" s="23">
        <f t="shared" si="4"/>
        <v>266300.77</v>
      </c>
      <c r="L364" s="8"/>
      <c r="M364" s="8"/>
    </row>
    <row r="365" spans="1:13" x14ac:dyDescent="0.2">
      <c r="A365" s="17">
        <f>[1]SUMMARY!A366</f>
        <v>265</v>
      </c>
      <c r="B365" s="17">
        <f>[1]SUMMARY!B366</f>
        <v>70</v>
      </c>
      <c r="C365" s="17">
        <f>[1]SUMMARY!C366</f>
        <v>17</v>
      </c>
      <c r="D365" s="25" t="str">
        <f>[1]SUMMARY!D366</f>
        <v>BF GOODRICH</v>
      </c>
      <c r="E365" s="25" t="str">
        <f>[1]SUMMARY!E366</f>
        <v>KO2 10PR WHITE (TH)</v>
      </c>
      <c r="F365" s="20"/>
      <c r="G365" s="20">
        <v>39</v>
      </c>
      <c r="H365" s="20">
        <v>39</v>
      </c>
      <c r="I365" s="30">
        <f t="shared" si="3"/>
        <v>0</v>
      </c>
      <c r="J365" s="22">
        <f>[1]SUMMARY!N366</f>
        <v>16685.45</v>
      </c>
      <c r="K365" s="23">
        <f t="shared" si="4"/>
        <v>0</v>
      </c>
      <c r="L365" s="8"/>
      <c r="M365" s="8"/>
    </row>
    <row r="366" spans="1:13" x14ac:dyDescent="0.2">
      <c r="A366" s="17">
        <f>[1]SUMMARY!A367</f>
        <v>265</v>
      </c>
      <c r="B366" s="17">
        <f>[1]SUMMARY!B367</f>
        <v>70</v>
      </c>
      <c r="C366" s="17">
        <f>[1]SUMMARY!C367</f>
        <v>17</v>
      </c>
      <c r="D366" s="25" t="str">
        <f>[1]SUMMARY!D367</f>
        <v>BF GOODRICH</v>
      </c>
      <c r="E366" s="25" t="str">
        <f>[1]SUMMARY!E367</f>
        <v>K03 WHITE (TH)</v>
      </c>
      <c r="F366" s="20"/>
      <c r="G366" s="20">
        <v>28</v>
      </c>
      <c r="H366" s="20">
        <v>24</v>
      </c>
      <c r="I366" s="36">
        <f t="shared" si="3"/>
        <v>4</v>
      </c>
      <c r="J366" s="22">
        <f>[1]SUMMARY!N367</f>
        <v>15297.38</v>
      </c>
      <c r="K366" s="23">
        <f t="shared" si="4"/>
        <v>61189.52</v>
      </c>
      <c r="L366" s="8"/>
      <c r="M366" s="8"/>
    </row>
    <row r="367" spans="1:13" x14ac:dyDescent="0.2">
      <c r="A367" s="17">
        <f>[1]SUMMARY!A368</f>
        <v>285</v>
      </c>
      <c r="B367" s="17">
        <f>[1]SUMMARY!B368</f>
        <v>70</v>
      </c>
      <c r="C367" s="17">
        <f>[1]SUMMARY!C368</f>
        <v>17</v>
      </c>
      <c r="D367" s="25" t="str">
        <f>[1]SUMMARY!D368</f>
        <v>BF GOODRICH</v>
      </c>
      <c r="E367" s="25" t="str">
        <f>[1]SUMMARY!E368</f>
        <v>B6 6PR (BLACK SIDE WALL)</v>
      </c>
      <c r="F367" s="20"/>
      <c r="G367" s="20">
        <v>18</v>
      </c>
      <c r="H367" s="20">
        <v>18</v>
      </c>
      <c r="I367" s="30">
        <f t="shared" si="3"/>
        <v>0</v>
      </c>
      <c r="J367" s="22">
        <f>[1]SUMMARY!N368</f>
        <v>14376.82</v>
      </c>
      <c r="K367" s="23">
        <f t="shared" si="4"/>
        <v>0</v>
      </c>
      <c r="L367" s="8"/>
      <c r="M367" s="8"/>
    </row>
    <row r="368" spans="1:13" x14ac:dyDescent="0.2">
      <c r="A368" s="17">
        <f>[1]SUMMARY!A369</f>
        <v>285</v>
      </c>
      <c r="B368" s="17">
        <f>[1]SUMMARY!B369</f>
        <v>70</v>
      </c>
      <c r="C368" s="17">
        <f>[1]SUMMARY!C369</f>
        <v>17</v>
      </c>
      <c r="D368" s="25" t="str">
        <f>[1]SUMMARY!D369</f>
        <v>BF GOODRICH</v>
      </c>
      <c r="E368" s="37" t="str">
        <f>[1]SUMMARY!E369</f>
        <v>W6 6PR(WHITE SIDE WALL) 116Q</v>
      </c>
      <c r="F368" s="20"/>
      <c r="G368" s="20">
        <v>30</v>
      </c>
      <c r="H368" s="20">
        <v>26</v>
      </c>
      <c r="I368" s="30">
        <f t="shared" si="3"/>
        <v>4</v>
      </c>
      <c r="J368" s="22">
        <f>[1]SUMMARY!N369</f>
        <v>14620.5</v>
      </c>
      <c r="K368" s="23">
        <f t="shared" si="4"/>
        <v>58482</v>
      </c>
      <c r="L368" s="8"/>
      <c r="M368" s="8"/>
    </row>
    <row r="369" spans="1:13" x14ac:dyDescent="0.2">
      <c r="A369" s="17">
        <f>[1]SUMMARY!A370</f>
        <v>285</v>
      </c>
      <c r="B369" s="17">
        <f>[1]SUMMARY!B370</f>
        <v>70</v>
      </c>
      <c r="C369" s="17">
        <f>[1]SUMMARY!C370</f>
        <v>17</v>
      </c>
      <c r="D369" s="25" t="str">
        <f>[1]SUMMARY!D370</f>
        <v>BF GOODRICH</v>
      </c>
      <c r="E369" s="38" t="str">
        <f>[1]SUMMARY!E370</f>
        <v>KO2 10PR 121R WHITE (USA)</v>
      </c>
      <c r="F369" s="20"/>
      <c r="G369" s="20">
        <v>51</v>
      </c>
      <c r="H369" s="20">
        <v>51</v>
      </c>
      <c r="I369" s="30">
        <f t="shared" si="3"/>
        <v>0</v>
      </c>
      <c r="J369" s="22">
        <f>[1]SUMMARY!N370</f>
        <v>17048.22</v>
      </c>
      <c r="K369" s="23">
        <f t="shared" si="4"/>
        <v>0</v>
      </c>
      <c r="L369" s="8"/>
      <c r="M369" s="8"/>
    </row>
    <row r="370" spans="1:13" x14ac:dyDescent="0.2">
      <c r="A370" s="17">
        <f>[1]SUMMARY!A371</f>
        <v>285</v>
      </c>
      <c r="B370" s="17">
        <f>[1]SUMMARY!B371</f>
        <v>70</v>
      </c>
      <c r="C370" s="17">
        <f>[1]SUMMARY!C371</f>
        <v>17</v>
      </c>
      <c r="D370" s="25" t="str">
        <f>[1]SUMMARY!D371</f>
        <v>BF GOODRICH</v>
      </c>
      <c r="E370" s="39" t="str">
        <f>[1]SUMMARY!E371</f>
        <v>KO2 6PR 116S(RBL)</v>
      </c>
      <c r="F370" s="20"/>
      <c r="G370" s="20">
        <v>21</v>
      </c>
      <c r="H370" s="20">
        <v>21</v>
      </c>
      <c r="I370" s="30">
        <f t="shared" si="3"/>
        <v>0</v>
      </c>
      <c r="J370" s="22">
        <f>[1]SUMMARY!N371</f>
        <v>14281.54</v>
      </c>
      <c r="K370" s="23">
        <f t="shared" si="4"/>
        <v>0</v>
      </c>
      <c r="L370" s="8"/>
      <c r="M370" s="8"/>
    </row>
    <row r="371" spans="1:13" x14ac:dyDescent="0.2">
      <c r="A371" s="17">
        <f>[1]SUMMARY!A372</f>
        <v>285</v>
      </c>
      <c r="B371" s="17">
        <f>[1]SUMMARY!B372</f>
        <v>70</v>
      </c>
      <c r="C371" s="17">
        <f>[1]SUMMARY!C372</f>
        <v>17</v>
      </c>
      <c r="D371" s="25" t="str">
        <f>[1]SUMMARY!D372</f>
        <v>BF GOODRICH</v>
      </c>
      <c r="E371" s="39" t="str">
        <f>[1]SUMMARY!E372</f>
        <v>KO2 6PR 116Q (OWL)</v>
      </c>
      <c r="F371" s="20"/>
      <c r="G371" s="20">
        <v>4</v>
      </c>
      <c r="H371" s="20">
        <v>4</v>
      </c>
      <c r="I371" s="30">
        <f t="shared" si="3"/>
        <v>0</v>
      </c>
      <c r="J371" s="22">
        <f>[1]SUMMARY!N372</f>
        <v>17061.919999999998</v>
      </c>
      <c r="K371" s="23">
        <f t="shared" si="4"/>
        <v>0</v>
      </c>
      <c r="L371" s="8"/>
      <c r="M371" s="8"/>
    </row>
    <row r="372" spans="1:13" x14ac:dyDescent="0.2">
      <c r="A372" s="17">
        <f>[1]SUMMARY!A373</f>
        <v>285</v>
      </c>
      <c r="B372" s="17">
        <f>[1]SUMMARY!B373</f>
        <v>70</v>
      </c>
      <c r="C372" s="17">
        <f>[1]SUMMARY!C373</f>
        <v>17</v>
      </c>
      <c r="D372" s="25" t="str">
        <f>[1]SUMMARY!D373</f>
        <v>BF GOODRICH</v>
      </c>
      <c r="E372" s="39" t="str">
        <f>[1]SUMMARY!E373</f>
        <v>KO2 10PR 121R (OWL) USA</v>
      </c>
      <c r="F372" s="20"/>
      <c r="G372" s="20">
        <v>26</v>
      </c>
      <c r="H372" s="20">
        <v>26</v>
      </c>
      <c r="I372" s="30">
        <f t="shared" si="3"/>
        <v>0</v>
      </c>
      <c r="J372" s="22">
        <f>[1]SUMMARY!N373</f>
        <v>17422.28</v>
      </c>
      <c r="K372" s="23">
        <f t="shared" si="4"/>
        <v>0</v>
      </c>
      <c r="L372" s="8"/>
      <c r="M372" s="8"/>
    </row>
    <row r="373" spans="1:13" x14ac:dyDescent="0.2">
      <c r="A373" s="17">
        <f>[1]SUMMARY!A374</f>
        <v>285</v>
      </c>
      <c r="B373" s="17">
        <f>[1]SUMMARY!B374</f>
        <v>70</v>
      </c>
      <c r="C373" s="17">
        <f>[1]SUMMARY!C374</f>
        <v>17</v>
      </c>
      <c r="D373" s="25" t="str">
        <f>[1]SUMMARY!D374</f>
        <v>BF GOODRICH</v>
      </c>
      <c r="E373" s="39" t="str">
        <f>[1]SUMMARY!E374</f>
        <v>K03 8PR LT</v>
      </c>
      <c r="F373" s="20"/>
      <c r="G373" s="20">
        <v>55</v>
      </c>
      <c r="H373" s="40">
        <v>51</v>
      </c>
      <c r="I373" s="30">
        <f t="shared" si="3"/>
        <v>4</v>
      </c>
      <c r="J373" s="22">
        <f>[1]SUMMARY!N374</f>
        <v>13537.5</v>
      </c>
      <c r="K373" s="23">
        <f t="shared" si="4"/>
        <v>54150</v>
      </c>
      <c r="L373" s="8"/>
      <c r="M373" s="8"/>
    </row>
    <row r="374" spans="1:13" x14ac:dyDescent="0.2">
      <c r="A374" s="17">
        <f>[1]SUMMARY!A375</f>
        <v>235</v>
      </c>
      <c r="B374" s="17">
        <f>[1]SUMMARY!B375</f>
        <v>40</v>
      </c>
      <c r="C374" s="17">
        <f>[1]SUMMARY!C375</f>
        <v>18</v>
      </c>
      <c r="D374" s="25" t="str">
        <f>[1]SUMMARY!D375</f>
        <v>BF GOODRICH</v>
      </c>
      <c r="E374" s="39" t="str">
        <f>[1]SUMMARY!E375</f>
        <v>G-FORCE PHENOM</v>
      </c>
      <c r="F374" s="20"/>
      <c r="G374" s="20"/>
      <c r="H374" s="40"/>
      <c r="I374" s="30">
        <f t="shared" si="3"/>
        <v>0</v>
      </c>
      <c r="J374" s="22">
        <f>[1]SUMMARY!N375</f>
        <v>7896.42</v>
      </c>
      <c r="K374" s="23">
        <f t="shared" si="4"/>
        <v>0</v>
      </c>
      <c r="L374" s="8"/>
      <c r="M374" s="8"/>
    </row>
    <row r="375" spans="1:13" x14ac:dyDescent="0.2">
      <c r="A375" s="17">
        <f>[1]SUMMARY!A376</f>
        <v>225</v>
      </c>
      <c r="B375" s="17">
        <f>[1]SUMMARY!B376</f>
        <v>45</v>
      </c>
      <c r="C375" s="17">
        <f>[1]SUMMARY!C376</f>
        <v>18</v>
      </c>
      <c r="D375" s="25" t="str">
        <f>[1]SUMMARY!D376</f>
        <v>BF GOODRICH</v>
      </c>
      <c r="E375" s="25" t="str">
        <f>[1]SUMMARY!E376</f>
        <v>ADVANTAGE TOURING</v>
      </c>
      <c r="F375" s="20"/>
      <c r="G375" s="20">
        <v>26</v>
      </c>
      <c r="H375" s="40">
        <v>22</v>
      </c>
      <c r="I375" s="30">
        <f t="shared" si="3"/>
        <v>4</v>
      </c>
      <c r="J375" s="22">
        <f>[1]SUMMARY!N376</f>
        <v>5081.3900000000003</v>
      </c>
      <c r="K375" s="23">
        <f t="shared" si="4"/>
        <v>20325.560000000001</v>
      </c>
      <c r="L375" s="8"/>
      <c r="M375" s="8"/>
    </row>
    <row r="376" spans="1:13" x14ac:dyDescent="0.2">
      <c r="A376" s="17">
        <f>[1]SUMMARY!A377</f>
        <v>225</v>
      </c>
      <c r="B376" s="17">
        <f>[1]SUMMARY!B377</f>
        <v>50</v>
      </c>
      <c r="C376" s="17">
        <f>[1]SUMMARY!C377</f>
        <v>18</v>
      </c>
      <c r="D376" s="25" t="str">
        <f>[1]SUMMARY!D377</f>
        <v>BF GOODRICH</v>
      </c>
      <c r="E376" s="25" t="str">
        <f>[1]SUMMARY!E377</f>
        <v>ADVANTAGE TOURING</v>
      </c>
      <c r="F376" s="20"/>
      <c r="G376" s="20"/>
      <c r="H376" s="20"/>
      <c r="I376" s="30">
        <f t="shared" si="3"/>
        <v>0</v>
      </c>
      <c r="J376" s="22">
        <f>[1]SUMMARY!N377</f>
        <v>5821.57</v>
      </c>
      <c r="K376" s="23">
        <f t="shared" si="4"/>
        <v>0</v>
      </c>
      <c r="L376" s="8"/>
      <c r="M376" s="8"/>
    </row>
    <row r="377" spans="1:13" x14ac:dyDescent="0.2">
      <c r="A377" s="17">
        <f>[1]SUMMARY!A378</f>
        <v>235</v>
      </c>
      <c r="B377" s="17">
        <f>[1]SUMMARY!B378</f>
        <v>50</v>
      </c>
      <c r="C377" s="17">
        <f>[1]SUMMARY!C378</f>
        <v>18</v>
      </c>
      <c r="D377" s="25" t="str">
        <f>[1]SUMMARY!D378</f>
        <v>BF GOODRICH</v>
      </c>
      <c r="E377" s="25" t="str">
        <f>[1]SUMMARY!E378</f>
        <v>G-FORCE PHENOM</v>
      </c>
      <c r="F377" s="20"/>
      <c r="G377" s="20">
        <v>61</v>
      </c>
      <c r="H377" s="20">
        <v>57</v>
      </c>
      <c r="I377" s="30">
        <f t="shared" si="3"/>
        <v>4</v>
      </c>
      <c r="J377" s="22">
        <f>[1]SUMMARY!N378</f>
        <v>7390.28</v>
      </c>
      <c r="K377" s="23">
        <f t="shared" si="4"/>
        <v>29561.119999999999</v>
      </c>
      <c r="L377" s="8"/>
      <c r="M377" s="8"/>
    </row>
    <row r="378" spans="1:13" x14ac:dyDescent="0.2">
      <c r="A378" s="17">
        <f>[1]SUMMARY!A379</f>
        <v>225</v>
      </c>
      <c r="B378" s="17">
        <f>[1]SUMMARY!B379</f>
        <v>55</v>
      </c>
      <c r="C378" s="17">
        <f>[1]SUMMARY!C379</f>
        <v>18</v>
      </c>
      <c r="D378" s="25" t="str">
        <f>[1]SUMMARY!D379</f>
        <v>BF GOODRICH</v>
      </c>
      <c r="E378" s="25" t="str">
        <f>[1]SUMMARY!E379</f>
        <v>ADVANTAGE TOURING</v>
      </c>
      <c r="F378" s="20"/>
      <c r="G378" s="20">
        <v>12</v>
      </c>
      <c r="H378" s="20">
        <v>12</v>
      </c>
      <c r="I378" s="30">
        <f t="shared" si="3"/>
        <v>0</v>
      </c>
      <c r="J378" s="22">
        <f>[1]SUMMARY!N379</f>
        <v>5967.33</v>
      </c>
      <c r="K378" s="23">
        <f t="shared" si="4"/>
        <v>0</v>
      </c>
      <c r="L378" s="8"/>
      <c r="M378" s="8"/>
    </row>
    <row r="379" spans="1:13" x14ac:dyDescent="0.2">
      <c r="A379" s="17">
        <f>[1]SUMMARY!A380</f>
        <v>225</v>
      </c>
      <c r="B379" s="17">
        <f>[1]SUMMARY!B380</f>
        <v>60</v>
      </c>
      <c r="C379" s="17">
        <f>[1]SUMMARY!C380</f>
        <v>18</v>
      </c>
      <c r="D379" s="25" t="str">
        <f>[1]SUMMARY!D380</f>
        <v>BF GOODRICH</v>
      </c>
      <c r="E379" s="25" t="str">
        <f>[1]SUMMARY!E380</f>
        <v>ADVANTAGE TOURING</v>
      </c>
      <c r="F379" s="20"/>
      <c r="G379" s="20">
        <v>4</v>
      </c>
      <c r="H379" s="20">
        <v>4</v>
      </c>
      <c r="I379" s="30">
        <f t="shared" si="3"/>
        <v>0</v>
      </c>
      <c r="J379" s="22">
        <f>[1]SUMMARY!N380</f>
        <v>6798.98</v>
      </c>
      <c r="K379" s="23">
        <f t="shared" si="4"/>
        <v>0</v>
      </c>
      <c r="L379" s="8"/>
      <c r="M379" s="8"/>
    </row>
    <row r="380" spans="1:13" x14ac:dyDescent="0.2">
      <c r="A380" s="17">
        <f>[1]SUMMARY!A381</f>
        <v>235</v>
      </c>
      <c r="B380" s="17">
        <f>[1]SUMMARY!B381</f>
        <v>60</v>
      </c>
      <c r="C380" s="17">
        <f>[1]SUMMARY!C381</f>
        <v>18</v>
      </c>
      <c r="D380" s="25" t="str">
        <f>[1]SUMMARY!D381</f>
        <v>BF GOODRICH</v>
      </c>
      <c r="E380" s="25" t="str">
        <f>[1]SUMMARY!E381</f>
        <v>ADVANTAGE TOURING</v>
      </c>
      <c r="F380" s="20"/>
      <c r="G380" s="20">
        <v>21</v>
      </c>
      <c r="H380" s="20">
        <v>17</v>
      </c>
      <c r="I380" s="36">
        <f t="shared" si="3"/>
        <v>4</v>
      </c>
      <c r="J380" s="22">
        <f>[1]SUMMARY!N381</f>
        <v>7090.49</v>
      </c>
      <c r="K380" s="23">
        <f t="shared" si="4"/>
        <v>28361.96</v>
      </c>
      <c r="L380" s="8"/>
      <c r="M380" s="8"/>
    </row>
    <row r="381" spans="1:13" x14ac:dyDescent="0.2">
      <c r="A381" s="17">
        <f>[1]SUMMARY!A382</f>
        <v>265</v>
      </c>
      <c r="B381" s="17">
        <f>[1]SUMMARY!B382</f>
        <v>60</v>
      </c>
      <c r="C381" s="17">
        <f>[1]SUMMARY!C382</f>
        <v>18</v>
      </c>
      <c r="D381" s="25" t="str">
        <f>[1]SUMMARY!D382</f>
        <v>BF GOODRICH</v>
      </c>
      <c r="E381" s="25" t="str">
        <f>[1]SUMMARY!E382</f>
        <v xml:space="preserve">T/A </v>
      </c>
      <c r="F381" s="20"/>
      <c r="G381" s="20">
        <v>14</v>
      </c>
      <c r="H381" s="20">
        <v>14</v>
      </c>
      <c r="I381" s="30">
        <f t="shared" si="3"/>
        <v>0</v>
      </c>
      <c r="J381" s="22">
        <f>[1]SUMMARY!N382</f>
        <v>8281</v>
      </c>
      <c r="K381" s="23">
        <f t="shared" si="4"/>
        <v>0</v>
      </c>
      <c r="L381" s="8"/>
      <c r="M381" s="8"/>
    </row>
    <row r="382" spans="1:13" x14ac:dyDescent="0.2">
      <c r="A382" s="17">
        <f>[1]SUMMARY!A383</f>
        <v>265</v>
      </c>
      <c r="B382" s="17">
        <f>[1]SUMMARY!B383</f>
        <v>60</v>
      </c>
      <c r="C382" s="17">
        <f>[1]SUMMARY!C383</f>
        <v>18</v>
      </c>
      <c r="D382" s="25" t="str">
        <f>[1]SUMMARY!D383</f>
        <v>BF GOODRICH</v>
      </c>
      <c r="E382" s="41" t="str">
        <f>[1]SUMMARY!E383</f>
        <v>KO2 10PR (BLACK SIDE WALL) 116S</v>
      </c>
      <c r="F382" s="20"/>
      <c r="G382" s="20">
        <v>49</v>
      </c>
      <c r="H382" s="20">
        <v>45</v>
      </c>
      <c r="I382" s="30">
        <f t="shared" si="3"/>
        <v>4</v>
      </c>
      <c r="J382" s="22">
        <f>[1]SUMMARY!N383</f>
        <v>15152.96</v>
      </c>
      <c r="K382" s="23">
        <f t="shared" si="4"/>
        <v>60611.839999999997</v>
      </c>
      <c r="L382" s="8"/>
      <c r="M382" s="8"/>
    </row>
    <row r="383" spans="1:13" x14ac:dyDescent="0.2">
      <c r="A383" s="17">
        <f>[1]SUMMARY!A384</f>
        <v>265</v>
      </c>
      <c r="B383" s="17">
        <f>[1]SUMMARY!B384</f>
        <v>60</v>
      </c>
      <c r="C383" s="17">
        <f>[1]SUMMARY!C384</f>
        <v>18</v>
      </c>
      <c r="D383" s="25" t="str">
        <f>[1]SUMMARY!D384</f>
        <v>BF GOODRICH</v>
      </c>
      <c r="E383" s="25" t="str">
        <f>[1]SUMMARY!E384</f>
        <v>ADVANTAGE TOURING</v>
      </c>
      <c r="F383" s="20"/>
      <c r="G383" s="20">
        <v>47</v>
      </c>
      <c r="H383" s="20">
        <v>43</v>
      </c>
      <c r="I383" s="36">
        <f t="shared" si="3"/>
        <v>4</v>
      </c>
      <c r="J383" s="22">
        <f>[1]SUMMARY!N384</f>
        <v>8805.24</v>
      </c>
      <c r="K383" s="23">
        <f t="shared" si="4"/>
        <v>35220.959999999999</v>
      </c>
      <c r="L383" s="8"/>
      <c r="M383" s="8"/>
    </row>
    <row r="384" spans="1:13" x14ac:dyDescent="0.2">
      <c r="A384" s="17">
        <f>[1]SUMMARY!A385</f>
        <v>265</v>
      </c>
      <c r="B384" s="17">
        <f>[1]SUMMARY!B385</f>
        <v>60</v>
      </c>
      <c r="C384" s="17">
        <f>[1]SUMMARY!C385</f>
        <v>18</v>
      </c>
      <c r="D384" s="25" t="str">
        <f>[1]SUMMARY!D385</f>
        <v>BF GOODRICH</v>
      </c>
      <c r="E384" s="25" t="str">
        <f>[1]SUMMARY!E385</f>
        <v>K03 BLACK (TH)</v>
      </c>
      <c r="F384" s="20"/>
      <c r="G384" s="20">
        <v>79</v>
      </c>
      <c r="H384" s="20">
        <v>71</v>
      </c>
      <c r="I384" s="21">
        <f t="shared" si="3"/>
        <v>8</v>
      </c>
      <c r="J384" s="22">
        <f>[1]SUMMARY!N385</f>
        <v>15827</v>
      </c>
      <c r="K384" s="23">
        <f t="shared" si="4"/>
        <v>126616</v>
      </c>
      <c r="L384" s="8"/>
      <c r="M384" s="8"/>
    </row>
    <row r="385" spans="1:13" x14ac:dyDescent="0.2">
      <c r="A385" s="17">
        <f>[1]SUMMARY!A386</f>
        <v>285</v>
      </c>
      <c r="B385" s="17">
        <f>[1]SUMMARY!B386</f>
        <v>60</v>
      </c>
      <c r="C385" s="17">
        <f>[1]SUMMARY!C386</f>
        <v>18</v>
      </c>
      <c r="D385" s="25" t="str">
        <f>[1]SUMMARY!D386</f>
        <v>BF GOODRICH</v>
      </c>
      <c r="E385" s="25" t="str">
        <f>[1]SUMMARY!E386</f>
        <v>KO2 WHITE (USA)</v>
      </c>
      <c r="F385" s="20"/>
      <c r="G385" s="20">
        <v>8</v>
      </c>
      <c r="H385" s="20">
        <v>2</v>
      </c>
      <c r="I385" s="36">
        <f t="shared" si="3"/>
        <v>6</v>
      </c>
      <c r="J385" s="22">
        <f>[1]SUMMARY!N386</f>
        <v>19137.73</v>
      </c>
      <c r="K385" s="23">
        <f t="shared" si="4"/>
        <v>114826.38</v>
      </c>
      <c r="L385" s="8"/>
      <c r="M385" s="8"/>
    </row>
    <row r="386" spans="1:13" x14ac:dyDescent="0.2">
      <c r="A386" s="17">
        <f>[1]SUMMARY!A387</f>
        <v>265</v>
      </c>
      <c r="B386" s="17">
        <f>[1]SUMMARY!B387</f>
        <v>65</v>
      </c>
      <c r="C386" s="17">
        <f>[1]SUMMARY!C387</f>
        <v>18</v>
      </c>
      <c r="D386" s="25" t="str">
        <f>[1]SUMMARY!D387</f>
        <v>BF GOODRICH</v>
      </c>
      <c r="E386" s="25" t="str">
        <f>[1]SUMMARY!E387</f>
        <v>KO2 WHITE (USA)</v>
      </c>
      <c r="F386" s="20"/>
      <c r="G386" s="20">
        <v>46</v>
      </c>
      <c r="H386" s="20">
        <v>46</v>
      </c>
      <c r="I386" s="30">
        <f t="shared" si="3"/>
        <v>0</v>
      </c>
      <c r="J386" s="22">
        <f>[1]SUMMARY!N387</f>
        <v>15588.55</v>
      </c>
      <c r="K386" s="23">
        <f t="shared" si="4"/>
        <v>0</v>
      </c>
      <c r="L386" s="8"/>
      <c r="M386" s="8"/>
    </row>
    <row r="387" spans="1:13" x14ac:dyDescent="0.2">
      <c r="A387" s="17">
        <f>[1]SUMMARY!A388</f>
        <v>265</v>
      </c>
      <c r="B387" s="17">
        <f>[1]SUMMARY!B388</f>
        <v>65</v>
      </c>
      <c r="C387" s="17">
        <f>[1]SUMMARY!C388</f>
        <v>18</v>
      </c>
      <c r="D387" s="25" t="str">
        <f>[1]SUMMARY!D388</f>
        <v>BF GOODRICH</v>
      </c>
      <c r="E387" s="25" t="str">
        <f>[1]SUMMARY!E388</f>
        <v>K03 WHITE (TH)</v>
      </c>
      <c r="F387" s="20"/>
      <c r="G387" s="20">
        <v>58</v>
      </c>
      <c r="H387" s="20">
        <v>54</v>
      </c>
      <c r="I387" s="30">
        <f t="shared" si="3"/>
        <v>4</v>
      </c>
      <c r="J387" s="22">
        <f>[1]SUMMARY!N388</f>
        <v>16581.11</v>
      </c>
      <c r="K387" s="23">
        <f t="shared" si="4"/>
        <v>66324.44</v>
      </c>
      <c r="L387" s="8"/>
      <c r="M387" s="8"/>
    </row>
    <row r="388" spans="1:13" x14ac:dyDescent="0.2">
      <c r="A388" s="17">
        <f>[1]SUMMARY!A389</f>
        <v>275</v>
      </c>
      <c r="B388" s="17">
        <f>[1]SUMMARY!B389</f>
        <v>65</v>
      </c>
      <c r="C388" s="17">
        <f>[1]SUMMARY!C389</f>
        <v>18</v>
      </c>
      <c r="D388" s="25" t="str">
        <f>[1]SUMMARY!D389</f>
        <v>BF GOODRICH</v>
      </c>
      <c r="E388" s="25" t="str">
        <f>[1]SUMMARY!E389</f>
        <v>K02</v>
      </c>
      <c r="F388" s="20"/>
      <c r="G388" s="20">
        <v>4</v>
      </c>
      <c r="H388" s="20">
        <v>4</v>
      </c>
      <c r="I388" s="30">
        <f t="shared" si="3"/>
        <v>0</v>
      </c>
      <c r="J388" s="22">
        <f>[1]SUMMARY!N389</f>
        <v>18500</v>
      </c>
      <c r="K388" s="23">
        <f t="shared" si="4"/>
        <v>0</v>
      </c>
      <c r="L388" s="8"/>
      <c r="M388" s="8"/>
    </row>
    <row r="389" spans="1:13" x14ac:dyDescent="0.2">
      <c r="A389" s="17" t="str">
        <f>[1]SUMMARY!A390</f>
        <v>275</v>
      </c>
      <c r="B389" s="17" t="str">
        <f>[1]SUMMARY!B390</f>
        <v>65</v>
      </c>
      <c r="C389" s="17" t="str">
        <f>[1]SUMMARY!C390</f>
        <v>18</v>
      </c>
      <c r="D389" s="25" t="str">
        <f>[1]SUMMARY!D390</f>
        <v>BF GOODRICH</v>
      </c>
      <c r="E389" s="25" t="str">
        <f>[1]SUMMARY!E390</f>
        <v>K02 123R 10PR WHITE (USA)</v>
      </c>
      <c r="F389" s="20"/>
      <c r="G389" s="20">
        <v>20</v>
      </c>
      <c r="H389" s="20">
        <v>20</v>
      </c>
      <c r="I389" s="30">
        <f t="shared" si="3"/>
        <v>0</v>
      </c>
      <c r="J389" s="22">
        <f>[1]SUMMARY!N390</f>
        <v>17959.75</v>
      </c>
      <c r="K389" s="23">
        <f t="shared" si="4"/>
        <v>0</v>
      </c>
      <c r="L389" s="8"/>
      <c r="M389" s="8"/>
    </row>
    <row r="390" spans="1:13" x14ac:dyDescent="0.2">
      <c r="A390" s="17">
        <f>[1]SUMMARY!A391</f>
        <v>275</v>
      </c>
      <c r="B390" s="17">
        <f>[1]SUMMARY!B391</f>
        <v>65</v>
      </c>
      <c r="C390" s="17">
        <f>[1]SUMMARY!C391</f>
        <v>18</v>
      </c>
      <c r="D390" s="25" t="str">
        <f>[1]SUMMARY!D391</f>
        <v>BF GOODRICH</v>
      </c>
      <c r="E390" s="25" t="str">
        <f>[1]SUMMARY!E391</f>
        <v>K03</v>
      </c>
      <c r="F390" s="20"/>
      <c r="G390" s="20">
        <v>16</v>
      </c>
      <c r="H390" s="20">
        <v>12</v>
      </c>
      <c r="I390" s="36">
        <f t="shared" si="3"/>
        <v>4</v>
      </c>
      <c r="J390" s="22">
        <f>[1]SUMMARY!N391</f>
        <v>18158.3</v>
      </c>
      <c r="K390" s="23">
        <f t="shared" si="4"/>
        <v>72633.2</v>
      </c>
      <c r="L390" s="8"/>
      <c r="M390" s="8"/>
    </row>
    <row r="391" spans="1:13" x14ac:dyDescent="0.2">
      <c r="A391" s="17">
        <f>[1]SUMMARY!A392</f>
        <v>285</v>
      </c>
      <c r="B391" s="17">
        <f>[1]SUMMARY!B392</f>
        <v>65</v>
      </c>
      <c r="C391" s="17">
        <f>[1]SUMMARY!C392</f>
        <v>18</v>
      </c>
      <c r="D391" s="25" t="str">
        <f>[1]SUMMARY!D392</f>
        <v>BF GOODRICH</v>
      </c>
      <c r="E391" s="25" t="str">
        <f>[1]SUMMARY!E392</f>
        <v>KO2 WHITE (USA)</v>
      </c>
      <c r="F391" s="20"/>
      <c r="G391" s="20">
        <v>8</v>
      </c>
      <c r="H391" s="20">
        <v>8</v>
      </c>
      <c r="I391" s="36">
        <f t="shared" si="3"/>
        <v>0</v>
      </c>
      <c r="J391" s="22">
        <f>[1]SUMMARY!N392</f>
        <v>19024.7</v>
      </c>
      <c r="K391" s="23">
        <f t="shared" si="4"/>
        <v>0</v>
      </c>
      <c r="L391" s="8"/>
      <c r="M391" s="8"/>
    </row>
    <row r="392" spans="1:13" x14ac:dyDescent="0.2">
      <c r="A392" s="17">
        <f>[1]SUMMARY!A393</f>
        <v>285</v>
      </c>
      <c r="B392" s="17">
        <f>[1]SUMMARY!B393</f>
        <v>65</v>
      </c>
      <c r="C392" s="17">
        <f>[1]SUMMARY!C393</f>
        <v>18</v>
      </c>
      <c r="D392" s="25" t="str">
        <f>[1]SUMMARY!D393</f>
        <v>BF GOODRICH</v>
      </c>
      <c r="E392" s="25" t="str">
        <f>[1]SUMMARY!E393</f>
        <v>K03</v>
      </c>
      <c r="F392" s="20"/>
      <c r="G392" s="20">
        <v>4</v>
      </c>
      <c r="H392" s="20">
        <v>4</v>
      </c>
      <c r="I392" s="30">
        <f t="shared" si="3"/>
        <v>0</v>
      </c>
      <c r="J392" s="22">
        <f>[1]SUMMARY!N393</f>
        <v>19385.7</v>
      </c>
      <c r="K392" s="23">
        <f t="shared" si="4"/>
        <v>0</v>
      </c>
      <c r="L392" s="8"/>
      <c r="M392" s="8"/>
    </row>
    <row r="393" spans="1:13" x14ac:dyDescent="0.2">
      <c r="A393" s="17">
        <f>[1]SUMMARY!A394</f>
        <v>245</v>
      </c>
      <c r="B393" s="17">
        <f>[1]SUMMARY!B394</f>
        <v>40</v>
      </c>
      <c r="C393" s="17">
        <f>[1]SUMMARY!C394</f>
        <v>20</v>
      </c>
      <c r="D393" s="25" t="str">
        <f>[1]SUMMARY!D394</f>
        <v>BF GOODRICH</v>
      </c>
      <c r="E393" s="25" t="str">
        <f>[1]SUMMARY!E394</f>
        <v>G-FORCE PHENOM</v>
      </c>
      <c r="F393" s="20"/>
      <c r="G393" s="20">
        <v>4</v>
      </c>
      <c r="H393" s="20">
        <v>4</v>
      </c>
      <c r="I393" s="30">
        <f t="shared" si="3"/>
        <v>0</v>
      </c>
      <c r="J393" s="22">
        <f>[1]SUMMARY!N394</f>
        <v>11788.9</v>
      </c>
      <c r="K393" s="23">
        <f t="shared" si="4"/>
        <v>0</v>
      </c>
      <c r="L393" s="8"/>
      <c r="M393" s="8"/>
    </row>
    <row r="394" spans="1:13" x14ac:dyDescent="0.2">
      <c r="A394" s="17">
        <f>[1]SUMMARY!A395</f>
        <v>265</v>
      </c>
      <c r="B394" s="17">
        <f>[1]SUMMARY!B395</f>
        <v>50</v>
      </c>
      <c r="C394" s="17">
        <f>[1]SUMMARY!C395</f>
        <v>20</v>
      </c>
      <c r="D394" s="25" t="str">
        <f>[1]SUMMARY!D395</f>
        <v>BF GOODRICH</v>
      </c>
      <c r="E394" s="25" t="str">
        <f>[1]SUMMARY!E395</f>
        <v>ADVANTAGE TOURING</v>
      </c>
      <c r="F394" s="20"/>
      <c r="G394" s="20">
        <v>70</v>
      </c>
      <c r="H394" s="20">
        <v>68</v>
      </c>
      <c r="I394" s="30">
        <f t="shared" si="3"/>
        <v>2</v>
      </c>
      <c r="J394" s="22">
        <f>[1]SUMMARY!N395</f>
        <v>7913.5</v>
      </c>
      <c r="K394" s="23">
        <f t="shared" si="4"/>
        <v>15827</v>
      </c>
      <c r="L394" s="8"/>
      <c r="M394" s="8"/>
    </row>
    <row r="395" spans="1:13" x14ac:dyDescent="0.2">
      <c r="A395" s="17">
        <f>[1]SUMMARY!A396</f>
        <v>285</v>
      </c>
      <c r="B395" s="17">
        <f>[1]SUMMARY!B396</f>
        <v>50</v>
      </c>
      <c r="C395" s="17">
        <f>[1]SUMMARY!C396</f>
        <v>20</v>
      </c>
      <c r="D395" s="25" t="str">
        <f>[1]SUMMARY!D396</f>
        <v>BF GOODRICH</v>
      </c>
      <c r="E395" s="25" t="str">
        <f>[1]SUMMARY!E396</f>
        <v>ADVANTAGE TOURING</v>
      </c>
      <c r="F395" s="20"/>
      <c r="G395" s="20">
        <v>4</v>
      </c>
      <c r="H395" s="20">
        <v>4</v>
      </c>
      <c r="I395" s="30">
        <f t="shared" si="3"/>
        <v>0</v>
      </c>
      <c r="J395" s="22">
        <f>[1]SUMMARY!N396</f>
        <v>9208.2099999999991</v>
      </c>
      <c r="K395" s="23">
        <f t="shared" si="4"/>
        <v>0</v>
      </c>
      <c r="L395" s="33"/>
      <c r="M395" s="33"/>
    </row>
    <row r="396" spans="1:13" x14ac:dyDescent="0.2">
      <c r="A396" s="17">
        <f>[1]SUMMARY!A397</f>
        <v>275</v>
      </c>
      <c r="B396" s="17">
        <f>[1]SUMMARY!B397</f>
        <v>55</v>
      </c>
      <c r="C396" s="17">
        <f>[1]SUMMARY!C397</f>
        <v>20</v>
      </c>
      <c r="D396" s="25" t="str">
        <f>[1]SUMMARY!D397</f>
        <v>BF GOODRICH</v>
      </c>
      <c r="E396" s="25" t="str">
        <f>[1]SUMMARY!E397</f>
        <v>KO2</v>
      </c>
      <c r="F396" s="20"/>
      <c r="G396" s="20">
        <v>24</v>
      </c>
      <c r="H396" s="20">
        <v>24</v>
      </c>
      <c r="I396" s="30">
        <f t="shared" si="3"/>
        <v>0</v>
      </c>
      <c r="J396" s="22">
        <f>[1]SUMMARY!N397</f>
        <v>18275.625</v>
      </c>
      <c r="K396" s="23">
        <f t="shared" si="4"/>
        <v>0</v>
      </c>
    </row>
    <row r="397" spans="1:13" x14ac:dyDescent="0.2">
      <c r="A397" s="17">
        <f>[1]SUMMARY!A398</f>
        <v>275</v>
      </c>
      <c r="B397" s="17">
        <f>[1]SUMMARY!B398</f>
        <v>55</v>
      </c>
      <c r="C397" s="17">
        <f>[1]SUMMARY!C398</f>
        <v>20</v>
      </c>
      <c r="D397" s="25" t="str">
        <f>[1]SUMMARY!D398</f>
        <v>BF GOODRICH</v>
      </c>
      <c r="E397" s="25" t="str">
        <f>[1]SUMMARY!E398</f>
        <v>K03</v>
      </c>
      <c r="F397" s="20"/>
      <c r="G397" s="20">
        <v>16</v>
      </c>
      <c r="H397" s="20">
        <v>12</v>
      </c>
      <c r="I397" s="36">
        <f t="shared" si="3"/>
        <v>4</v>
      </c>
      <c r="J397" s="22">
        <f>[1]SUMMARY!N398</f>
        <v>19268.375</v>
      </c>
      <c r="K397" s="23">
        <f t="shared" si="4"/>
        <v>77073.5</v>
      </c>
    </row>
    <row r="398" spans="1:13" ht="17" x14ac:dyDescent="0.2">
      <c r="A398" s="17">
        <f>[1]SUMMARY!A399</f>
        <v>285</v>
      </c>
      <c r="B398" s="17">
        <f>[1]SUMMARY!B399</f>
        <v>55</v>
      </c>
      <c r="C398" s="17">
        <f>[1]SUMMARY!C399</f>
        <v>20</v>
      </c>
      <c r="D398" s="25" t="str">
        <f>[1]SUMMARY!D399</f>
        <v>BF GOODRICH</v>
      </c>
      <c r="E398" s="25" t="str">
        <f>[1]SUMMARY!E399</f>
        <v>K03</v>
      </c>
      <c r="F398" s="20"/>
      <c r="G398" s="20">
        <v>5</v>
      </c>
      <c r="H398" s="20">
        <v>5</v>
      </c>
      <c r="I398" s="36">
        <f t="shared" si="3"/>
        <v>0</v>
      </c>
      <c r="J398" s="22">
        <f>[1]SUMMARY!N399</f>
        <v>20534.13</v>
      </c>
      <c r="K398" s="23">
        <f t="shared" si="4"/>
        <v>0</v>
      </c>
      <c r="L398" s="42"/>
      <c r="M398" s="42"/>
    </row>
    <row r="399" spans="1:13" x14ac:dyDescent="0.2">
      <c r="A399" s="17">
        <f>[1]SUMMARY!A400</f>
        <v>295</v>
      </c>
      <c r="B399" s="17">
        <f>[1]SUMMARY!B400</f>
        <v>55</v>
      </c>
      <c r="C399" s="17">
        <f>[1]SUMMARY!C400</f>
        <v>20</v>
      </c>
      <c r="D399" s="25" t="str">
        <f>[1]SUMMARY!D400</f>
        <v>BF GOODRICH</v>
      </c>
      <c r="E399" s="25" t="str">
        <f>[1]SUMMARY!E400</f>
        <v>K03</v>
      </c>
      <c r="F399" s="20"/>
      <c r="G399" s="20">
        <v>8</v>
      </c>
      <c r="H399" s="20">
        <v>8</v>
      </c>
      <c r="I399" s="30">
        <f t="shared" si="3"/>
        <v>0</v>
      </c>
      <c r="J399" s="22">
        <f>[1]SUMMARY!N400</f>
        <v>22300.77</v>
      </c>
      <c r="K399" s="23">
        <f t="shared" si="4"/>
        <v>0</v>
      </c>
      <c r="L399" s="28">
        <f>SUM(K316:K399)</f>
        <v>1901068.9600000002</v>
      </c>
      <c r="M399" s="29" t="s">
        <v>20</v>
      </c>
    </row>
    <row r="400" spans="1:13" x14ac:dyDescent="0.2">
      <c r="A400" s="17">
        <f>[1]SUMMARY!A401</f>
        <v>285</v>
      </c>
      <c r="B400" s="17">
        <f>[1]SUMMARY!B401</f>
        <v>70</v>
      </c>
      <c r="C400" s="17">
        <f>[1]SUMMARY!C401</f>
        <v>17</v>
      </c>
      <c r="D400" s="25" t="str">
        <f>[1]SUMMARY!D401</f>
        <v>BLACK BEAR</v>
      </c>
      <c r="E400" s="25" t="str">
        <f>[1]SUMMARY!E401</f>
        <v>MT</v>
      </c>
      <c r="F400" s="20"/>
      <c r="G400" s="20"/>
      <c r="H400" s="20"/>
      <c r="I400" s="21">
        <f t="shared" si="3"/>
        <v>0</v>
      </c>
      <c r="J400" s="22">
        <f>[1]SUMMARY!N401</f>
        <v>10614.24</v>
      </c>
      <c r="K400" s="23">
        <f t="shared" si="4"/>
        <v>0</v>
      </c>
      <c r="L400" s="28">
        <f>SUM(K400)</f>
        <v>0</v>
      </c>
      <c r="M400" s="29" t="s">
        <v>21</v>
      </c>
    </row>
    <row r="401" spans="1:13" x14ac:dyDescent="0.2">
      <c r="A401" s="17" t="str">
        <f>[1]SUMMARY!A402</f>
        <v>215</v>
      </c>
      <c r="B401" s="17">
        <f>[1]SUMMARY!B402</f>
        <v>70</v>
      </c>
      <c r="C401" s="17">
        <f>[1]SUMMARY!C402</f>
        <v>16</v>
      </c>
      <c r="D401" s="25" t="str">
        <f>[1]SUMMARY!D402</f>
        <v>BONTERRA</v>
      </c>
      <c r="E401" s="25" t="str">
        <f>[1]SUMMARY!E402</f>
        <v>10PR LT HR566</v>
      </c>
      <c r="F401" s="20"/>
      <c r="G401" s="20"/>
      <c r="H401" s="20"/>
      <c r="I401" s="21">
        <f t="shared" si="3"/>
        <v>0</v>
      </c>
      <c r="J401" s="22">
        <f>[1]SUMMARY!N402</f>
        <v>3819</v>
      </c>
      <c r="K401" s="23">
        <f t="shared" si="4"/>
        <v>0</v>
      </c>
      <c r="L401" s="8"/>
      <c r="M401" s="8"/>
    </row>
    <row r="402" spans="1:13" x14ac:dyDescent="0.2">
      <c r="A402" s="17" t="str">
        <f>[1]SUMMARY!A403</f>
        <v>27</v>
      </c>
      <c r="B402" s="17">
        <f>[1]SUMMARY!B403</f>
        <v>8.5</v>
      </c>
      <c r="C402" s="17">
        <f>[1]SUMMARY!C403</f>
        <v>14</v>
      </c>
      <c r="D402" s="25" t="str">
        <f>[1]SUMMARY!D403</f>
        <v>BRIDGESTONE</v>
      </c>
      <c r="E402" s="25" t="str">
        <f>[1]SUMMARY!E403</f>
        <v>DUELER 697 A/T</v>
      </c>
      <c r="F402" s="20"/>
      <c r="G402" s="20">
        <v>6</v>
      </c>
      <c r="H402" s="20">
        <v>6</v>
      </c>
      <c r="I402" s="21">
        <f t="shared" si="3"/>
        <v>0</v>
      </c>
      <c r="J402" s="22">
        <f>[1]SUMMARY!N403</f>
        <v>5124</v>
      </c>
      <c r="K402" s="23">
        <f t="shared" si="4"/>
        <v>0</v>
      </c>
      <c r="L402" s="8"/>
      <c r="M402" s="8"/>
    </row>
    <row r="403" spans="1:13" x14ac:dyDescent="0.2">
      <c r="A403" s="17" t="str">
        <f>[1]SUMMARY!A404</f>
        <v>175</v>
      </c>
      <c r="B403" s="17">
        <f>[1]SUMMARY!B404</f>
        <v>65</v>
      </c>
      <c r="C403" s="17">
        <f>[1]SUMMARY!C404</f>
        <v>14</v>
      </c>
      <c r="D403" s="25" t="str">
        <f>[1]SUMMARY!D404</f>
        <v>BRIDGESTONE</v>
      </c>
      <c r="E403" s="25" t="str">
        <f>[1]SUMMARY!E404</f>
        <v>EP150</v>
      </c>
      <c r="F403" s="20"/>
      <c r="G403" s="20">
        <v>106</v>
      </c>
      <c r="H403" s="20">
        <v>106</v>
      </c>
      <c r="I403" s="21">
        <f t="shared" si="3"/>
        <v>0</v>
      </c>
      <c r="J403" s="22">
        <f>[1]SUMMARY!N404</f>
        <v>2797</v>
      </c>
      <c r="K403" s="23">
        <f t="shared" si="4"/>
        <v>0</v>
      </c>
      <c r="L403" s="8"/>
      <c r="M403" s="8"/>
    </row>
    <row r="404" spans="1:13" x14ac:dyDescent="0.2">
      <c r="A404" s="17">
        <f>[1]SUMMARY!A405</f>
        <v>185</v>
      </c>
      <c r="B404" s="17">
        <f>[1]SUMMARY!B405</f>
        <v>65</v>
      </c>
      <c r="C404" s="17">
        <f>[1]SUMMARY!C405</f>
        <v>14</v>
      </c>
      <c r="D404" s="25" t="str">
        <f>[1]SUMMARY!D405</f>
        <v>BRIDGESTONE</v>
      </c>
      <c r="E404" s="25" t="str">
        <f>[1]SUMMARY!E405</f>
        <v>ECOPIA EP200</v>
      </c>
      <c r="F404" s="20"/>
      <c r="G404" s="20"/>
      <c r="H404" s="20"/>
      <c r="I404" s="21">
        <f t="shared" si="3"/>
        <v>0</v>
      </c>
      <c r="J404" s="22">
        <f>[1]SUMMARY!N405</f>
        <v>2900</v>
      </c>
      <c r="K404" s="23">
        <f t="shared" si="4"/>
        <v>0</v>
      </c>
      <c r="L404" s="8"/>
      <c r="M404" s="8"/>
    </row>
    <row r="405" spans="1:13" x14ac:dyDescent="0.2">
      <c r="A405" s="17" t="str">
        <f>[1]SUMMARY!A406</f>
        <v>185</v>
      </c>
      <c r="B405" s="17">
        <f>[1]SUMMARY!B406</f>
        <v>0</v>
      </c>
      <c r="C405" s="17" t="str">
        <f>[1]SUMMARY!C406</f>
        <v>14C</v>
      </c>
      <c r="D405" s="25" t="str">
        <f>[1]SUMMARY!D406</f>
        <v>BRIDGESTONE</v>
      </c>
      <c r="E405" s="25" t="str">
        <f>[1]SUMMARY!E406</f>
        <v>DURAVIS R624</v>
      </c>
      <c r="F405" s="20">
        <v>2</v>
      </c>
      <c r="G405" s="20">
        <v>58</v>
      </c>
      <c r="H405" s="20">
        <v>60</v>
      </c>
      <c r="I405" s="21">
        <f t="shared" si="3"/>
        <v>0</v>
      </c>
      <c r="J405" s="22">
        <f>[1]SUMMARY!N406</f>
        <v>4061</v>
      </c>
      <c r="K405" s="23">
        <f t="shared" si="4"/>
        <v>0</v>
      </c>
      <c r="L405" s="8"/>
      <c r="M405" s="8"/>
    </row>
    <row r="406" spans="1:13" x14ac:dyDescent="0.2">
      <c r="A406" s="17" t="str">
        <f>[1]SUMMARY!A407</f>
        <v>195</v>
      </c>
      <c r="B406" s="17">
        <f>[1]SUMMARY!B407</f>
        <v>0</v>
      </c>
      <c r="C406" s="17" t="str">
        <f>[1]SUMMARY!C407</f>
        <v>14C</v>
      </c>
      <c r="D406" s="25" t="str">
        <f>[1]SUMMARY!D407</f>
        <v>BRIDGESTONE</v>
      </c>
      <c r="E406" s="25" t="str">
        <f>[1]SUMMARY!E407</f>
        <v>DURAVIS R624</v>
      </c>
      <c r="F406" s="20"/>
      <c r="G406" s="20">
        <v>29</v>
      </c>
      <c r="H406" s="20">
        <v>29</v>
      </c>
      <c r="I406" s="21">
        <f t="shared" si="3"/>
        <v>0</v>
      </c>
      <c r="J406" s="22">
        <f>[1]SUMMARY!N407</f>
        <v>4120</v>
      </c>
      <c r="K406" s="23">
        <f t="shared" si="4"/>
        <v>0</v>
      </c>
      <c r="L406" s="8"/>
      <c r="M406" s="8"/>
    </row>
    <row r="407" spans="1:13" x14ac:dyDescent="0.2">
      <c r="A407" s="17" t="str">
        <f>[1]SUMMARY!A408</f>
        <v>195</v>
      </c>
      <c r="B407" s="17">
        <f>[1]SUMMARY!B408</f>
        <v>0</v>
      </c>
      <c r="C407" s="17" t="str">
        <f>[1]SUMMARY!C408</f>
        <v>15C</v>
      </c>
      <c r="D407" s="25" t="str">
        <f>[1]SUMMARY!D408</f>
        <v>BRIDGESTONE</v>
      </c>
      <c r="E407" s="25" t="str">
        <f>[1]SUMMARY!E408</f>
        <v>DURAVIS R624</v>
      </c>
      <c r="F407" s="20"/>
      <c r="G407" s="20">
        <v>72</v>
      </c>
      <c r="H407" s="20">
        <v>72</v>
      </c>
      <c r="I407" s="21">
        <f t="shared" si="3"/>
        <v>0</v>
      </c>
      <c r="J407" s="22">
        <f>[1]SUMMARY!N408</f>
        <v>5700</v>
      </c>
      <c r="K407" s="23">
        <f t="shared" si="4"/>
        <v>0</v>
      </c>
      <c r="L407" s="8"/>
      <c r="M407" s="8"/>
    </row>
    <row r="408" spans="1:13" x14ac:dyDescent="0.2">
      <c r="A408" s="17" t="str">
        <f>[1]SUMMARY!A409</f>
        <v>31</v>
      </c>
      <c r="B408" s="17">
        <f>[1]SUMMARY!B409</f>
        <v>10.5</v>
      </c>
      <c r="C408" s="17">
        <f>[1]SUMMARY!C409</f>
        <v>15</v>
      </c>
      <c r="D408" s="25" t="str">
        <f>[1]SUMMARY!D409</f>
        <v>BRIDGESTONE</v>
      </c>
      <c r="E408" s="25" t="str">
        <f>[1]SUMMARY!E409</f>
        <v>DUELER 697 A/T</v>
      </c>
      <c r="F408" s="20"/>
      <c r="G408" s="20">
        <v>8</v>
      </c>
      <c r="H408" s="20">
        <v>8</v>
      </c>
      <c r="I408" s="21">
        <f t="shared" si="3"/>
        <v>0</v>
      </c>
      <c r="J408" s="22">
        <f>[1]SUMMARY!N409</f>
        <v>8669.52</v>
      </c>
      <c r="K408" s="23">
        <f t="shared" si="4"/>
        <v>0</v>
      </c>
      <c r="L408" s="8"/>
      <c r="M408" s="8"/>
    </row>
    <row r="409" spans="1:13" x14ac:dyDescent="0.2">
      <c r="A409" s="17" t="str">
        <f>[1]SUMMARY!A410</f>
        <v>195</v>
      </c>
      <c r="B409" s="17">
        <f>[1]SUMMARY!B410</f>
        <v>50</v>
      </c>
      <c r="C409" s="17">
        <f>[1]SUMMARY!C410</f>
        <v>15</v>
      </c>
      <c r="D409" s="25" t="str">
        <f>[1]SUMMARY!D410</f>
        <v>BRIDGESTONE</v>
      </c>
      <c r="E409" s="25" t="str">
        <f>[1]SUMMARY!E410</f>
        <v>MY-02</v>
      </c>
      <c r="F409" s="20"/>
      <c r="G409" s="20"/>
      <c r="H409" s="20"/>
      <c r="I409" s="21">
        <f t="shared" si="3"/>
        <v>0</v>
      </c>
      <c r="J409" s="22">
        <f>[1]SUMMARY!N410</f>
        <v>2830.04</v>
      </c>
      <c r="K409" s="23">
        <f t="shared" si="4"/>
        <v>0</v>
      </c>
      <c r="L409" s="8"/>
      <c r="M409" s="8"/>
    </row>
    <row r="410" spans="1:13" x14ac:dyDescent="0.2">
      <c r="A410" s="17" t="str">
        <f>[1]SUMMARY!A411</f>
        <v>185</v>
      </c>
      <c r="B410" s="17">
        <f>[1]SUMMARY!B411</f>
        <v>55</v>
      </c>
      <c r="C410" s="17">
        <f>[1]SUMMARY!C411</f>
        <v>15</v>
      </c>
      <c r="D410" s="25" t="str">
        <f>[1]SUMMARY!D411</f>
        <v>BRIDGESTONE</v>
      </c>
      <c r="E410" s="25" t="str">
        <f>[1]SUMMARY!E411</f>
        <v>ECOPIA EP300</v>
      </c>
      <c r="F410" s="20"/>
      <c r="G410" s="20">
        <v>20</v>
      </c>
      <c r="H410" s="20">
        <v>20</v>
      </c>
      <c r="I410" s="21">
        <f t="shared" si="3"/>
        <v>0</v>
      </c>
      <c r="J410" s="22">
        <f>[1]SUMMARY!N411</f>
        <v>3928.4</v>
      </c>
      <c r="K410" s="23">
        <f t="shared" si="4"/>
        <v>0</v>
      </c>
      <c r="L410" s="8"/>
      <c r="M410" s="8"/>
    </row>
    <row r="411" spans="1:13" x14ac:dyDescent="0.2">
      <c r="A411" s="17" t="str">
        <f>[1]SUMMARY!A412</f>
        <v>185</v>
      </c>
      <c r="B411" s="17">
        <f>[1]SUMMARY!B412</f>
        <v>60</v>
      </c>
      <c r="C411" s="17">
        <f>[1]SUMMARY!C412</f>
        <v>15</v>
      </c>
      <c r="D411" s="25" t="str">
        <f>[1]SUMMARY!D412</f>
        <v>BRIDGESTONE</v>
      </c>
      <c r="E411" s="25" t="str">
        <f>[1]SUMMARY!E412</f>
        <v>ECOPIA EP300</v>
      </c>
      <c r="F411" s="20"/>
      <c r="G411" s="20">
        <v>35</v>
      </c>
      <c r="H411" s="20">
        <v>35</v>
      </c>
      <c r="I411" s="21">
        <f t="shared" si="3"/>
        <v>0</v>
      </c>
      <c r="J411" s="22">
        <f>[1]SUMMARY!N412</f>
        <v>3427.36</v>
      </c>
      <c r="K411" s="23">
        <f t="shared" si="4"/>
        <v>0</v>
      </c>
      <c r="L411" s="8" t="s">
        <v>12</v>
      </c>
      <c r="M411" s="8"/>
    </row>
    <row r="412" spans="1:13" x14ac:dyDescent="0.2">
      <c r="A412" s="17" t="str">
        <f>[1]SUMMARY!A413</f>
        <v>175</v>
      </c>
      <c r="B412" s="17">
        <f>[1]SUMMARY!B413</f>
        <v>65</v>
      </c>
      <c r="C412" s="17">
        <f>[1]SUMMARY!C413</f>
        <v>15</v>
      </c>
      <c r="D412" s="25" t="str">
        <f>[1]SUMMARY!D413</f>
        <v>BRIDGESTONE</v>
      </c>
      <c r="E412" s="25" t="str">
        <f>[1]SUMMARY!E413</f>
        <v>TURANZA ER370</v>
      </c>
      <c r="F412" s="20"/>
      <c r="G412" s="20">
        <v>16</v>
      </c>
      <c r="H412" s="20">
        <v>16</v>
      </c>
      <c r="I412" s="21">
        <f t="shared" si="3"/>
        <v>0</v>
      </c>
      <c r="J412" s="22">
        <f>[1]SUMMARY!N413</f>
        <v>3661.1</v>
      </c>
      <c r="K412" s="23">
        <f t="shared" si="4"/>
        <v>0</v>
      </c>
      <c r="L412" s="8"/>
      <c r="M412" s="8"/>
    </row>
    <row r="413" spans="1:13" x14ac:dyDescent="0.2">
      <c r="A413" s="17" t="str">
        <f>[1]SUMMARY!A414</f>
        <v>175</v>
      </c>
      <c r="B413" s="17">
        <f>[1]SUMMARY!B414</f>
        <v>65</v>
      </c>
      <c r="C413" s="17">
        <f>[1]SUMMARY!C414</f>
        <v>15</v>
      </c>
      <c r="D413" s="25" t="str">
        <f>[1]SUMMARY!D414</f>
        <v>BRIDGESTONE</v>
      </c>
      <c r="E413" s="25" t="str">
        <f>[1]SUMMARY!E414</f>
        <v>ECOPIA EP300</v>
      </c>
      <c r="F413" s="20"/>
      <c r="G413" s="20">
        <v>10</v>
      </c>
      <c r="H413" s="20">
        <v>10</v>
      </c>
      <c r="I413" s="21">
        <f t="shared" si="3"/>
        <v>0</v>
      </c>
      <c r="J413" s="22">
        <f>[1]SUMMARY!N414</f>
        <v>3661.1</v>
      </c>
      <c r="K413" s="23">
        <f t="shared" si="4"/>
        <v>0</v>
      </c>
      <c r="L413" s="8"/>
      <c r="M413" s="8"/>
    </row>
    <row r="414" spans="1:13" x14ac:dyDescent="0.2">
      <c r="A414" s="17" t="str">
        <f>[1]SUMMARY!A415</f>
        <v>185</v>
      </c>
      <c r="B414" s="17">
        <f>[1]SUMMARY!B415</f>
        <v>65</v>
      </c>
      <c r="C414" s="17">
        <f>[1]SUMMARY!C415</f>
        <v>15</v>
      </c>
      <c r="D414" s="25" t="str">
        <f>[1]SUMMARY!D415</f>
        <v>BRIDGESTONE</v>
      </c>
      <c r="E414" s="25" t="str">
        <f>[1]SUMMARY!E415</f>
        <v>ECOPIA EP300</v>
      </c>
      <c r="F414" s="20"/>
      <c r="G414" s="20">
        <v>16</v>
      </c>
      <c r="H414" s="20">
        <v>16</v>
      </c>
      <c r="I414" s="21">
        <f t="shared" si="3"/>
        <v>0</v>
      </c>
      <c r="J414" s="22">
        <f>[1]SUMMARY!N415</f>
        <v>3154.56</v>
      </c>
      <c r="K414" s="23">
        <f t="shared" si="4"/>
        <v>0</v>
      </c>
      <c r="L414" s="8"/>
      <c r="M414" s="8"/>
    </row>
    <row r="415" spans="1:13" x14ac:dyDescent="0.2">
      <c r="A415" s="17" t="str">
        <f>[1]SUMMARY!A416</f>
        <v>195</v>
      </c>
      <c r="B415" s="17">
        <f>[1]SUMMARY!B416</f>
        <v>65</v>
      </c>
      <c r="C415" s="17">
        <f>[1]SUMMARY!C416</f>
        <v>15</v>
      </c>
      <c r="D415" s="25" t="str">
        <f>[1]SUMMARY!D416</f>
        <v>BRIDGESTONE</v>
      </c>
      <c r="E415" s="25" t="str">
        <f>[1]SUMMARY!E416</f>
        <v>ECOPIA EP300</v>
      </c>
      <c r="F415" s="20"/>
      <c r="G415" s="20"/>
      <c r="H415" s="20"/>
      <c r="I415" s="21">
        <f t="shared" si="3"/>
        <v>0</v>
      </c>
      <c r="J415" s="22">
        <f>[1]SUMMARY!N416</f>
        <v>3782.62</v>
      </c>
      <c r="K415" s="23">
        <f t="shared" si="4"/>
        <v>0</v>
      </c>
      <c r="L415" s="8"/>
      <c r="M415" s="8"/>
    </row>
    <row r="416" spans="1:13" x14ac:dyDescent="0.2">
      <c r="A416" s="17" t="str">
        <f>[1]SUMMARY!A417</f>
        <v>205</v>
      </c>
      <c r="B416" s="17">
        <f>[1]SUMMARY!B417</f>
        <v>70</v>
      </c>
      <c r="C416" s="17" t="str">
        <f>[1]SUMMARY!C417</f>
        <v>15C</v>
      </c>
      <c r="D416" s="25" t="str">
        <f>[1]SUMMARY!D417</f>
        <v>BRIDGESTONE</v>
      </c>
      <c r="E416" s="25" t="str">
        <f>[1]SUMMARY!E417</f>
        <v>R623</v>
      </c>
      <c r="F416" s="20"/>
      <c r="G416" s="20">
        <v>62</v>
      </c>
      <c r="H416" s="20">
        <v>62</v>
      </c>
      <c r="I416" s="21">
        <f t="shared" si="3"/>
        <v>0</v>
      </c>
      <c r="J416" s="22">
        <f>[1]SUMMARY!N417</f>
        <v>6200</v>
      </c>
      <c r="K416" s="23">
        <f t="shared" si="4"/>
        <v>0</v>
      </c>
      <c r="L416" s="8"/>
      <c r="M416" s="8"/>
    </row>
    <row r="417" spans="1:13" x14ac:dyDescent="0.2">
      <c r="A417" s="17" t="str">
        <f>[1]SUMMARY!A418</f>
        <v>215</v>
      </c>
      <c r="B417" s="17">
        <f>[1]SUMMARY!B418</f>
        <v>70</v>
      </c>
      <c r="C417" s="17">
        <f>[1]SUMMARY!C418</f>
        <v>15</v>
      </c>
      <c r="D417" s="25" t="str">
        <f>[1]SUMMARY!D418</f>
        <v>BRIDGESTONE</v>
      </c>
      <c r="E417" s="25">
        <f>[1]SUMMARY!E418</f>
        <v>0</v>
      </c>
      <c r="F417" s="20"/>
      <c r="G417" s="20"/>
      <c r="H417" s="20"/>
      <c r="I417" s="21">
        <f t="shared" si="3"/>
        <v>0</v>
      </c>
      <c r="J417" s="22">
        <f>[1]SUMMARY!N418</f>
        <v>7500</v>
      </c>
      <c r="K417" s="23">
        <f t="shared" si="4"/>
        <v>0</v>
      </c>
      <c r="L417" s="8"/>
      <c r="M417" s="8"/>
    </row>
    <row r="418" spans="1:13" x14ac:dyDescent="0.2">
      <c r="A418" s="17" t="str">
        <f>[1]SUMMARY!A419</f>
        <v>225</v>
      </c>
      <c r="B418" s="17">
        <f>[1]SUMMARY!B419</f>
        <v>70</v>
      </c>
      <c r="C418" s="17" t="str">
        <f>[1]SUMMARY!C419</f>
        <v>15C</v>
      </c>
      <c r="D418" s="25" t="str">
        <f>[1]SUMMARY!D419</f>
        <v>BRIDGESTONE</v>
      </c>
      <c r="E418" s="25" t="str">
        <f>[1]SUMMARY!E419</f>
        <v>D697 RBT A/T</v>
      </c>
      <c r="F418" s="20"/>
      <c r="G418" s="20">
        <v>43</v>
      </c>
      <c r="H418" s="20">
        <v>43</v>
      </c>
      <c r="I418" s="21">
        <f t="shared" si="3"/>
        <v>0</v>
      </c>
      <c r="J418" s="22">
        <f>[1]SUMMARY!N419</f>
        <v>6902.25</v>
      </c>
      <c r="K418" s="23">
        <f t="shared" si="4"/>
        <v>0</v>
      </c>
      <c r="L418" s="8"/>
      <c r="M418" s="8"/>
    </row>
    <row r="419" spans="1:13" x14ac:dyDescent="0.2">
      <c r="A419" s="17" t="str">
        <f>[1]SUMMARY!A420</f>
        <v>235</v>
      </c>
      <c r="B419" s="17">
        <f>[1]SUMMARY!B420</f>
        <v>70</v>
      </c>
      <c r="C419" s="17">
        <f>[1]SUMMARY!C420</f>
        <v>15</v>
      </c>
      <c r="D419" s="25" t="str">
        <f>[1]SUMMARY!D420</f>
        <v>BRIDGESTONE</v>
      </c>
      <c r="E419" s="25" t="str">
        <f>[1]SUMMARY!E420</f>
        <v>ECOPIA H/L 001</v>
      </c>
      <c r="F419" s="20"/>
      <c r="G419" s="20">
        <v>10</v>
      </c>
      <c r="H419" s="20">
        <v>10</v>
      </c>
      <c r="I419" s="21">
        <f t="shared" si="3"/>
        <v>0</v>
      </c>
      <c r="J419" s="22">
        <f>[1]SUMMARY!N420</f>
        <v>5900</v>
      </c>
      <c r="K419" s="23">
        <f t="shared" si="4"/>
        <v>0</v>
      </c>
      <c r="L419" s="8"/>
      <c r="M419" s="8"/>
    </row>
    <row r="420" spans="1:13" x14ac:dyDescent="0.2">
      <c r="A420" s="17" t="str">
        <f>[1]SUMMARY!A421</f>
        <v>235</v>
      </c>
      <c r="B420" s="17">
        <f>[1]SUMMARY!B421</f>
        <v>70</v>
      </c>
      <c r="C420" s="17">
        <f>[1]SUMMARY!C421</f>
        <v>15</v>
      </c>
      <c r="D420" s="25" t="str">
        <f>[1]SUMMARY!D421</f>
        <v>BRIDGESTONE</v>
      </c>
      <c r="E420" s="25" t="str">
        <f>[1]SUMMARY!E421</f>
        <v>DUELER A/T 697</v>
      </c>
      <c r="F420" s="20"/>
      <c r="G420" s="20">
        <v>8</v>
      </c>
      <c r="H420" s="20">
        <v>8</v>
      </c>
      <c r="I420" s="21">
        <f t="shared" si="3"/>
        <v>0</v>
      </c>
      <c r="J420" s="22">
        <f>[1]SUMMARY!N421</f>
        <v>7820.12</v>
      </c>
      <c r="K420" s="23">
        <f t="shared" si="4"/>
        <v>0</v>
      </c>
      <c r="L420" s="8"/>
      <c r="M420" s="8"/>
    </row>
    <row r="421" spans="1:13" x14ac:dyDescent="0.2">
      <c r="A421" s="17" t="str">
        <f>[1]SUMMARY!A422</f>
        <v>265</v>
      </c>
      <c r="B421" s="17">
        <f>[1]SUMMARY!B422</f>
        <v>70</v>
      </c>
      <c r="C421" s="17">
        <f>[1]SUMMARY!C422</f>
        <v>15</v>
      </c>
      <c r="D421" s="25" t="str">
        <f>[1]SUMMARY!D422</f>
        <v>BRIDGESTONE</v>
      </c>
      <c r="E421" s="25" t="str">
        <f>[1]SUMMARY!E422</f>
        <v>DUELER A/T 697 (OWT)</v>
      </c>
      <c r="F421" s="20">
        <v>2</v>
      </c>
      <c r="G421" s="20">
        <v>4</v>
      </c>
      <c r="H421" s="20">
        <v>6</v>
      </c>
      <c r="I421" s="21">
        <f t="shared" si="3"/>
        <v>0</v>
      </c>
      <c r="J421" s="22">
        <f>[1]SUMMARY!N422</f>
        <v>7793.17</v>
      </c>
      <c r="K421" s="23">
        <f t="shared" si="4"/>
        <v>0</v>
      </c>
      <c r="L421" s="8"/>
      <c r="M421" s="8"/>
    </row>
    <row r="422" spans="1:13" x14ac:dyDescent="0.2">
      <c r="A422" s="17" t="str">
        <f>[1]SUMMARY!A423</f>
        <v>265</v>
      </c>
      <c r="B422" s="17">
        <f>[1]SUMMARY!B423</f>
        <v>70</v>
      </c>
      <c r="C422" s="17">
        <f>[1]SUMMARY!C423</f>
        <v>15</v>
      </c>
      <c r="D422" s="25" t="str">
        <f>[1]SUMMARY!D423</f>
        <v>BRIDGESTONE</v>
      </c>
      <c r="E422" s="25" t="str">
        <f>[1]SUMMARY!E423</f>
        <v>DUELER 689 H/T</v>
      </c>
      <c r="F422" s="20">
        <v>2</v>
      </c>
      <c r="G422" s="20">
        <v>4</v>
      </c>
      <c r="H422" s="20">
        <v>6</v>
      </c>
      <c r="I422" s="21">
        <f t="shared" si="3"/>
        <v>0</v>
      </c>
      <c r="J422" s="22">
        <f>[1]SUMMARY!N423</f>
        <v>8000</v>
      </c>
      <c r="K422" s="23">
        <f t="shared" si="4"/>
        <v>0</v>
      </c>
      <c r="L422" s="8"/>
      <c r="M422" s="8"/>
    </row>
    <row r="423" spans="1:13" x14ac:dyDescent="0.2">
      <c r="A423" s="17" t="str">
        <f>[1]SUMMARY!A424</f>
        <v>235</v>
      </c>
      <c r="B423" s="17">
        <f>[1]SUMMARY!B424</f>
        <v>75</v>
      </c>
      <c r="C423" s="17">
        <f>[1]SUMMARY!C424</f>
        <v>15</v>
      </c>
      <c r="D423" s="25" t="str">
        <f>[1]SUMMARY!D424</f>
        <v>BRIDGESTONE</v>
      </c>
      <c r="E423" s="25" t="str">
        <f>[1]SUMMARY!E424</f>
        <v>DUELER A/T 697</v>
      </c>
      <c r="F423" s="20"/>
      <c r="G423" s="20">
        <v>9</v>
      </c>
      <c r="H423" s="20">
        <v>9</v>
      </c>
      <c r="I423" s="21">
        <f t="shared" si="3"/>
        <v>0</v>
      </c>
      <c r="J423" s="22">
        <f>[1]SUMMARY!N424</f>
        <v>5600</v>
      </c>
      <c r="K423" s="23">
        <f t="shared" si="4"/>
        <v>0</v>
      </c>
      <c r="L423" s="8"/>
      <c r="M423" s="8"/>
    </row>
    <row r="424" spans="1:13" x14ac:dyDescent="0.2">
      <c r="A424" s="17" t="str">
        <f>[1]SUMMARY!A425</f>
        <v>235</v>
      </c>
      <c r="B424" s="17">
        <f>[1]SUMMARY!B425</f>
        <v>75</v>
      </c>
      <c r="C424" s="17">
        <f>[1]SUMMARY!C425</f>
        <v>15</v>
      </c>
      <c r="D424" s="25" t="str">
        <f>[1]SUMMARY!D425</f>
        <v>BRIDGESTONE</v>
      </c>
      <c r="E424" s="25" t="str">
        <f>[1]SUMMARY!E425</f>
        <v>AT002</v>
      </c>
      <c r="F424" s="20"/>
      <c r="G424" s="20"/>
      <c r="H424" s="20"/>
      <c r="I424" s="21">
        <f t="shared" si="3"/>
        <v>0</v>
      </c>
      <c r="J424" s="22">
        <f>[1]SUMMARY!N425</f>
        <v>8700</v>
      </c>
      <c r="K424" s="23">
        <f t="shared" si="4"/>
        <v>0</v>
      </c>
      <c r="L424" s="8"/>
      <c r="M424" s="8"/>
    </row>
    <row r="425" spans="1:13" x14ac:dyDescent="0.2">
      <c r="A425" s="17" t="str">
        <f>[1]SUMMARY!A426</f>
        <v>205</v>
      </c>
      <c r="B425" s="17">
        <f>[1]SUMMARY!B426</f>
        <v>0</v>
      </c>
      <c r="C425" s="17">
        <f>[1]SUMMARY!C426</f>
        <v>16</v>
      </c>
      <c r="D425" s="25" t="str">
        <f>[1]SUMMARY!D426</f>
        <v>BRIDGESTONE</v>
      </c>
      <c r="E425" s="25" t="str">
        <f>[1]SUMMARY!E426</f>
        <v>DUELER 18PR 110S H/T 840</v>
      </c>
      <c r="F425" s="20"/>
      <c r="G425" s="20"/>
      <c r="H425" s="20"/>
      <c r="I425" s="21">
        <f t="shared" si="3"/>
        <v>0</v>
      </c>
      <c r="J425" s="22">
        <f>[1]SUMMARY!N426</f>
        <v>6096.84</v>
      </c>
      <c r="K425" s="23">
        <f t="shared" si="4"/>
        <v>0</v>
      </c>
      <c r="L425" s="8"/>
      <c r="M425" s="8"/>
    </row>
    <row r="426" spans="1:13" x14ac:dyDescent="0.2">
      <c r="A426" s="17" t="str">
        <f>[1]SUMMARY!A427</f>
        <v>195</v>
      </c>
      <c r="B426" s="17">
        <f>[1]SUMMARY!B427</f>
        <v>50</v>
      </c>
      <c r="C426" s="17">
        <f>[1]SUMMARY!C427</f>
        <v>16</v>
      </c>
      <c r="D426" s="25" t="str">
        <f>[1]SUMMARY!D427</f>
        <v>BRIDGESTONE</v>
      </c>
      <c r="E426" s="25" t="str">
        <f>[1]SUMMARY!E427</f>
        <v>ER33</v>
      </c>
      <c r="F426" s="20"/>
      <c r="G426" s="20">
        <v>6</v>
      </c>
      <c r="H426" s="20">
        <v>6</v>
      </c>
      <c r="I426" s="21">
        <f t="shared" si="3"/>
        <v>0</v>
      </c>
      <c r="J426" s="22">
        <f>[1]SUMMARY!N427</f>
        <v>3719.4</v>
      </c>
      <c r="K426" s="23">
        <f t="shared" si="4"/>
        <v>0</v>
      </c>
      <c r="L426" s="8"/>
      <c r="M426" s="8"/>
    </row>
    <row r="427" spans="1:13" x14ac:dyDescent="0.2">
      <c r="A427" s="17" t="str">
        <f>[1]SUMMARY!A428</f>
        <v>205</v>
      </c>
      <c r="B427" s="17">
        <f>[1]SUMMARY!B428</f>
        <v>50</v>
      </c>
      <c r="C427" s="17">
        <f>[1]SUMMARY!C428</f>
        <v>16</v>
      </c>
      <c r="D427" s="25" t="str">
        <f>[1]SUMMARY!D428</f>
        <v>BRIDGESTONE</v>
      </c>
      <c r="E427" s="25" t="str">
        <f>[1]SUMMARY!E428</f>
        <v>POTENZA RE004</v>
      </c>
      <c r="F427" s="20"/>
      <c r="G427" s="20"/>
      <c r="H427" s="20"/>
      <c r="I427" s="21">
        <f t="shared" si="3"/>
        <v>0</v>
      </c>
      <c r="J427" s="22">
        <f>[1]SUMMARY!N428</f>
        <v>6039.11</v>
      </c>
      <c r="K427" s="23">
        <f t="shared" si="4"/>
        <v>0</v>
      </c>
      <c r="L427" s="8"/>
      <c r="M427" s="8"/>
    </row>
    <row r="428" spans="1:13" x14ac:dyDescent="0.2">
      <c r="A428" s="17" t="str">
        <f>[1]SUMMARY!A429</f>
        <v>195</v>
      </c>
      <c r="B428" s="17">
        <f>[1]SUMMARY!B429</f>
        <v>60</v>
      </c>
      <c r="C428" s="17">
        <f>[1]SUMMARY!C429</f>
        <v>16</v>
      </c>
      <c r="D428" s="25" t="str">
        <f>[1]SUMMARY!D429</f>
        <v>BRIDGESTONE</v>
      </c>
      <c r="E428" s="25" t="str">
        <f>[1]SUMMARY!E429</f>
        <v>EP150</v>
      </c>
      <c r="F428" s="20"/>
      <c r="G428" s="20">
        <v>12</v>
      </c>
      <c r="H428" s="20">
        <v>12</v>
      </c>
      <c r="I428" s="21">
        <f t="shared" si="3"/>
        <v>0</v>
      </c>
      <c r="J428" s="22">
        <f>[1]SUMMARY!N429</f>
        <v>5500</v>
      </c>
      <c r="K428" s="23">
        <f t="shared" si="4"/>
        <v>0</v>
      </c>
      <c r="L428" s="8"/>
      <c r="M428" s="8"/>
    </row>
    <row r="429" spans="1:13" x14ac:dyDescent="0.2">
      <c r="A429" s="17" t="str">
        <f>[1]SUMMARY!A430</f>
        <v>185</v>
      </c>
      <c r="B429" s="17">
        <f>[1]SUMMARY!B430</f>
        <v>55</v>
      </c>
      <c r="C429" s="17">
        <f>[1]SUMMARY!C430</f>
        <v>16</v>
      </c>
      <c r="D429" s="25" t="str">
        <f>[1]SUMMARY!D430</f>
        <v>BRIDGESTONE</v>
      </c>
      <c r="E429" s="25" t="str">
        <f>[1]SUMMARY!E430</f>
        <v>ECOPIA EP300</v>
      </c>
      <c r="F429" s="20"/>
      <c r="G429" s="20">
        <v>14</v>
      </c>
      <c r="H429" s="20">
        <v>14</v>
      </c>
      <c r="I429" s="21">
        <f t="shared" si="3"/>
        <v>0</v>
      </c>
      <c r="J429" s="22">
        <f>[1]SUMMARY!N430</f>
        <v>4220.34</v>
      </c>
      <c r="K429" s="23">
        <f t="shared" si="4"/>
        <v>0</v>
      </c>
      <c r="L429" s="8"/>
      <c r="M429" s="8"/>
    </row>
    <row r="430" spans="1:13" x14ac:dyDescent="0.2">
      <c r="A430" s="17" t="str">
        <f>[1]SUMMARY!A431</f>
        <v>185</v>
      </c>
      <c r="B430" s="17">
        <f>[1]SUMMARY!B431</f>
        <v>55</v>
      </c>
      <c r="C430" s="17">
        <f>[1]SUMMARY!C431</f>
        <v>16</v>
      </c>
      <c r="D430" s="25" t="str">
        <f>[1]SUMMARY!D431</f>
        <v>BRIDGESTONE</v>
      </c>
      <c r="E430" s="25" t="str">
        <f>[1]SUMMARY!E431</f>
        <v>TURANZA ER370</v>
      </c>
      <c r="F430" s="20"/>
      <c r="G430" s="20">
        <v>10</v>
      </c>
      <c r="H430" s="20">
        <v>10</v>
      </c>
      <c r="I430" s="21">
        <f t="shared" si="3"/>
        <v>0</v>
      </c>
      <c r="J430" s="22">
        <f>[1]SUMMARY!N431</f>
        <v>4692.68</v>
      </c>
      <c r="K430" s="23">
        <f t="shared" si="4"/>
        <v>0</v>
      </c>
      <c r="L430" s="8"/>
      <c r="M430" s="8"/>
    </row>
    <row r="431" spans="1:13" x14ac:dyDescent="0.2">
      <c r="A431" s="17" t="str">
        <f>[1]SUMMARY!A432</f>
        <v>205</v>
      </c>
      <c r="B431" s="17">
        <f>[1]SUMMARY!B432</f>
        <v>55</v>
      </c>
      <c r="C431" s="17">
        <f>[1]SUMMARY!C432</f>
        <v>16</v>
      </c>
      <c r="D431" s="25" t="str">
        <f>[1]SUMMARY!D432</f>
        <v>BRIDGESTONE</v>
      </c>
      <c r="E431" s="25" t="str">
        <f>[1]SUMMARY!E432</f>
        <v>ECOPIA EP300</v>
      </c>
      <c r="F431" s="20"/>
      <c r="G431" s="20">
        <v>12</v>
      </c>
      <c r="H431" s="20">
        <v>12</v>
      </c>
      <c r="I431" s="21">
        <f t="shared" si="3"/>
        <v>0</v>
      </c>
      <c r="J431" s="22">
        <f>[1]SUMMARY!N432</f>
        <v>4444.78</v>
      </c>
      <c r="K431" s="23">
        <f t="shared" si="4"/>
        <v>0</v>
      </c>
      <c r="L431" s="8"/>
      <c r="M431" s="8"/>
    </row>
    <row r="432" spans="1:13" x14ac:dyDescent="0.2">
      <c r="A432" s="17" t="str">
        <f>[1]SUMMARY!A433</f>
        <v>205</v>
      </c>
      <c r="B432" s="17">
        <f>[1]SUMMARY!B433</f>
        <v>60</v>
      </c>
      <c r="C432" s="17">
        <f>[1]SUMMARY!C433</f>
        <v>16</v>
      </c>
      <c r="D432" s="25" t="str">
        <f>[1]SUMMARY!D433</f>
        <v>BRIDGESTONE</v>
      </c>
      <c r="E432" s="25" t="str">
        <f>[1]SUMMARY!E433</f>
        <v>ECOPIA EP300</v>
      </c>
      <c r="F432" s="20"/>
      <c r="G432" s="20">
        <v>44</v>
      </c>
      <c r="H432" s="20">
        <v>44</v>
      </c>
      <c r="I432" s="21">
        <f t="shared" si="3"/>
        <v>0</v>
      </c>
      <c r="J432" s="22">
        <f>[1]SUMMARY!N433</f>
        <v>4285.4399999999996</v>
      </c>
      <c r="K432" s="23">
        <f t="shared" si="4"/>
        <v>0</v>
      </c>
      <c r="L432" s="8"/>
      <c r="M432" s="8"/>
    </row>
    <row r="433" spans="1:13" x14ac:dyDescent="0.2">
      <c r="A433" s="17" t="str">
        <f>[1]SUMMARY!A434</f>
        <v>205</v>
      </c>
      <c r="B433" s="17">
        <f>[1]SUMMARY!B434</f>
        <v>60</v>
      </c>
      <c r="C433" s="17">
        <f>[1]SUMMARY!C434</f>
        <v>16</v>
      </c>
      <c r="D433" s="25" t="str">
        <f>[1]SUMMARY!D434</f>
        <v>BRIDGESTONE</v>
      </c>
      <c r="E433" s="25" t="str">
        <f>[1]SUMMARY!E434</f>
        <v>POTENZA RE004</v>
      </c>
      <c r="F433" s="20"/>
      <c r="G433" s="20"/>
      <c r="H433" s="20"/>
      <c r="I433" s="21">
        <f t="shared" si="3"/>
        <v>0</v>
      </c>
      <c r="J433" s="22">
        <f>[1]SUMMARY!N434</f>
        <v>5800</v>
      </c>
      <c r="K433" s="23">
        <f t="shared" si="4"/>
        <v>0</v>
      </c>
      <c r="L433" s="8"/>
      <c r="M433" s="8"/>
    </row>
    <row r="434" spans="1:13" x14ac:dyDescent="0.2">
      <c r="A434" s="17" t="str">
        <f>[1]SUMMARY!A435</f>
        <v>205</v>
      </c>
      <c r="B434" s="17">
        <f>[1]SUMMARY!B435</f>
        <v>65</v>
      </c>
      <c r="C434" s="17">
        <f>[1]SUMMARY!C435</f>
        <v>16</v>
      </c>
      <c r="D434" s="25" t="str">
        <f>[1]SUMMARY!D435</f>
        <v>BRIDGESTONE</v>
      </c>
      <c r="E434" s="25" t="str">
        <f>[1]SUMMARY!E435</f>
        <v>ECOPIA EP300</v>
      </c>
      <c r="F434" s="20"/>
      <c r="G434" s="20">
        <v>20</v>
      </c>
      <c r="H434" s="20">
        <v>20</v>
      </c>
      <c r="I434" s="21">
        <f t="shared" si="3"/>
        <v>0</v>
      </c>
      <c r="J434" s="22">
        <f>[1]SUMMARY!N435</f>
        <v>4900</v>
      </c>
      <c r="K434" s="23">
        <f t="shared" si="4"/>
        <v>0</v>
      </c>
      <c r="L434" s="8"/>
      <c r="M434" s="8"/>
    </row>
    <row r="435" spans="1:13" x14ac:dyDescent="0.2">
      <c r="A435" s="17" t="str">
        <f>[1]SUMMARY!A436</f>
        <v>215</v>
      </c>
      <c r="B435" s="17">
        <f>[1]SUMMARY!B436</f>
        <v>65</v>
      </c>
      <c r="C435" s="17">
        <f>[1]SUMMARY!C436</f>
        <v>16</v>
      </c>
      <c r="D435" s="25" t="str">
        <f>[1]SUMMARY!D436</f>
        <v>BRIDGESTONE</v>
      </c>
      <c r="E435" s="25" t="str">
        <f>[1]SUMMARY!E436</f>
        <v>ECOPIA</v>
      </c>
      <c r="F435" s="20"/>
      <c r="G435" s="20">
        <v>6</v>
      </c>
      <c r="H435" s="20">
        <v>6</v>
      </c>
      <c r="I435" s="21">
        <f t="shared" si="3"/>
        <v>0</v>
      </c>
      <c r="J435" s="22">
        <f>[1]SUMMARY!N436</f>
        <v>5200</v>
      </c>
      <c r="K435" s="23">
        <f t="shared" si="4"/>
        <v>0</v>
      </c>
      <c r="L435" s="8"/>
      <c r="M435" s="8"/>
    </row>
    <row r="436" spans="1:13" x14ac:dyDescent="0.2">
      <c r="A436" s="17" t="str">
        <f>[1]SUMMARY!A437</f>
        <v>235</v>
      </c>
      <c r="B436" s="17">
        <f>[1]SUMMARY!B437</f>
        <v>65</v>
      </c>
      <c r="C436" s="17" t="str">
        <f>[1]SUMMARY!C437</f>
        <v>16C</v>
      </c>
      <c r="D436" s="25" t="str">
        <f>[1]SUMMARY!D437</f>
        <v>BRIDGESTONE</v>
      </c>
      <c r="E436" s="25" t="str">
        <f>[1]SUMMARY!E437</f>
        <v>R660</v>
      </c>
      <c r="F436" s="20"/>
      <c r="G436" s="20">
        <v>4</v>
      </c>
      <c r="H436" s="20">
        <v>4</v>
      </c>
      <c r="I436" s="21">
        <f t="shared" si="3"/>
        <v>0</v>
      </c>
      <c r="J436" s="22">
        <f>[1]SUMMARY!N437</f>
        <v>10071.36</v>
      </c>
      <c r="K436" s="23">
        <f t="shared" si="4"/>
        <v>0</v>
      </c>
      <c r="L436" s="8"/>
      <c r="M436" s="8"/>
    </row>
    <row r="437" spans="1:13" x14ac:dyDescent="0.2">
      <c r="A437" s="17" t="str">
        <f>[1]SUMMARY!A438</f>
        <v>215</v>
      </c>
      <c r="B437" s="17">
        <f>[1]SUMMARY!B438</f>
        <v>70</v>
      </c>
      <c r="C437" s="17" t="str">
        <f>[1]SUMMARY!C438</f>
        <v>16C</v>
      </c>
      <c r="D437" s="25" t="str">
        <f>[1]SUMMARY!D438</f>
        <v>BRIDGESTONE</v>
      </c>
      <c r="E437" s="25" t="str">
        <f>[1]SUMMARY!E438</f>
        <v>R623</v>
      </c>
      <c r="F437" s="20"/>
      <c r="G437" s="20">
        <v>8</v>
      </c>
      <c r="H437" s="20">
        <v>8</v>
      </c>
      <c r="I437" s="21">
        <f t="shared" si="3"/>
        <v>0</v>
      </c>
      <c r="J437" s="22">
        <f>[1]SUMMARY!N438</f>
        <v>5461</v>
      </c>
      <c r="K437" s="23">
        <f t="shared" si="4"/>
        <v>0</v>
      </c>
      <c r="L437" s="8"/>
      <c r="M437" s="8"/>
    </row>
    <row r="438" spans="1:13" x14ac:dyDescent="0.2">
      <c r="A438" s="17" t="str">
        <f>[1]SUMMARY!A439</f>
        <v>215</v>
      </c>
      <c r="B438" s="17">
        <f>[1]SUMMARY!B439</f>
        <v>70</v>
      </c>
      <c r="C438" s="17">
        <f>[1]SUMMARY!C439</f>
        <v>16</v>
      </c>
      <c r="D438" s="25" t="str">
        <f>[1]SUMMARY!D439</f>
        <v>BRIDGESTONE</v>
      </c>
      <c r="E438" s="25" t="str">
        <f>[1]SUMMARY!E439</f>
        <v>R611</v>
      </c>
      <c r="F438" s="20"/>
      <c r="G438" s="20"/>
      <c r="H438" s="20"/>
      <c r="I438" s="21">
        <f t="shared" si="3"/>
        <v>0</v>
      </c>
      <c r="J438" s="22">
        <f>[1]SUMMARY!N439</f>
        <v>9262.4</v>
      </c>
      <c r="K438" s="23">
        <f t="shared" si="4"/>
        <v>0</v>
      </c>
      <c r="L438" s="8"/>
      <c r="M438" s="8"/>
    </row>
    <row r="439" spans="1:13" x14ac:dyDescent="0.2">
      <c r="A439" s="17" t="str">
        <f>[1]SUMMARY!A440</f>
        <v>245</v>
      </c>
      <c r="B439" s="17">
        <f>[1]SUMMARY!B440</f>
        <v>70</v>
      </c>
      <c r="C439" s="17">
        <f>[1]SUMMARY!C440</f>
        <v>16</v>
      </c>
      <c r="D439" s="25" t="str">
        <f>[1]SUMMARY!D440</f>
        <v>BRIDGESTONE</v>
      </c>
      <c r="E439" s="25" t="str">
        <f>[1]SUMMARY!E440</f>
        <v>DUELER 689 H/T</v>
      </c>
      <c r="F439" s="20"/>
      <c r="G439" s="20"/>
      <c r="H439" s="20"/>
      <c r="I439" s="21">
        <f t="shared" si="3"/>
        <v>0</v>
      </c>
      <c r="J439" s="22">
        <f>[1]SUMMARY!N440</f>
        <v>5831</v>
      </c>
      <c r="K439" s="23">
        <f t="shared" si="4"/>
        <v>0</v>
      </c>
      <c r="L439" s="8"/>
      <c r="M439" s="8"/>
    </row>
    <row r="440" spans="1:13" x14ac:dyDescent="0.2">
      <c r="A440" s="17" t="str">
        <f>[1]SUMMARY!A441</f>
        <v>245</v>
      </c>
      <c r="B440" s="17">
        <f>[1]SUMMARY!B441</f>
        <v>70</v>
      </c>
      <c r="C440" s="17">
        <f>[1]SUMMARY!C441</f>
        <v>16</v>
      </c>
      <c r="D440" s="25" t="str">
        <f>[1]SUMMARY!D441</f>
        <v>BRIDGESTONE</v>
      </c>
      <c r="E440" s="25" t="str">
        <f>[1]SUMMARY!E441</f>
        <v>DUELER 697 A/T</v>
      </c>
      <c r="F440" s="20"/>
      <c r="G440" s="20"/>
      <c r="H440" s="20"/>
      <c r="I440" s="21">
        <f t="shared" si="3"/>
        <v>0</v>
      </c>
      <c r="J440" s="22">
        <f>[1]SUMMARY!N441</f>
        <v>8000</v>
      </c>
      <c r="K440" s="23">
        <f t="shared" si="4"/>
        <v>0</v>
      </c>
      <c r="L440" s="8"/>
      <c r="M440" s="8"/>
    </row>
    <row r="441" spans="1:13" x14ac:dyDescent="0.2">
      <c r="A441" s="17" t="str">
        <f>[1]SUMMARY!A442</f>
        <v>265</v>
      </c>
      <c r="B441" s="17">
        <f>[1]SUMMARY!B442</f>
        <v>70</v>
      </c>
      <c r="C441" s="17">
        <f>[1]SUMMARY!C442</f>
        <v>16</v>
      </c>
      <c r="D441" s="25" t="str">
        <f>[1]SUMMARY!D442</f>
        <v>BRIDGESTONE</v>
      </c>
      <c r="E441" s="25" t="str">
        <f>[1]SUMMARY!E442</f>
        <v>D840 H/T</v>
      </c>
      <c r="F441" s="20"/>
      <c r="G441" s="20">
        <v>4</v>
      </c>
      <c r="H441" s="20">
        <v>4</v>
      </c>
      <c r="I441" s="21">
        <f t="shared" si="3"/>
        <v>0</v>
      </c>
      <c r="J441" s="22">
        <f>[1]SUMMARY!N442</f>
        <v>9281.8799999999992</v>
      </c>
      <c r="K441" s="23">
        <f t="shared" si="4"/>
        <v>0</v>
      </c>
      <c r="L441" s="8"/>
      <c r="M441" s="8"/>
    </row>
    <row r="442" spans="1:13" x14ac:dyDescent="0.2">
      <c r="A442" s="17" t="str">
        <f>[1]SUMMARY!A443</f>
        <v>265</v>
      </c>
      <c r="B442" s="17">
        <f>[1]SUMMARY!B443</f>
        <v>70</v>
      </c>
      <c r="C442" s="17">
        <f>[1]SUMMARY!C443</f>
        <v>16</v>
      </c>
      <c r="D442" s="25" t="str">
        <f>[1]SUMMARY!D443</f>
        <v>BRIDGESTONE</v>
      </c>
      <c r="E442" s="25" t="str">
        <f>[1]SUMMARY!E443</f>
        <v>697 A/T</v>
      </c>
      <c r="F442" s="20"/>
      <c r="G442" s="20">
        <v>27</v>
      </c>
      <c r="H442" s="20">
        <v>27</v>
      </c>
      <c r="I442" s="21">
        <f t="shared" si="3"/>
        <v>0</v>
      </c>
      <c r="J442" s="22">
        <f>[1]SUMMARY!N443</f>
        <v>7931</v>
      </c>
      <c r="K442" s="23">
        <f t="shared" si="4"/>
        <v>0</v>
      </c>
      <c r="L442" s="8"/>
      <c r="M442" s="8"/>
    </row>
    <row r="443" spans="1:13" x14ac:dyDescent="0.2">
      <c r="A443" s="17" t="str">
        <f>[1]SUMMARY!A444</f>
        <v>265</v>
      </c>
      <c r="B443" s="17">
        <f>[1]SUMMARY!B444</f>
        <v>70</v>
      </c>
      <c r="C443" s="17">
        <f>[1]SUMMARY!C444</f>
        <v>16</v>
      </c>
      <c r="D443" s="25" t="str">
        <f>[1]SUMMARY!D444</f>
        <v>BRIDGESTONE</v>
      </c>
      <c r="E443" s="25" t="str">
        <f>[1]SUMMARY!E444</f>
        <v>ECOPIA H/L 001</v>
      </c>
      <c r="F443" s="20"/>
      <c r="G443" s="20"/>
      <c r="H443" s="20"/>
      <c r="I443" s="21">
        <f t="shared" si="3"/>
        <v>0</v>
      </c>
      <c r="J443" s="22">
        <f>[1]SUMMARY!N444</f>
        <v>8837.2800000000007</v>
      </c>
      <c r="K443" s="23">
        <f t="shared" si="4"/>
        <v>0</v>
      </c>
      <c r="L443" s="8"/>
      <c r="M443" s="8"/>
    </row>
    <row r="444" spans="1:13" x14ac:dyDescent="0.2">
      <c r="A444" s="17" t="str">
        <f>[1]SUMMARY!A445</f>
        <v>275</v>
      </c>
      <c r="B444" s="17">
        <f>[1]SUMMARY!B445</f>
        <v>70</v>
      </c>
      <c r="C444" s="17">
        <f>[1]SUMMARY!C445</f>
        <v>16</v>
      </c>
      <c r="D444" s="25" t="str">
        <f>[1]SUMMARY!D445</f>
        <v>BRIDGESTONE</v>
      </c>
      <c r="E444" s="25" t="str">
        <f>[1]SUMMARY!E445</f>
        <v>DUELER 697 A/T</v>
      </c>
      <c r="F444" s="20"/>
      <c r="G444" s="20"/>
      <c r="H444" s="20"/>
      <c r="I444" s="21">
        <f t="shared" si="3"/>
        <v>0</v>
      </c>
      <c r="J444" s="22">
        <f>[1]SUMMARY!N445</f>
        <v>7249</v>
      </c>
      <c r="K444" s="23">
        <f t="shared" si="4"/>
        <v>0</v>
      </c>
      <c r="L444" s="8"/>
      <c r="M444" s="8"/>
    </row>
    <row r="445" spans="1:13" x14ac:dyDescent="0.2">
      <c r="A445" s="17" t="str">
        <f>[1]SUMMARY!A446</f>
        <v>195</v>
      </c>
      <c r="B445" s="17">
        <f>[1]SUMMARY!B446</f>
        <v>75</v>
      </c>
      <c r="C445" s="17">
        <f>[1]SUMMARY!C446</f>
        <v>16</v>
      </c>
      <c r="D445" s="25" t="str">
        <f>[1]SUMMARY!D446</f>
        <v>BRIDGESTONE</v>
      </c>
      <c r="E445" s="25" t="str">
        <f>[1]SUMMARY!E446</f>
        <v>R613</v>
      </c>
      <c r="F445" s="20"/>
      <c r="G445" s="20"/>
      <c r="H445" s="20"/>
      <c r="I445" s="21">
        <f t="shared" si="3"/>
        <v>0</v>
      </c>
      <c r="J445" s="22">
        <f>[1]SUMMARY!N446</f>
        <v>5495</v>
      </c>
      <c r="K445" s="23">
        <f t="shared" si="4"/>
        <v>0</v>
      </c>
      <c r="L445" s="8"/>
      <c r="M445" s="8"/>
    </row>
    <row r="446" spans="1:13" x14ac:dyDescent="0.2">
      <c r="A446" s="17" t="str">
        <f>[1]SUMMARY!A447</f>
        <v>245</v>
      </c>
      <c r="B446" s="17">
        <f>[1]SUMMARY!B447</f>
        <v>75</v>
      </c>
      <c r="C446" s="17">
        <f>[1]SUMMARY!C447</f>
        <v>16</v>
      </c>
      <c r="D446" s="25" t="str">
        <f>[1]SUMMARY!D447</f>
        <v xml:space="preserve">BRIDGESTONE </v>
      </c>
      <c r="E446" s="25" t="str">
        <f>[1]SUMMARY!E447</f>
        <v>RIB265</v>
      </c>
      <c r="F446" s="20"/>
      <c r="G446" s="20"/>
      <c r="H446" s="20"/>
      <c r="I446" s="21">
        <f t="shared" si="3"/>
        <v>0</v>
      </c>
      <c r="J446" s="22">
        <f>[1]SUMMARY!N447</f>
        <v>7673</v>
      </c>
      <c r="K446" s="23">
        <f t="shared" si="4"/>
        <v>0</v>
      </c>
      <c r="L446" s="8"/>
      <c r="M446" s="8"/>
    </row>
    <row r="447" spans="1:13" x14ac:dyDescent="0.2">
      <c r="A447" s="17" t="str">
        <f>[1]SUMMARY!A448</f>
        <v>205</v>
      </c>
      <c r="B447" s="17">
        <f>[1]SUMMARY!B448</f>
        <v>55</v>
      </c>
      <c r="C447" s="17">
        <f>[1]SUMMARY!C448</f>
        <v>17</v>
      </c>
      <c r="D447" s="25" t="str">
        <f>[1]SUMMARY!D448</f>
        <v xml:space="preserve">BRIDGESTONE </v>
      </c>
      <c r="E447" s="25" t="str">
        <f>[1]SUMMARY!E448</f>
        <v>ECOPIA EP150</v>
      </c>
      <c r="F447" s="20"/>
      <c r="G447" s="20">
        <v>2</v>
      </c>
      <c r="H447" s="20">
        <v>2</v>
      </c>
      <c r="I447" s="21">
        <f t="shared" si="3"/>
        <v>0</v>
      </c>
      <c r="J447" s="22">
        <f>[1]SUMMARY!N448</f>
        <v>6600</v>
      </c>
      <c r="K447" s="23">
        <f t="shared" si="4"/>
        <v>0</v>
      </c>
      <c r="L447" s="8"/>
      <c r="M447" s="8"/>
    </row>
    <row r="448" spans="1:13" x14ac:dyDescent="0.2">
      <c r="A448" s="17" t="str">
        <f>[1]SUMMARY!A449</f>
        <v>215</v>
      </c>
      <c r="B448" s="17">
        <f>[1]SUMMARY!B449</f>
        <v>55</v>
      </c>
      <c r="C448" s="17">
        <f>[1]SUMMARY!C449</f>
        <v>17</v>
      </c>
      <c r="D448" s="25" t="str">
        <f>[1]SUMMARY!D449</f>
        <v xml:space="preserve">BRIDGESTONE </v>
      </c>
      <c r="E448" s="25" t="str">
        <f>[1]SUMMARY!E449</f>
        <v>TURANZA ER33</v>
      </c>
      <c r="F448" s="20"/>
      <c r="G448" s="20">
        <v>16</v>
      </c>
      <c r="H448" s="20">
        <v>16</v>
      </c>
      <c r="I448" s="21">
        <f t="shared" si="3"/>
        <v>0</v>
      </c>
      <c r="J448" s="22">
        <f>[1]SUMMARY!N449</f>
        <v>4253.82</v>
      </c>
      <c r="K448" s="23">
        <f t="shared" si="4"/>
        <v>0</v>
      </c>
      <c r="L448" s="8"/>
      <c r="M448" s="8"/>
    </row>
    <row r="449" spans="1:13" x14ac:dyDescent="0.2">
      <c r="A449" s="17" t="str">
        <f>[1]SUMMARY!A450</f>
        <v>235</v>
      </c>
      <c r="B449" s="17">
        <f>[1]SUMMARY!B450</f>
        <v>60</v>
      </c>
      <c r="C449" s="17">
        <f>[1]SUMMARY!C450</f>
        <v>17</v>
      </c>
      <c r="D449" s="25" t="str">
        <f>[1]SUMMARY!D450</f>
        <v xml:space="preserve">BRIDGESTONE </v>
      </c>
      <c r="E449" s="25" t="str">
        <f>[1]SUMMARY!E450</f>
        <v>DURAVIS R660</v>
      </c>
      <c r="F449" s="20"/>
      <c r="G449" s="20">
        <v>8</v>
      </c>
      <c r="H449" s="20">
        <v>8</v>
      </c>
      <c r="I449" s="21">
        <f t="shared" si="3"/>
        <v>0</v>
      </c>
      <c r="J449" s="22">
        <f>[1]SUMMARY!N450</f>
        <v>13117.68</v>
      </c>
      <c r="K449" s="23">
        <f t="shared" si="4"/>
        <v>0</v>
      </c>
      <c r="L449" s="8"/>
      <c r="M449" s="8"/>
    </row>
    <row r="450" spans="1:13" x14ac:dyDescent="0.2">
      <c r="A450" s="17" t="str">
        <f>[1]SUMMARY!A451</f>
        <v>255</v>
      </c>
      <c r="B450" s="17">
        <f>[1]SUMMARY!B451</f>
        <v>65</v>
      </c>
      <c r="C450" s="17">
        <f>[1]SUMMARY!C451</f>
        <v>17</v>
      </c>
      <c r="D450" s="25" t="str">
        <f>[1]SUMMARY!D451</f>
        <v xml:space="preserve">BRIDGESTONE </v>
      </c>
      <c r="E450" s="25">
        <f>[1]SUMMARY!E451</f>
        <v>840</v>
      </c>
      <c r="F450" s="20"/>
      <c r="G450" s="20"/>
      <c r="H450" s="20"/>
      <c r="I450" s="21">
        <f t="shared" si="3"/>
        <v>0</v>
      </c>
      <c r="J450" s="22">
        <f>[1]SUMMARY!N451</f>
        <v>11481</v>
      </c>
      <c r="K450" s="23">
        <f t="shared" si="4"/>
        <v>0</v>
      </c>
      <c r="L450" s="8"/>
      <c r="M450" s="8"/>
    </row>
    <row r="451" spans="1:13" x14ac:dyDescent="0.2">
      <c r="A451" s="17" t="str">
        <f>[1]SUMMARY!A452</f>
        <v>265</v>
      </c>
      <c r="B451" s="17">
        <f>[1]SUMMARY!B452</f>
        <v>65</v>
      </c>
      <c r="C451" s="17">
        <f>[1]SUMMARY!C452</f>
        <v>17</v>
      </c>
      <c r="D451" s="25" t="str">
        <f>[1]SUMMARY!D452</f>
        <v>BRIDGESTONE</v>
      </c>
      <c r="E451" s="25" t="str">
        <f>[1]SUMMARY!E452</f>
        <v>D697 A/T</v>
      </c>
      <c r="F451" s="20"/>
      <c r="G451" s="20">
        <v>220</v>
      </c>
      <c r="H451" s="20">
        <v>220</v>
      </c>
      <c r="I451" s="21">
        <f t="shared" si="3"/>
        <v>0</v>
      </c>
      <c r="J451" s="22">
        <f>[1]SUMMARY!N452</f>
        <v>8348</v>
      </c>
      <c r="K451" s="23">
        <f t="shared" si="4"/>
        <v>0</v>
      </c>
      <c r="L451" s="8"/>
      <c r="M451" s="8"/>
    </row>
    <row r="452" spans="1:13" x14ac:dyDescent="0.2">
      <c r="A452" s="17" t="str">
        <f>[1]SUMMARY!A453</f>
        <v>265</v>
      </c>
      <c r="B452" s="17">
        <f>[1]SUMMARY!B453</f>
        <v>65</v>
      </c>
      <c r="C452" s="17">
        <f>[1]SUMMARY!C453</f>
        <v>17</v>
      </c>
      <c r="D452" s="25" t="str">
        <f>[1]SUMMARY!D453</f>
        <v>BRIDGESTONE</v>
      </c>
      <c r="E452" s="25" t="str">
        <f>[1]SUMMARY!E453</f>
        <v>DUELER 693 A/T</v>
      </c>
      <c r="F452" s="20"/>
      <c r="G452" s="20">
        <v>119</v>
      </c>
      <c r="H452" s="20">
        <v>119</v>
      </c>
      <c r="I452" s="30">
        <f t="shared" si="3"/>
        <v>0</v>
      </c>
      <c r="J452" s="22">
        <f>[1]SUMMARY!N453</f>
        <v>9500</v>
      </c>
      <c r="K452" s="23">
        <f t="shared" si="4"/>
        <v>0</v>
      </c>
      <c r="L452" s="8"/>
      <c r="M452" s="8"/>
    </row>
    <row r="453" spans="1:13" x14ac:dyDescent="0.2">
      <c r="A453" s="17" t="str">
        <f>[1]SUMMARY!A454</f>
        <v>265</v>
      </c>
      <c r="B453" s="17">
        <f>[1]SUMMARY!B454</f>
        <v>65</v>
      </c>
      <c r="C453" s="17">
        <f>[1]SUMMARY!C454</f>
        <v>17</v>
      </c>
      <c r="D453" s="25" t="str">
        <f>[1]SUMMARY!D454</f>
        <v>BRIDGESTONE</v>
      </c>
      <c r="E453" s="25" t="str">
        <f>[1]SUMMARY!E454</f>
        <v>DUELER 684 H/T</v>
      </c>
      <c r="F453" s="20"/>
      <c r="G453" s="21">
        <v>282</v>
      </c>
      <c r="H453" s="20">
        <v>281</v>
      </c>
      <c r="I453" s="21">
        <f t="shared" si="3"/>
        <v>1</v>
      </c>
      <c r="J453" s="22">
        <f>[1]SUMMARY!N454</f>
        <v>9500</v>
      </c>
      <c r="K453" s="23">
        <f t="shared" si="4"/>
        <v>9500</v>
      </c>
      <c r="L453" s="8"/>
      <c r="M453" s="8"/>
    </row>
    <row r="454" spans="1:13" x14ac:dyDescent="0.2">
      <c r="A454" s="17" t="str">
        <f>[1]SUMMARY!A455</f>
        <v>265</v>
      </c>
      <c r="B454" s="17">
        <f>[1]SUMMARY!B455</f>
        <v>70</v>
      </c>
      <c r="C454" s="17">
        <f>[1]SUMMARY!C455</f>
        <v>17</v>
      </c>
      <c r="D454" s="25" t="str">
        <f>[1]SUMMARY!D455</f>
        <v>BRIDGESTONE</v>
      </c>
      <c r="E454" s="25" t="str">
        <f>[1]SUMMARY!E455</f>
        <v xml:space="preserve">DUELER A/T 697 </v>
      </c>
      <c r="F454" s="20"/>
      <c r="G454" s="21">
        <v>38</v>
      </c>
      <c r="H454" s="20">
        <v>38</v>
      </c>
      <c r="I454" s="21">
        <f t="shared" si="3"/>
        <v>0</v>
      </c>
      <c r="J454" s="22">
        <f>[1]SUMMARY!N455</f>
        <v>7749</v>
      </c>
      <c r="K454" s="23">
        <f t="shared" si="4"/>
        <v>0</v>
      </c>
      <c r="L454" s="8"/>
      <c r="M454" s="8"/>
    </row>
    <row r="455" spans="1:13" x14ac:dyDescent="0.2">
      <c r="A455" s="17" t="str">
        <f>[1]SUMMARY!A456</f>
        <v>225</v>
      </c>
      <c r="B455" s="17">
        <f>[1]SUMMARY!B456</f>
        <v>55</v>
      </c>
      <c r="C455" s="17">
        <f>[1]SUMMARY!C456</f>
        <v>18</v>
      </c>
      <c r="D455" s="25" t="str">
        <f>[1]SUMMARY!D456</f>
        <v>BRIDGESTONE</v>
      </c>
      <c r="E455" s="25" t="str">
        <f>[1]SUMMARY!E456</f>
        <v>HL400</v>
      </c>
      <c r="F455" s="20"/>
      <c r="G455" s="20">
        <v>2</v>
      </c>
      <c r="H455" s="20">
        <v>2</v>
      </c>
      <c r="I455" s="21">
        <f t="shared" si="3"/>
        <v>0</v>
      </c>
      <c r="J455" s="22">
        <f>[1]SUMMARY!N456</f>
        <v>14219.2</v>
      </c>
      <c r="K455" s="23">
        <f t="shared" si="4"/>
        <v>0</v>
      </c>
      <c r="L455" s="8"/>
      <c r="M455" s="8"/>
    </row>
    <row r="456" spans="1:13" x14ac:dyDescent="0.2">
      <c r="A456" s="17" t="str">
        <f>[1]SUMMARY!A457</f>
        <v>225</v>
      </c>
      <c r="B456" s="17">
        <f>[1]SUMMARY!B457</f>
        <v>55</v>
      </c>
      <c r="C456" s="17">
        <f>[1]SUMMARY!C457</f>
        <v>18</v>
      </c>
      <c r="D456" s="25" t="str">
        <f>[1]SUMMARY!D457</f>
        <v>BRIDGESTONE</v>
      </c>
      <c r="E456" s="25" t="str">
        <f>[1]SUMMARY!E457</f>
        <v>HP SPORT</v>
      </c>
      <c r="F456" s="20"/>
      <c r="G456" s="20"/>
      <c r="H456" s="20"/>
      <c r="I456" s="21">
        <f t="shared" si="3"/>
        <v>0</v>
      </c>
      <c r="J456" s="22">
        <f>[1]SUMMARY!N457</f>
        <v>11734</v>
      </c>
      <c r="K456" s="23">
        <f t="shared" si="4"/>
        <v>0</v>
      </c>
      <c r="L456" s="8"/>
      <c r="M456" s="8"/>
    </row>
    <row r="457" spans="1:13" x14ac:dyDescent="0.2">
      <c r="A457" s="17" t="str">
        <f>[1]SUMMARY!A458</f>
        <v>255</v>
      </c>
      <c r="B457" s="17">
        <f>[1]SUMMARY!B458</f>
        <v>60</v>
      </c>
      <c r="C457" s="17">
        <f>[1]SUMMARY!C458</f>
        <v>18</v>
      </c>
      <c r="D457" s="25" t="str">
        <f>[1]SUMMARY!D458</f>
        <v>BRIDGESTONE</v>
      </c>
      <c r="E457" s="25" t="str">
        <f>[1]SUMMARY!E458</f>
        <v>DUELER 684 H/T</v>
      </c>
      <c r="F457" s="20"/>
      <c r="G457" s="20">
        <v>42</v>
      </c>
      <c r="H457" s="20">
        <v>42</v>
      </c>
      <c r="I457" s="21">
        <f t="shared" si="3"/>
        <v>0</v>
      </c>
      <c r="J457" s="22">
        <f>[1]SUMMARY!N458</f>
        <v>8161</v>
      </c>
      <c r="K457" s="23">
        <f t="shared" si="4"/>
        <v>0</v>
      </c>
      <c r="L457" s="8"/>
      <c r="M457" s="8"/>
    </row>
    <row r="458" spans="1:13" x14ac:dyDescent="0.2">
      <c r="A458" s="17" t="str">
        <f>[1]SUMMARY!A459</f>
        <v>265</v>
      </c>
      <c r="B458" s="17">
        <f>[1]SUMMARY!B459</f>
        <v>60</v>
      </c>
      <c r="C458" s="17">
        <f>[1]SUMMARY!C459</f>
        <v>18</v>
      </c>
      <c r="D458" s="25" t="str">
        <f>[1]SUMMARY!D459</f>
        <v>BRIDGESTONE</v>
      </c>
      <c r="E458" s="25" t="str">
        <f>[1]SUMMARY!E459</f>
        <v>684 HT</v>
      </c>
      <c r="F458" s="20"/>
      <c r="G458" s="20">
        <v>350</v>
      </c>
      <c r="H458" s="20">
        <v>350</v>
      </c>
      <c r="I458" s="30">
        <f t="shared" si="3"/>
        <v>0</v>
      </c>
      <c r="J458" s="22">
        <f>[1]SUMMARY!N459</f>
        <v>9605</v>
      </c>
      <c r="K458" s="23">
        <f t="shared" si="4"/>
        <v>0</v>
      </c>
      <c r="L458" s="8"/>
      <c r="M458" s="8"/>
    </row>
    <row r="459" spans="1:13" x14ac:dyDescent="0.2">
      <c r="A459" s="17" t="str">
        <f>[1]SUMMARY!A460</f>
        <v>265</v>
      </c>
      <c r="B459" s="17">
        <f>[1]SUMMARY!B460</f>
        <v>60</v>
      </c>
      <c r="C459" s="17">
        <f>[1]SUMMARY!C460</f>
        <v>18</v>
      </c>
      <c r="D459" s="25" t="str">
        <f>[1]SUMMARY!D460</f>
        <v>BRIDGESTONE</v>
      </c>
      <c r="E459" s="25" t="str">
        <f>[1]SUMMARY!E460</f>
        <v>DUELLER A/T 697</v>
      </c>
      <c r="F459" s="20"/>
      <c r="G459" s="20">
        <v>181</v>
      </c>
      <c r="H459" s="20">
        <v>181</v>
      </c>
      <c r="I459" s="21">
        <f t="shared" si="3"/>
        <v>0</v>
      </c>
      <c r="J459" s="22">
        <f>[1]SUMMARY!N460</f>
        <v>9527</v>
      </c>
      <c r="K459" s="23">
        <f t="shared" si="4"/>
        <v>0</v>
      </c>
      <c r="L459" s="8"/>
      <c r="M459" s="8"/>
    </row>
    <row r="460" spans="1:13" x14ac:dyDescent="0.2">
      <c r="A460" s="17" t="str">
        <f>[1]SUMMARY!A461</f>
        <v>285</v>
      </c>
      <c r="B460" s="17">
        <f>[1]SUMMARY!B461</f>
        <v>60</v>
      </c>
      <c r="C460" s="17">
        <f>[1]SUMMARY!C461</f>
        <v>18</v>
      </c>
      <c r="D460" s="25" t="str">
        <f>[1]SUMMARY!D461</f>
        <v>BRIDGESTONE</v>
      </c>
      <c r="E460" s="25" t="str">
        <f>[1]SUMMARY!E461</f>
        <v>DUELER A/T 693</v>
      </c>
      <c r="F460" s="20"/>
      <c r="G460" s="20">
        <v>4</v>
      </c>
      <c r="H460" s="20">
        <v>4</v>
      </c>
      <c r="I460" s="21">
        <f t="shared" si="3"/>
        <v>0</v>
      </c>
      <c r="J460" s="22">
        <f>[1]SUMMARY!N461</f>
        <v>20844</v>
      </c>
      <c r="K460" s="23">
        <f t="shared" si="4"/>
        <v>0</v>
      </c>
      <c r="L460" s="8"/>
      <c r="M460" s="8"/>
    </row>
    <row r="461" spans="1:13" x14ac:dyDescent="0.2">
      <c r="A461" s="17" t="str">
        <f>[1]SUMMARY!A462</f>
        <v>285</v>
      </c>
      <c r="B461" s="17">
        <f>[1]SUMMARY!B462</f>
        <v>60</v>
      </c>
      <c r="C461" s="17">
        <f>[1]SUMMARY!C462</f>
        <v>18</v>
      </c>
      <c r="D461" s="25" t="str">
        <f>[1]SUMMARY!D462</f>
        <v>BRIDGESTONE</v>
      </c>
      <c r="E461" s="25" t="str">
        <f>[1]SUMMARY!E462</f>
        <v>AT002</v>
      </c>
      <c r="F461" s="20"/>
      <c r="G461" s="20">
        <v>4</v>
      </c>
      <c r="H461" s="20">
        <v>4</v>
      </c>
      <c r="I461" s="21">
        <f t="shared" si="3"/>
        <v>0</v>
      </c>
      <c r="J461" s="22">
        <f>[1]SUMMARY!N462</f>
        <v>13573</v>
      </c>
      <c r="K461" s="23">
        <f t="shared" si="4"/>
        <v>0</v>
      </c>
      <c r="L461" s="8"/>
      <c r="M461" s="8"/>
    </row>
    <row r="462" spans="1:13" x14ac:dyDescent="0.2">
      <c r="A462" s="17" t="str">
        <f>[1]SUMMARY!A463</f>
        <v>265</v>
      </c>
      <c r="B462" s="17">
        <f>[1]SUMMARY!B463</f>
        <v>50</v>
      </c>
      <c r="C462" s="17">
        <f>[1]SUMMARY!C463</f>
        <v>20</v>
      </c>
      <c r="D462" s="25" t="str">
        <f>[1]SUMMARY!D463</f>
        <v>BRIDGESTONE</v>
      </c>
      <c r="E462" s="25" t="str">
        <f>[1]SUMMARY!E463</f>
        <v>DUELER HT 684</v>
      </c>
      <c r="F462" s="20"/>
      <c r="G462" s="20"/>
      <c r="H462" s="20"/>
      <c r="I462" s="21">
        <v>0</v>
      </c>
      <c r="J462" s="22">
        <f>[1]SUMMARY!N463</f>
        <v>17000</v>
      </c>
      <c r="K462" s="23">
        <f t="shared" si="4"/>
        <v>0</v>
      </c>
      <c r="L462" s="8"/>
      <c r="M462" s="8"/>
    </row>
    <row r="463" spans="1:13" x14ac:dyDescent="0.2">
      <c r="A463" s="17" t="str">
        <f>[1]SUMMARY!A464</f>
        <v>265</v>
      </c>
      <c r="B463" s="17">
        <f>[1]SUMMARY!B464</f>
        <v>50</v>
      </c>
      <c r="C463" s="17">
        <f>[1]SUMMARY!C464</f>
        <v>20</v>
      </c>
      <c r="D463" s="25" t="str">
        <f>[1]SUMMARY!D464</f>
        <v>BRIDGESTONE</v>
      </c>
      <c r="E463" s="25" t="str">
        <f>[1]SUMMARY!E464</f>
        <v>ALENZA 001</v>
      </c>
      <c r="F463" s="20"/>
      <c r="G463" s="20"/>
      <c r="H463" s="20"/>
      <c r="I463" s="21">
        <f t="shared" ref="I463:I717" si="5">F463+G463-H463</f>
        <v>0</v>
      </c>
      <c r="J463" s="22">
        <f>[1]SUMMARY!N464</f>
        <v>15438</v>
      </c>
      <c r="K463" s="23">
        <f t="shared" si="4"/>
        <v>0</v>
      </c>
      <c r="L463" s="28">
        <f>SUM(K402:K463)</f>
        <v>9500</v>
      </c>
      <c r="M463" s="29" t="s">
        <v>22</v>
      </c>
    </row>
    <row r="464" spans="1:13" x14ac:dyDescent="0.2">
      <c r="A464" s="17" t="str">
        <f>[1]SUMMARY!A465</f>
        <v>165</v>
      </c>
      <c r="B464" s="17">
        <f>[1]SUMMARY!B465</f>
        <v>65</v>
      </c>
      <c r="C464" s="17">
        <f>[1]SUMMARY!C465</f>
        <v>13</v>
      </c>
      <c r="D464" s="25" t="str">
        <f>[1]SUMMARY!D465</f>
        <v>CEAT</v>
      </c>
      <c r="E464" s="25">
        <f>[1]SUMMARY!E465</f>
        <v>0</v>
      </c>
      <c r="F464" s="20"/>
      <c r="G464" s="20"/>
      <c r="H464" s="20"/>
      <c r="I464" s="21">
        <f t="shared" si="5"/>
        <v>0</v>
      </c>
      <c r="J464" s="22">
        <f>[1]SUMMARY!N465</f>
        <v>2000</v>
      </c>
      <c r="K464" s="23">
        <f t="shared" si="4"/>
        <v>0</v>
      </c>
      <c r="L464" s="28">
        <f>SUM(K464)</f>
        <v>0</v>
      </c>
      <c r="M464" s="29" t="s">
        <v>23</v>
      </c>
    </row>
    <row r="465" spans="1:13" x14ac:dyDescent="0.2">
      <c r="A465" s="17" t="str">
        <f>[1]SUMMARY!A466</f>
        <v>165</v>
      </c>
      <c r="B465" s="17">
        <f>[1]SUMMARY!B466</f>
        <v>65</v>
      </c>
      <c r="C465" s="17">
        <f>[1]SUMMARY!C466</f>
        <v>13</v>
      </c>
      <c r="D465" s="25" t="str">
        <f>[1]SUMMARY!D466</f>
        <v>COMFORSER</v>
      </c>
      <c r="E465" s="25" t="str">
        <f>[1]SUMMARY!E466</f>
        <v>CF610</v>
      </c>
      <c r="F465" s="20"/>
      <c r="G465" s="20">
        <v>4</v>
      </c>
      <c r="H465" s="20">
        <v>4</v>
      </c>
      <c r="I465" s="21">
        <f t="shared" si="5"/>
        <v>0</v>
      </c>
      <c r="J465" s="22">
        <f>[1]SUMMARY!N466</f>
        <v>1460</v>
      </c>
      <c r="K465" s="23">
        <f t="shared" si="4"/>
        <v>0</v>
      </c>
      <c r="L465" s="8"/>
      <c r="M465" s="8"/>
    </row>
    <row r="466" spans="1:13" x14ac:dyDescent="0.2">
      <c r="A466" s="17" t="str">
        <f>[1]SUMMARY!A467</f>
        <v>175</v>
      </c>
      <c r="B466" s="17">
        <f>[1]SUMMARY!B467</f>
        <v>70</v>
      </c>
      <c r="C466" s="17">
        <f>[1]SUMMARY!C467</f>
        <v>13</v>
      </c>
      <c r="D466" s="25" t="str">
        <f>[1]SUMMARY!D467</f>
        <v>COMFORSER</v>
      </c>
      <c r="E466" s="25" t="str">
        <f>[1]SUMMARY!E467</f>
        <v>CF610</v>
      </c>
      <c r="F466" s="20"/>
      <c r="G466" s="20">
        <v>4</v>
      </c>
      <c r="H466" s="20">
        <v>4</v>
      </c>
      <c r="I466" s="21">
        <f t="shared" si="5"/>
        <v>0</v>
      </c>
      <c r="J466" s="22">
        <f>[1]SUMMARY!N467</f>
        <v>1457</v>
      </c>
      <c r="K466" s="23">
        <f t="shared" si="4"/>
        <v>0</v>
      </c>
      <c r="L466" s="8"/>
      <c r="M466" s="8"/>
    </row>
    <row r="467" spans="1:13" x14ac:dyDescent="0.2">
      <c r="A467" s="17" t="str">
        <f>[1]SUMMARY!A468</f>
        <v>165</v>
      </c>
      <c r="B467" s="17">
        <f>[1]SUMMARY!B468</f>
        <v>80</v>
      </c>
      <c r="C467" s="17">
        <f>[1]SUMMARY!C468</f>
        <v>13</v>
      </c>
      <c r="D467" s="25" t="str">
        <f>[1]SUMMARY!D468</f>
        <v>COMFORSER</v>
      </c>
      <c r="E467" s="25" t="str">
        <f>[1]SUMMARY!E468</f>
        <v>CF3000 LT 8PR LEFT</v>
      </c>
      <c r="F467" s="20"/>
      <c r="G467" s="20">
        <v>2</v>
      </c>
      <c r="H467" s="20"/>
      <c r="I467" s="21">
        <f t="shared" si="5"/>
        <v>2</v>
      </c>
      <c r="J467" s="22">
        <f>[1]SUMMARY!N468</f>
        <v>2621</v>
      </c>
      <c r="K467" s="23">
        <f t="shared" si="4"/>
        <v>5242</v>
      </c>
      <c r="L467" s="8"/>
      <c r="M467" s="8"/>
    </row>
    <row r="468" spans="1:13" x14ac:dyDescent="0.2">
      <c r="A468" s="17" t="str">
        <f>[1]SUMMARY!A469</f>
        <v>165</v>
      </c>
      <c r="B468" s="17">
        <f>[1]SUMMARY!B469</f>
        <v>80</v>
      </c>
      <c r="C468" s="17">
        <f>[1]SUMMARY!C469</f>
        <v>13</v>
      </c>
      <c r="D468" s="25" t="str">
        <f>[1]SUMMARY!D469</f>
        <v>COMFORSER</v>
      </c>
      <c r="E468" s="25" t="str">
        <f>[1]SUMMARY!E469</f>
        <v>CF3000 LT 8PR RIGHT</v>
      </c>
      <c r="F468" s="20"/>
      <c r="G468" s="20">
        <v>2</v>
      </c>
      <c r="H468" s="20"/>
      <c r="I468" s="21">
        <f t="shared" si="5"/>
        <v>2</v>
      </c>
      <c r="J468" s="22">
        <f>[1]SUMMARY!N469</f>
        <v>2621</v>
      </c>
      <c r="K468" s="23">
        <f t="shared" si="4"/>
        <v>5242</v>
      </c>
      <c r="L468" s="8"/>
      <c r="M468" s="8"/>
    </row>
    <row r="469" spans="1:13" x14ac:dyDescent="0.2">
      <c r="A469" s="17" t="str">
        <f>[1]SUMMARY!A470</f>
        <v>175</v>
      </c>
      <c r="B469" s="17">
        <f>[1]SUMMARY!B470</f>
        <v>0</v>
      </c>
      <c r="C469" s="17" t="str">
        <f>[1]SUMMARY!C470</f>
        <v>13C</v>
      </c>
      <c r="D469" s="25" t="str">
        <f>[1]SUMMARY!D470</f>
        <v>COMFORSER</v>
      </c>
      <c r="E469" s="25" t="str">
        <f>[1]SUMMARY!E470</f>
        <v>CF350 8PR</v>
      </c>
      <c r="F469" s="20"/>
      <c r="G469" s="20"/>
      <c r="H469" s="20"/>
      <c r="I469" s="21">
        <f t="shared" si="5"/>
        <v>0</v>
      </c>
      <c r="J469" s="22">
        <f>[1]SUMMARY!N470</f>
        <v>1957</v>
      </c>
      <c r="K469" s="23">
        <f t="shared" si="4"/>
        <v>0</v>
      </c>
      <c r="L469" s="8"/>
      <c r="M469" s="8"/>
    </row>
    <row r="470" spans="1:13" x14ac:dyDescent="0.2">
      <c r="A470" s="17" t="str">
        <f>[1]SUMMARY!A471</f>
        <v>175</v>
      </c>
      <c r="B470" s="17">
        <f>[1]SUMMARY!B471</f>
        <v>70</v>
      </c>
      <c r="C470" s="17">
        <f>[1]SUMMARY!C471</f>
        <v>14</v>
      </c>
      <c r="D470" s="25" t="str">
        <f>[1]SUMMARY!D471</f>
        <v>COMFORSER</v>
      </c>
      <c r="E470" s="25" t="str">
        <f>[1]SUMMARY!E471</f>
        <v>CF610</v>
      </c>
      <c r="F470" s="20"/>
      <c r="G470" s="20">
        <v>6</v>
      </c>
      <c r="H470" s="20">
        <v>6</v>
      </c>
      <c r="I470" s="21">
        <f t="shared" si="5"/>
        <v>0</v>
      </c>
      <c r="J470" s="22">
        <f>[1]SUMMARY!N471</f>
        <v>1561</v>
      </c>
      <c r="K470" s="23">
        <f t="shared" si="4"/>
        <v>0</v>
      </c>
      <c r="L470" s="8"/>
      <c r="M470" s="8"/>
    </row>
    <row r="471" spans="1:13" x14ac:dyDescent="0.2">
      <c r="A471" s="17" t="str">
        <f>[1]SUMMARY!A472</f>
        <v>185</v>
      </c>
      <c r="B471" s="17">
        <f>[1]SUMMARY!B472</f>
        <v>0</v>
      </c>
      <c r="C471" s="17" t="str">
        <f>[1]SUMMARY!C472</f>
        <v>14C</v>
      </c>
      <c r="D471" s="25" t="str">
        <f>[1]SUMMARY!D472</f>
        <v>COMFORSER</v>
      </c>
      <c r="E471" s="25" t="str">
        <f>[1]SUMMARY!E472</f>
        <v>CF350</v>
      </c>
      <c r="F471" s="20"/>
      <c r="G471" s="20">
        <v>8</v>
      </c>
      <c r="H471" s="20">
        <v>8</v>
      </c>
      <c r="I471" s="21">
        <f t="shared" si="5"/>
        <v>0</v>
      </c>
      <c r="J471" s="22">
        <f>[1]SUMMARY!N472</f>
        <v>2249</v>
      </c>
      <c r="K471" s="23">
        <f t="shared" si="4"/>
        <v>0</v>
      </c>
      <c r="L471" s="8"/>
      <c r="M471" s="8"/>
    </row>
    <row r="472" spans="1:13" x14ac:dyDescent="0.2">
      <c r="A472" s="17" t="str">
        <f>[1]SUMMARY!A473</f>
        <v>185</v>
      </c>
      <c r="B472" s="17">
        <f>[1]SUMMARY!B473</f>
        <v>70</v>
      </c>
      <c r="C472" s="17">
        <f>[1]SUMMARY!C473</f>
        <v>14</v>
      </c>
      <c r="D472" s="25" t="str">
        <f>[1]SUMMARY!D473</f>
        <v>COMFORSER</v>
      </c>
      <c r="E472" s="25" t="str">
        <f>[1]SUMMARY!E473</f>
        <v>CF510</v>
      </c>
      <c r="F472" s="20"/>
      <c r="G472" s="20">
        <v>8</v>
      </c>
      <c r="H472" s="20">
        <v>8</v>
      </c>
      <c r="I472" s="21">
        <f t="shared" si="5"/>
        <v>0</v>
      </c>
      <c r="J472" s="22">
        <f>[1]SUMMARY!N473</f>
        <v>1734</v>
      </c>
      <c r="K472" s="23">
        <f t="shared" si="4"/>
        <v>0</v>
      </c>
      <c r="L472" s="8"/>
      <c r="M472" s="8"/>
    </row>
    <row r="473" spans="1:13" x14ac:dyDescent="0.2">
      <c r="A473" s="17">
        <f>[1]SUMMARY!A474</f>
        <v>185</v>
      </c>
      <c r="B473" s="17">
        <f>[1]SUMMARY!B474</f>
        <v>65</v>
      </c>
      <c r="C473" s="17">
        <f>[1]SUMMARY!C474</f>
        <v>14</v>
      </c>
      <c r="D473" s="25" t="str">
        <f>[1]SUMMARY!D474</f>
        <v>COMFORSER</v>
      </c>
      <c r="E473" s="25" t="str">
        <f>[1]SUMMARY!E474</f>
        <v>CF510</v>
      </c>
      <c r="F473" s="20"/>
      <c r="G473" s="20">
        <v>13</v>
      </c>
      <c r="H473" s="20">
        <v>13</v>
      </c>
      <c r="I473" s="21">
        <f t="shared" si="5"/>
        <v>0</v>
      </c>
      <c r="J473" s="22">
        <f>[1]SUMMARY!N474</f>
        <v>1616</v>
      </c>
      <c r="K473" s="23">
        <f t="shared" si="4"/>
        <v>0</v>
      </c>
      <c r="L473" s="8"/>
      <c r="M473" s="8"/>
    </row>
    <row r="474" spans="1:13" x14ac:dyDescent="0.2">
      <c r="A474" s="17">
        <f>[1]SUMMARY!A475</f>
        <v>31</v>
      </c>
      <c r="B474" s="17">
        <f>[1]SUMMARY!B475</f>
        <v>10.5</v>
      </c>
      <c r="C474" s="17">
        <f>[1]SUMMARY!C475</f>
        <v>15</v>
      </c>
      <c r="D474" s="25" t="str">
        <f>[1]SUMMARY!D475</f>
        <v>COMFORSER</v>
      </c>
      <c r="E474" s="25" t="str">
        <f>[1]SUMMARY!E475</f>
        <v>CF1000 A/T 6PR</v>
      </c>
      <c r="F474" s="20"/>
      <c r="G474" s="20">
        <v>4</v>
      </c>
      <c r="H474" s="20">
        <v>4</v>
      </c>
      <c r="I474" s="21">
        <f t="shared" si="5"/>
        <v>0</v>
      </c>
      <c r="J474" s="22">
        <f>[1]SUMMARY!N475</f>
        <v>4784</v>
      </c>
      <c r="K474" s="23">
        <f t="shared" si="4"/>
        <v>0</v>
      </c>
      <c r="L474" s="8"/>
      <c r="M474" s="8"/>
    </row>
    <row r="475" spans="1:13" x14ac:dyDescent="0.2">
      <c r="A475" s="17">
        <f>[1]SUMMARY!A476</f>
        <v>31</v>
      </c>
      <c r="B475" s="17">
        <f>[1]SUMMARY!B476</f>
        <v>10.5</v>
      </c>
      <c r="C475" s="17">
        <f>[1]SUMMARY!C476</f>
        <v>15</v>
      </c>
      <c r="D475" s="25" t="str">
        <f>[1]SUMMARY!D476</f>
        <v>COMFORSER</v>
      </c>
      <c r="E475" s="25" t="str">
        <f>[1]SUMMARY!E476</f>
        <v>CF3000 6PR M/T LEFT</v>
      </c>
      <c r="F475" s="20"/>
      <c r="G475" s="20">
        <v>5</v>
      </c>
      <c r="H475" s="20">
        <v>5</v>
      </c>
      <c r="I475" s="21">
        <f t="shared" si="5"/>
        <v>0</v>
      </c>
      <c r="J475" s="22">
        <f>[1]SUMMARY!N476</f>
        <v>5085</v>
      </c>
      <c r="K475" s="23">
        <f t="shared" si="4"/>
        <v>0</v>
      </c>
      <c r="L475" s="8"/>
      <c r="M475" s="8"/>
    </row>
    <row r="476" spans="1:13" x14ac:dyDescent="0.2">
      <c r="A476" s="17">
        <f>[1]SUMMARY!A477</f>
        <v>31</v>
      </c>
      <c r="B476" s="17">
        <f>[1]SUMMARY!B477</f>
        <v>10.5</v>
      </c>
      <c r="C476" s="17">
        <f>[1]SUMMARY!C477</f>
        <v>15</v>
      </c>
      <c r="D476" s="25" t="str">
        <f>[1]SUMMARY!D477</f>
        <v>COMFORSER</v>
      </c>
      <c r="E476" s="25" t="str">
        <f>[1]SUMMARY!E477</f>
        <v>CF3000 6PR M/T RIGHT</v>
      </c>
      <c r="F476" s="20"/>
      <c r="G476" s="20">
        <v>3</v>
      </c>
      <c r="H476" s="20">
        <v>3</v>
      </c>
      <c r="I476" s="21">
        <f t="shared" si="5"/>
        <v>0</v>
      </c>
      <c r="J476" s="22">
        <f>[1]SUMMARY!N477</f>
        <v>5085</v>
      </c>
      <c r="K476" s="23">
        <f t="shared" si="4"/>
        <v>0</v>
      </c>
      <c r="L476" s="8"/>
      <c r="M476" s="8"/>
    </row>
    <row r="477" spans="1:13" x14ac:dyDescent="0.2">
      <c r="A477" s="17">
        <f>[1]SUMMARY!A478</f>
        <v>32</v>
      </c>
      <c r="B477" s="17">
        <f>[1]SUMMARY!B478</f>
        <v>11.5</v>
      </c>
      <c r="C477" s="17">
        <f>[1]SUMMARY!C478</f>
        <v>15</v>
      </c>
      <c r="D477" s="25" t="str">
        <f>[1]SUMMARY!D478</f>
        <v>COMFORSER</v>
      </c>
      <c r="E477" s="25" t="str">
        <f>[1]SUMMARY!E478</f>
        <v>CF3000 LEFT</v>
      </c>
      <c r="F477" s="20"/>
      <c r="G477" s="20"/>
      <c r="H477" s="20"/>
      <c r="I477" s="21">
        <f t="shared" si="5"/>
        <v>0</v>
      </c>
      <c r="J477" s="22">
        <f>[1]SUMMARY!N478</f>
        <v>6534</v>
      </c>
      <c r="K477" s="23">
        <f t="shared" si="4"/>
        <v>0</v>
      </c>
      <c r="L477" s="8"/>
      <c r="M477" s="8"/>
    </row>
    <row r="478" spans="1:13" x14ac:dyDescent="0.2">
      <c r="A478" s="17">
        <f>[1]SUMMARY!A479</f>
        <v>32</v>
      </c>
      <c r="B478" s="17">
        <f>[1]SUMMARY!B479</f>
        <v>11.5</v>
      </c>
      <c r="C478" s="17">
        <f>[1]SUMMARY!C479</f>
        <v>15</v>
      </c>
      <c r="D478" s="25" t="str">
        <f>[1]SUMMARY!D479</f>
        <v>COMFORSER</v>
      </c>
      <c r="E478" s="25" t="str">
        <f>[1]SUMMARY!E479</f>
        <v>CF3000 RIGHT</v>
      </c>
      <c r="F478" s="20"/>
      <c r="G478" s="20"/>
      <c r="H478" s="20"/>
      <c r="I478" s="21">
        <f t="shared" si="5"/>
        <v>0</v>
      </c>
      <c r="J478" s="22">
        <f>[1]SUMMARY!N479</f>
        <v>6534</v>
      </c>
      <c r="K478" s="23">
        <f t="shared" si="4"/>
        <v>0</v>
      </c>
      <c r="L478" s="8"/>
      <c r="M478" s="8"/>
    </row>
    <row r="479" spans="1:13" x14ac:dyDescent="0.2">
      <c r="A479" s="17">
        <f>[1]SUMMARY!A480</f>
        <v>35</v>
      </c>
      <c r="B479" s="17">
        <f>[1]SUMMARY!B480</f>
        <v>12.5</v>
      </c>
      <c r="C479" s="17">
        <f>[1]SUMMARY!C480</f>
        <v>15</v>
      </c>
      <c r="D479" s="25" t="str">
        <f>[1]SUMMARY!D480</f>
        <v>COMFORSER</v>
      </c>
      <c r="E479" s="25" t="str">
        <f>[1]SUMMARY!E480</f>
        <v>CF3000 M/T</v>
      </c>
      <c r="F479" s="20"/>
      <c r="G479" s="20"/>
      <c r="H479" s="20"/>
      <c r="I479" s="21">
        <f t="shared" si="5"/>
        <v>0</v>
      </c>
      <c r="J479" s="22">
        <f>[1]SUMMARY!N480</f>
        <v>8712</v>
      </c>
      <c r="K479" s="23">
        <f t="shared" si="4"/>
        <v>0</v>
      </c>
      <c r="L479" s="8"/>
      <c r="M479" s="8"/>
    </row>
    <row r="480" spans="1:13" x14ac:dyDescent="0.2">
      <c r="A480" s="17">
        <f>[1]SUMMARY!A481</f>
        <v>185</v>
      </c>
      <c r="B480" s="17">
        <f>[1]SUMMARY!B481</f>
        <v>60</v>
      </c>
      <c r="C480" s="17">
        <f>[1]SUMMARY!C481</f>
        <v>15</v>
      </c>
      <c r="D480" s="25" t="str">
        <f>[1]SUMMARY!D481</f>
        <v>COMFORSER</v>
      </c>
      <c r="E480" s="25" t="str">
        <f>[1]SUMMARY!E481</f>
        <v>CF510 84H</v>
      </c>
      <c r="F480" s="20"/>
      <c r="G480" s="20">
        <v>12</v>
      </c>
      <c r="H480" s="20">
        <v>12</v>
      </c>
      <c r="I480" s="21">
        <f t="shared" si="5"/>
        <v>0</v>
      </c>
      <c r="J480" s="22">
        <f>[1]SUMMARY!N481</f>
        <v>1774</v>
      </c>
      <c r="K480" s="23">
        <f t="shared" si="4"/>
        <v>0</v>
      </c>
      <c r="L480" s="8"/>
      <c r="M480" s="8"/>
    </row>
    <row r="481" spans="1:13" x14ac:dyDescent="0.2">
      <c r="A481" s="17">
        <f>[1]SUMMARY!A482</f>
        <v>195</v>
      </c>
      <c r="B481" s="17">
        <f>[1]SUMMARY!B482</f>
        <v>0</v>
      </c>
      <c r="C481" s="17" t="str">
        <f>[1]SUMMARY!C482</f>
        <v>15C</v>
      </c>
      <c r="D481" s="25" t="str">
        <f>[1]SUMMARY!D482</f>
        <v>COMFORSER</v>
      </c>
      <c r="E481" s="25" t="str">
        <f>[1]SUMMARY!E482</f>
        <v>CF350</v>
      </c>
      <c r="F481" s="20"/>
      <c r="G481" s="20">
        <v>4</v>
      </c>
      <c r="H481" s="20">
        <v>4</v>
      </c>
      <c r="I481" s="21">
        <f t="shared" si="5"/>
        <v>0</v>
      </c>
      <c r="J481" s="22">
        <f>[1]SUMMARY!N482</f>
        <v>2685</v>
      </c>
      <c r="K481" s="23">
        <f t="shared" si="4"/>
        <v>0</v>
      </c>
      <c r="L481" s="8"/>
      <c r="M481" s="8"/>
    </row>
    <row r="482" spans="1:13" x14ac:dyDescent="0.2">
      <c r="A482" s="17">
        <f>[1]SUMMARY!A483</f>
        <v>195</v>
      </c>
      <c r="B482" s="17">
        <f>[1]SUMMARY!B483</f>
        <v>50</v>
      </c>
      <c r="C482" s="17">
        <f>[1]SUMMARY!C483</f>
        <v>15</v>
      </c>
      <c r="D482" s="25" t="str">
        <f>[1]SUMMARY!D483</f>
        <v>COMFORSER</v>
      </c>
      <c r="E482" s="25" t="str">
        <f>[1]SUMMARY!E483</f>
        <v>CF510 82V</v>
      </c>
      <c r="F482" s="20"/>
      <c r="G482" s="20">
        <v>5</v>
      </c>
      <c r="H482" s="20">
        <v>5</v>
      </c>
      <c r="I482" s="21">
        <f t="shared" si="5"/>
        <v>0</v>
      </c>
      <c r="J482" s="22">
        <f>[1]SUMMARY!N483</f>
        <v>1845</v>
      </c>
      <c r="K482" s="23">
        <f t="shared" si="4"/>
        <v>0</v>
      </c>
      <c r="L482" s="8"/>
      <c r="M482" s="8"/>
    </row>
    <row r="483" spans="1:13" x14ac:dyDescent="0.2">
      <c r="A483" s="17">
        <f>[1]SUMMARY!A484</f>
        <v>175</v>
      </c>
      <c r="B483" s="17">
        <f>[1]SUMMARY!B484</f>
        <v>55</v>
      </c>
      <c r="C483" s="17">
        <f>[1]SUMMARY!C484</f>
        <v>15</v>
      </c>
      <c r="D483" s="25" t="str">
        <f>[1]SUMMARY!D484</f>
        <v>COMFORSER</v>
      </c>
      <c r="E483" s="25" t="str">
        <f>[1]SUMMARY!E484</f>
        <v>SPORTS K4</v>
      </c>
      <c r="F483" s="20"/>
      <c r="G483" s="20">
        <v>10</v>
      </c>
      <c r="H483" s="20">
        <v>10</v>
      </c>
      <c r="I483" s="21">
        <f t="shared" si="5"/>
        <v>0</v>
      </c>
      <c r="J483" s="22">
        <f>[1]SUMMARY!N484</f>
        <v>1774</v>
      </c>
      <c r="K483" s="23">
        <f t="shared" si="4"/>
        <v>0</v>
      </c>
      <c r="L483" s="8"/>
      <c r="M483" s="8"/>
    </row>
    <row r="484" spans="1:13" x14ac:dyDescent="0.2">
      <c r="A484" s="17">
        <f>[1]SUMMARY!A485</f>
        <v>185</v>
      </c>
      <c r="B484" s="17">
        <f>[1]SUMMARY!B485</f>
        <v>55</v>
      </c>
      <c r="C484" s="17">
        <f>[1]SUMMARY!C485</f>
        <v>15</v>
      </c>
      <c r="D484" s="25" t="str">
        <f>[1]SUMMARY!D485</f>
        <v>COMFORSER</v>
      </c>
      <c r="E484" s="25" t="str">
        <f>[1]SUMMARY!E485</f>
        <v>CF510</v>
      </c>
      <c r="F484" s="20"/>
      <c r="G484" s="20">
        <v>4</v>
      </c>
      <c r="H484" s="20">
        <v>4</v>
      </c>
      <c r="I484" s="21">
        <f t="shared" si="5"/>
        <v>0</v>
      </c>
      <c r="J484" s="22">
        <f>[1]SUMMARY!N485</f>
        <v>1853</v>
      </c>
      <c r="K484" s="23">
        <f t="shared" si="4"/>
        <v>0</v>
      </c>
      <c r="L484" s="8"/>
      <c r="M484" s="8"/>
    </row>
    <row r="485" spans="1:13" x14ac:dyDescent="0.2">
      <c r="A485" s="17">
        <f>[1]SUMMARY!A486</f>
        <v>195</v>
      </c>
      <c r="B485" s="17">
        <f>[1]SUMMARY!B486</f>
        <v>55</v>
      </c>
      <c r="C485" s="17">
        <f>[1]SUMMARY!C486</f>
        <v>15</v>
      </c>
      <c r="D485" s="25" t="str">
        <f>[1]SUMMARY!D486</f>
        <v>COMFORSER</v>
      </c>
      <c r="E485" s="25" t="str">
        <f>[1]SUMMARY!E486</f>
        <v>CF510 85V</v>
      </c>
      <c r="F485" s="20"/>
      <c r="G485" s="20">
        <v>12</v>
      </c>
      <c r="H485" s="20">
        <v>12</v>
      </c>
      <c r="I485" s="21">
        <f t="shared" si="5"/>
        <v>0</v>
      </c>
      <c r="J485" s="22">
        <f>[1]SUMMARY!N486</f>
        <v>1901</v>
      </c>
      <c r="K485" s="23">
        <f t="shared" si="4"/>
        <v>0</v>
      </c>
      <c r="L485" s="8"/>
      <c r="M485" s="8"/>
    </row>
    <row r="486" spans="1:13" x14ac:dyDescent="0.2">
      <c r="A486" s="17">
        <f>[1]SUMMARY!A487</f>
        <v>175</v>
      </c>
      <c r="B486" s="17">
        <f>[1]SUMMARY!B487</f>
        <v>65</v>
      </c>
      <c r="C486" s="17">
        <f>[1]SUMMARY!C487</f>
        <v>15</v>
      </c>
      <c r="D486" s="25" t="str">
        <f>[1]SUMMARY!D487</f>
        <v>COMFORSER</v>
      </c>
      <c r="E486" s="25" t="str">
        <f>[1]SUMMARY!E487</f>
        <v>CF610</v>
      </c>
      <c r="F486" s="20"/>
      <c r="G486" s="20">
        <v>10</v>
      </c>
      <c r="H486" s="20">
        <v>10</v>
      </c>
      <c r="I486" s="21">
        <f t="shared" si="5"/>
        <v>0</v>
      </c>
      <c r="J486" s="22">
        <f>[1]SUMMARY!N487</f>
        <v>1703</v>
      </c>
      <c r="K486" s="23">
        <f t="shared" si="4"/>
        <v>0</v>
      </c>
      <c r="L486" s="8"/>
      <c r="M486" s="8"/>
    </row>
    <row r="487" spans="1:13" x14ac:dyDescent="0.2">
      <c r="A487" s="17">
        <f>[1]SUMMARY!A488</f>
        <v>185</v>
      </c>
      <c r="B487" s="17">
        <f>[1]SUMMARY!B488</f>
        <v>65</v>
      </c>
      <c r="C487" s="17">
        <f>[1]SUMMARY!C488</f>
        <v>15</v>
      </c>
      <c r="D487" s="25" t="str">
        <f>[1]SUMMARY!D488</f>
        <v>COMFORSER</v>
      </c>
      <c r="E487" s="25" t="str">
        <f>[1]SUMMARY!E488</f>
        <v>CF510 88H</v>
      </c>
      <c r="F487" s="20"/>
      <c r="G487" s="20">
        <v>4</v>
      </c>
      <c r="H487" s="20">
        <v>4</v>
      </c>
      <c r="I487" s="21">
        <f t="shared" si="5"/>
        <v>0</v>
      </c>
      <c r="J487" s="22">
        <f>[1]SUMMARY!N488</f>
        <v>1822</v>
      </c>
      <c r="K487" s="23">
        <f t="shared" si="4"/>
        <v>0</v>
      </c>
      <c r="L487" s="8"/>
      <c r="M487" s="8"/>
    </row>
    <row r="488" spans="1:13" x14ac:dyDescent="0.2">
      <c r="A488" s="17">
        <f>[1]SUMMARY!A489</f>
        <v>195</v>
      </c>
      <c r="B488" s="17">
        <f>[1]SUMMARY!B489</f>
        <v>65</v>
      </c>
      <c r="C488" s="17">
        <f>[1]SUMMARY!C489</f>
        <v>15</v>
      </c>
      <c r="D488" s="25" t="str">
        <f>[1]SUMMARY!D489</f>
        <v>COMFORSER</v>
      </c>
      <c r="E488" s="25" t="str">
        <f>[1]SUMMARY!E489</f>
        <v>CF510</v>
      </c>
      <c r="F488" s="20"/>
      <c r="G488" s="20">
        <v>4</v>
      </c>
      <c r="H488" s="20">
        <v>4</v>
      </c>
      <c r="I488" s="21">
        <f t="shared" si="5"/>
        <v>0</v>
      </c>
      <c r="J488" s="22">
        <f>[1]SUMMARY!N489</f>
        <v>1988</v>
      </c>
      <c r="K488" s="23">
        <f t="shared" si="4"/>
        <v>0</v>
      </c>
      <c r="L488" s="8"/>
      <c r="M488" s="8"/>
    </row>
    <row r="489" spans="1:13" x14ac:dyDescent="0.2">
      <c r="A489" s="17">
        <f>[1]SUMMARY!A490</f>
        <v>215</v>
      </c>
      <c r="B489" s="17">
        <f>[1]SUMMARY!B490</f>
        <v>70</v>
      </c>
      <c r="C489" s="17" t="str">
        <f>[1]SUMMARY!C490</f>
        <v>15C</v>
      </c>
      <c r="D489" s="25" t="str">
        <f>[1]SUMMARY!D490</f>
        <v>COMFORSER</v>
      </c>
      <c r="E489" s="25" t="str">
        <f>[1]SUMMARY!E490</f>
        <v>CF300 8PR</v>
      </c>
      <c r="F489" s="20"/>
      <c r="G489" s="20">
        <v>10</v>
      </c>
      <c r="H489" s="20">
        <v>10</v>
      </c>
      <c r="I489" s="21">
        <f t="shared" si="5"/>
        <v>0</v>
      </c>
      <c r="J489" s="22">
        <f>[1]SUMMARY!N490</f>
        <v>3112</v>
      </c>
      <c r="K489" s="23">
        <f t="shared" si="4"/>
        <v>0</v>
      </c>
      <c r="L489" s="8"/>
      <c r="M489" s="8"/>
    </row>
    <row r="490" spans="1:13" x14ac:dyDescent="0.2">
      <c r="A490" s="17">
        <f>[1]SUMMARY!A491</f>
        <v>235</v>
      </c>
      <c r="B490" s="17">
        <f>[1]SUMMARY!B491</f>
        <v>75</v>
      </c>
      <c r="C490" s="17">
        <f>[1]SUMMARY!C491</f>
        <v>15</v>
      </c>
      <c r="D490" s="25" t="str">
        <f>[1]SUMMARY!D491</f>
        <v>COMFORSER</v>
      </c>
      <c r="E490" s="25" t="str">
        <f>[1]SUMMARY!E491</f>
        <v xml:space="preserve">CF1000 A/T </v>
      </c>
      <c r="F490" s="20"/>
      <c r="G490" s="20">
        <v>12</v>
      </c>
      <c r="H490" s="20">
        <v>12</v>
      </c>
      <c r="I490" s="21">
        <f t="shared" si="5"/>
        <v>0</v>
      </c>
      <c r="J490" s="22">
        <f>[1]SUMMARY!N491</f>
        <v>3675</v>
      </c>
      <c r="K490" s="23">
        <f t="shared" si="4"/>
        <v>0</v>
      </c>
      <c r="L490" s="8"/>
      <c r="M490" s="8"/>
    </row>
    <row r="491" spans="1:13" x14ac:dyDescent="0.2">
      <c r="A491" s="17">
        <f>[1]SUMMARY!A492</f>
        <v>235</v>
      </c>
      <c r="B491" s="17">
        <f>[1]SUMMARY!B492</f>
        <v>75</v>
      </c>
      <c r="C491" s="17">
        <f>[1]SUMMARY!C492</f>
        <v>15</v>
      </c>
      <c r="D491" s="25" t="str">
        <f>[1]SUMMARY!D492</f>
        <v>COMFORSER</v>
      </c>
      <c r="E491" s="25" t="str">
        <f>[1]SUMMARY!E492</f>
        <v>CF1100 A/T-S</v>
      </c>
      <c r="F491" s="20"/>
      <c r="G491" s="20">
        <v>8</v>
      </c>
      <c r="H491" s="20">
        <v>8</v>
      </c>
      <c r="I491" s="21">
        <f t="shared" si="5"/>
        <v>0</v>
      </c>
      <c r="J491" s="22">
        <f>[1]SUMMARY!N492</f>
        <v>3762</v>
      </c>
      <c r="K491" s="23">
        <f t="shared" si="4"/>
        <v>0</v>
      </c>
      <c r="L491" s="8"/>
      <c r="M491" s="8"/>
    </row>
    <row r="492" spans="1:13" x14ac:dyDescent="0.2">
      <c r="A492" s="17">
        <f>[1]SUMMARY!A493</f>
        <v>235</v>
      </c>
      <c r="B492" s="17">
        <f>[1]SUMMARY!B493</f>
        <v>75</v>
      </c>
      <c r="C492" s="17">
        <f>[1]SUMMARY!C493</f>
        <v>15</v>
      </c>
      <c r="D492" s="25" t="str">
        <f>[1]SUMMARY!D493</f>
        <v>COMFORSER</v>
      </c>
      <c r="E492" s="25" t="str">
        <f>[1]SUMMARY!E493</f>
        <v>CF3000 M/T</v>
      </c>
      <c r="F492" s="20"/>
      <c r="G492" s="20">
        <v>4</v>
      </c>
      <c r="H492" s="20">
        <v>4</v>
      </c>
      <c r="I492" s="21">
        <f t="shared" si="5"/>
        <v>0</v>
      </c>
      <c r="J492" s="22">
        <f>[1]SUMMARY!N493</f>
        <v>5400</v>
      </c>
      <c r="K492" s="23">
        <f t="shared" si="4"/>
        <v>0</v>
      </c>
      <c r="L492" s="8"/>
      <c r="M492" s="8"/>
    </row>
    <row r="493" spans="1:13" x14ac:dyDescent="0.2">
      <c r="A493" s="17">
        <f>[1]SUMMARY!A494</f>
        <v>195</v>
      </c>
      <c r="B493" s="17">
        <f>[1]SUMMARY!B494</f>
        <v>60</v>
      </c>
      <c r="C493" s="17">
        <f>[1]SUMMARY!C494</f>
        <v>16</v>
      </c>
      <c r="D493" s="25" t="str">
        <f>[1]SUMMARY!D494</f>
        <v>COMFORSER</v>
      </c>
      <c r="E493" s="25" t="str">
        <f>[1]SUMMARY!E494</f>
        <v>CF510</v>
      </c>
      <c r="F493" s="20"/>
      <c r="G493" s="20">
        <v>10</v>
      </c>
      <c r="H493" s="20">
        <v>10</v>
      </c>
      <c r="I493" s="21">
        <f t="shared" si="5"/>
        <v>0</v>
      </c>
      <c r="J493" s="22">
        <f>[1]SUMMARY!N494</f>
        <v>2289</v>
      </c>
      <c r="K493" s="23">
        <f t="shared" si="4"/>
        <v>0</v>
      </c>
      <c r="L493" s="8"/>
      <c r="M493" s="8"/>
    </row>
    <row r="494" spans="1:13" x14ac:dyDescent="0.2">
      <c r="A494" s="17">
        <f>[1]SUMMARY!A495</f>
        <v>205</v>
      </c>
      <c r="B494" s="17">
        <f>[1]SUMMARY!B495</f>
        <v>45</v>
      </c>
      <c r="C494" s="17">
        <f>[1]SUMMARY!C495</f>
        <v>16</v>
      </c>
      <c r="D494" s="25" t="str">
        <f>[1]SUMMARY!D495</f>
        <v>COMFORSER</v>
      </c>
      <c r="E494" s="25" t="str">
        <f>[1]SUMMARY!E495</f>
        <v>CF710 83V</v>
      </c>
      <c r="F494" s="20"/>
      <c r="G494" s="20">
        <v>13</v>
      </c>
      <c r="H494" s="20">
        <v>13</v>
      </c>
      <c r="I494" s="21">
        <f t="shared" si="5"/>
        <v>0</v>
      </c>
      <c r="J494" s="22">
        <f>[1]SUMMARY!N495</f>
        <v>2187</v>
      </c>
      <c r="K494" s="23">
        <f t="shared" si="4"/>
        <v>0</v>
      </c>
      <c r="L494" s="8"/>
      <c r="M494" s="8"/>
    </row>
    <row r="495" spans="1:13" x14ac:dyDescent="0.2">
      <c r="A495" s="17">
        <f>[1]SUMMARY!A496</f>
        <v>215</v>
      </c>
      <c r="B495" s="17">
        <f>[1]SUMMARY!B496</f>
        <v>55</v>
      </c>
      <c r="C495" s="17">
        <f>[1]SUMMARY!C496</f>
        <v>16</v>
      </c>
      <c r="D495" s="25" t="str">
        <f>[1]SUMMARY!D496</f>
        <v>COMFORSER</v>
      </c>
      <c r="E495" s="25" t="str">
        <f>[1]SUMMARY!E496</f>
        <v>CF710</v>
      </c>
      <c r="F495" s="20"/>
      <c r="G495" s="20">
        <v>4</v>
      </c>
      <c r="H495" s="20">
        <v>4</v>
      </c>
      <c r="I495" s="21">
        <f t="shared" si="5"/>
        <v>0</v>
      </c>
      <c r="J495" s="22">
        <f>[1]SUMMARY!N496</f>
        <v>2566</v>
      </c>
      <c r="K495" s="23">
        <f t="shared" si="4"/>
        <v>0</v>
      </c>
      <c r="L495" s="8"/>
      <c r="M495" s="8"/>
    </row>
    <row r="496" spans="1:13" x14ac:dyDescent="0.2">
      <c r="A496" s="17">
        <f>[1]SUMMARY!A497</f>
        <v>205</v>
      </c>
      <c r="B496" s="17">
        <f>[1]SUMMARY!B497</f>
        <v>60</v>
      </c>
      <c r="C496" s="17">
        <f>[1]SUMMARY!C497</f>
        <v>16</v>
      </c>
      <c r="D496" s="25" t="str">
        <f>[1]SUMMARY!D497</f>
        <v>COMFORSER</v>
      </c>
      <c r="E496" s="25" t="str">
        <f>[1]SUMMARY!E497</f>
        <v>CF510 92V</v>
      </c>
      <c r="F496" s="20"/>
      <c r="G496" s="20">
        <v>4</v>
      </c>
      <c r="H496" s="20">
        <v>4</v>
      </c>
      <c r="I496" s="21">
        <f t="shared" si="5"/>
        <v>0</v>
      </c>
      <c r="J496" s="22">
        <f>[1]SUMMARY!N497</f>
        <v>2218</v>
      </c>
      <c r="K496" s="23">
        <f t="shared" si="4"/>
        <v>0</v>
      </c>
      <c r="L496" s="8"/>
      <c r="M496" s="8"/>
    </row>
    <row r="497" spans="1:13" x14ac:dyDescent="0.2">
      <c r="A497" s="17">
        <f>[1]SUMMARY!A498</f>
        <v>235</v>
      </c>
      <c r="B497" s="17">
        <f>[1]SUMMARY!B498</f>
        <v>60</v>
      </c>
      <c r="C497" s="17">
        <f>[1]SUMMARY!C498</f>
        <v>16</v>
      </c>
      <c r="D497" s="25" t="str">
        <f>[1]SUMMARY!D498</f>
        <v>COMFORSER</v>
      </c>
      <c r="E497" s="25" t="str">
        <f>[1]SUMMARY!E498</f>
        <v>CF510</v>
      </c>
      <c r="F497" s="20"/>
      <c r="G497" s="20">
        <v>4</v>
      </c>
      <c r="H497" s="20">
        <v>4</v>
      </c>
      <c r="I497" s="21">
        <f t="shared" si="5"/>
        <v>0</v>
      </c>
      <c r="J497" s="22">
        <f>[1]SUMMARY!N498</f>
        <v>2732</v>
      </c>
      <c r="K497" s="23">
        <f t="shared" si="4"/>
        <v>0</v>
      </c>
      <c r="L497" s="8"/>
      <c r="M497" s="8"/>
    </row>
    <row r="498" spans="1:13" x14ac:dyDescent="0.2">
      <c r="A498" s="17">
        <f>[1]SUMMARY!A499</f>
        <v>205</v>
      </c>
      <c r="B498" s="17">
        <f>[1]SUMMARY!B499</f>
        <v>65</v>
      </c>
      <c r="C498" s="17">
        <f>[1]SUMMARY!C499</f>
        <v>16</v>
      </c>
      <c r="D498" s="25" t="str">
        <f>[1]SUMMARY!D499</f>
        <v>COMFORSER</v>
      </c>
      <c r="E498" s="25" t="str">
        <f>[1]SUMMARY!E499</f>
        <v>CF2000</v>
      </c>
      <c r="F498" s="20"/>
      <c r="G498" s="20">
        <v>4</v>
      </c>
      <c r="H498" s="20">
        <v>4</v>
      </c>
      <c r="I498" s="21">
        <f t="shared" si="5"/>
        <v>0</v>
      </c>
      <c r="J498" s="22">
        <f>[1]SUMMARY!N499</f>
        <v>2828</v>
      </c>
      <c r="K498" s="23">
        <f t="shared" si="4"/>
        <v>0</v>
      </c>
      <c r="L498" s="8"/>
      <c r="M498" s="8"/>
    </row>
    <row r="499" spans="1:13" x14ac:dyDescent="0.2">
      <c r="A499" s="17">
        <f>[1]SUMMARY!A500</f>
        <v>215</v>
      </c>
      <c r="B499" s="17">
        <f>[1]SUMMARY!B500</f>
        <v>65</v>
      </c>
      <c r="C499" s="17">
        <f>[1]SUMMARY!C500</f>
        <v>16</v>
      </c>
      <c r="D499" s="25" t="str">
        <f>[1]SUMMARY!D500</f>
        <v>COMFORSER</v>
      </c>
      <c r="E499" s="25" t="str">
        <f>[1]SUMMARY!E500</f>
        <v>CF2000 H/T</v>
      </c>
      <c r="F499" s="20"/>
      <c r="G499" s="20">
        <v>4</v>
      </c>
      <c r="H499" s="20">
        <v>4</v>
      </c>
      <c r="I499" s="21">
        <f t="shared" si="5"/>
        <v>0</v>
      </c>
      <c r="J499" s="22">
        <f>[1]SUMMARY!N500</f>
        <v>3191</v>
      </c>
      <c r="K499" s="23">
        <f t="shared" si="4"/>
        <v>0</v>
      </c>
      <c r="L499" s="8"/>
      <c r="M499" s="8"/>
    </row>
    <row r="500" spans="1:13" x14ac:dyDescent="0.2">
      <c r="A500" s="17">
        <f>[1]SUMMARY!A501</f>
        <v>235</v>
      </c>
      <c r="B500" s="17">
        <f>[1]SUMMARY!B501</f>
        <v>65</v>
      </c>
      <c r="C500" s="17" t="str">
        <f>[1]SUMMARY!C501</f>
        <v>16C</v>
      </c>
      <c r="D500" s="25" t="str">
        <f>[1]SUMMARY!D501</f>
        <v>COMFORSER</v>
      </c>
      <c r="E500" s="25" t="str">
        <f>[1]SUMMARY!E501</f>
        <v>CF300 8PR</v>
      </c>
      <c r="F500" s="20"/>
      <c r="G500" s="20">
        <v>6</v>
      </c>
      <c r="H500" s="20">
        <v>6</v>
      </c>
      <c r="I500" s="21">
        <f t="shared" si="5"/>
        <v>0</v>
      </c>
      <c r="J500" s="22">
        <f>[1]SUMMARY!N501</f>
        <v>3168</v>
      </c>
      <c r="K500" s="23">
        <f t="shared" si="4"/>
        <v>0</v>
      </c>
      <c r="L500" s="8"/>
      <c r="M500" s="8"/>
    </row>
    <row r="501" spans="1:13" x14ac:dyDescent="0.2">
      <c r="A501" s="17">
        <f>[1]SUMMARY!A502</f>
        <v>245</v>
      </c>
      <c r="B501" s="17">
        <f>[1]SUMMARY!B502</f>
        <v>70</v>
      </c>
      <c r="C501" s="17">
        <f>[1]SUMMARY!C502</f>
        <v>16</v>
      </c>
      <c r="D501" s="25" t="str">
        <f>[1]SUMMARY!D502</f>
        <v>COMFORSER</v>
      </c>
      <c r="E501" s="25" t="str">
        <f>[1]SUMMARY!E502</f>
        <v xml:space="preserve">CF2000 H/T
</v>
      </c>
      <c r="F501" s="20"/>
      <c r="G501" s="20">
        <v>6</v>
      </c>
      <c r="H501" s="20">
        <v>6</v>
      </c>
      <c r="I501" s="21">
        <f t="shared" si="5"/>
        <v>0</v>
      </c>
      <c r="J501" s="22">
        <f>[1]SUMMARY!N502</f>
        <v>3548</v>
      </c>
      <c r="K501" s="23">
        <f t="shared" si="4"/>
        <v>0</v>
      </c>
      <c r="L501" s="8"/>
      <c r="M501" s="8"/>
    </row>
    <row r="502" spans="1:13" x14ac:dyDescent="0.2">
      <c r="A502" s="17">
        <f>[1]SUMMARY!A503</f>
        <v>265</v>
      </c>
      <c r="B502" s="17">
        <f>[1]SUMMARY!B503</f>
        <v>70</v>
      </c>
      <c r="C502" s="17">
        <f>[1]SUMMARY!C503</f>
        <v>16</v>
      </c>
      <c r="D502" s="25" t="str">
        <f>[1]SUMMARY!D503</f>
        <v>COMFORSER</v>
      </c>
      <c r="E502" s="25" t="str">
        <f>[1]SUMMARY!E503</f>
        <v>CF1100 A/T-S</v>
      </c>
      <c r="F502" s="20"/>
      <c r="G502" s="20">
        <v>4</v>
      </c>
      <c r="H502" s="20">
        <v>4</v>
      </c>
      <c r="I502" s="21">
        <f t="shared" si="5"/>
        <v>0</v>
      </c>
      <c r="J502" s="22">
        <f>[1]SUMMARY!N503</f>
        <v>5180</v>
      </c>
      <c r="K502" s="23">
        <f t="shared" si="4"/>
        <v>0</v>
      </c>
      <c r="L502" s="8"/>
      <c r="M502" s="8"/>
    </row>
    <row r="503" spans="1:13" x14ac:dyDescent="0.2">
      <c r="A503" s="17">
        <f>[1]SUMMARY!A504</f>
        <v>215</v>
      </c>
      <c r="B503" s="17">
        <f>[1]SUMMARY!B504</f>
        <v>40</v>
      </c>
      <c r="C503" s="17">
        <f>[1]SUMMARY!C504</f>
        <v>17</v>
      </c>
      <c r="D503" s="25" t="str">
        <f>[1]SUMMARY!D504</f>
        <v>COMFORSER</v>
      </c>
      <c r="E503" s="25" t="str">
        <f>[1]SUMMARY!E504</f>
        <v>CF700</v>
      </c>
      <c r="F503" s="20"/>
      <c r="G503" s="20"/>
      <c r="H503" s="20"/>
      <c r="I503" s="21">
        <f t="shared" si="5"/>
        <v>0</v>
      </c>
      <c r="J503" s="22">
        <f>[1]SUMMARY!N504</f>
        <v>2543</v>
      </c>
      <c r="K503" s="23">
        <f t="shared" si="4"/>
        <v>0</v>
      </c>
      <c r="L503" s="8"/>
      <c r="M503" s="8"/>
    </row>
    <row r="504" spans="1:13" x14ac:dyDescent="0.2">
      <c r="A504" s="17">
        <f>[1]SUMMARY!A505</f>
        <v>205</v>
      </c>
      <c r="B504" s="17">
        <f>[1]SUMMARY!B505</f>
        <v>45</v>
      </c>
      <c r="C504" s="17">
        <f>[1]SUMMARY!C505</f>
        <v>17</v>
      </c>
      <c r="D504" s="25" t="str">
        <f>[1]SUMMARY!D505</f>
        <v>COMFORSER</v>
      </c>
      <c r="E504" s="25" t="str">
        <f>[1]SUMMARY!E505</f>
        <v>CF700 88W</v>
      </c>
      <c r="F504" s="20"/>
      <c r="G504" s="20">
        <v>10</v>
      </c>
      <c r="H504" s="20">
        <v>10</v>
      </c>
      <c r="I504" s="21">
        <f t="shared" si="5"/>
        <v>0</v>
      </c>
      <c r="J504" s="22">
        <f>[1]SUMMARY!N505</f>
        <v>2331</v>
      </c>
      <c r="K504" s="23">
        <f t="shared" si="4"/>
        <v>0</v>
      </c>
      <c r="L504" s="8"/>
      <c r="M504" s="8"/>
    </row>
    <row r="505" spans="1:13" x14ac:dyDescent="0.2">
      <c r="A505" s="17">
        <f>[1]SUMMARY!A506</f>
        <v>215</v>
      </c>
      <c r="B505" s="17">
        <f>[1]SUMMARY!B506</f>
        <v>45</v>
      </c>
      <c r="C505" s="17">
        <f>[1]SUMMARY!C506</f>
        <v>17</v>
      </c>
      <c r="D505" s="25" t="str">
        <f>[1]SUMMARY!D506</f>
        <v>COMFORSER</v>
      </c>
      <c r="E505" s="25" t="str">
        <f>[1]SUMMARY!E506</f>
        <v>CF700</v>
      </c>
      <c r="F505" s="20"/>
      <c r="G505" s="20">
        <v>8</v>
      </c>
      <c r="H505" s="20">
        <v>8</v>
      </c>
      <c r="I505" s="21">
        <f t="shared" si="5"/>
        <v>0</v>
      </c>
      <c r="J505" s="22">
        <f>[1]SUMMARY!N506</f>
        <v>2329</v>
      </c>
      <c r="K505" s="23">
        <f t="shared" si="4"/>
        <v>0</v>
      </c>
      <c r="L505" s="8"/>
      <c r="M505" s="8"/>
    </row>
    <row r="506" spans="1:13" x14ac:dyDescent="0.2">
      <c r="A506" s="17">
        <f>[1]SUMMARY!A507</f>
        <v>215</v>
      </c>
      <c r="B506" s="17">
        <f>[1]SUMMARY!B507</f>
        <v>50</v>
      </c>
      <c r="C506" s="17">
        <f>[1]SUMMARY!C507</f>
        <v>17</v>
      </c>
      <c r="D506" s="25" t="str">
        <f>[1]SUMMARY!D507</f>
        <v>COMFORSER</v>
      </c>
      <c r="E506" s="25" t="str">
        <f>[1]SUMMARY!E507</f>
        <v>CF710</v>
      </c>
      <c r="F506" s="20"/>
      <c r="G506" s="20">
        <v>4</v>
      </c>
      <c r="H506" s="20">
        <v>4</v>
      </c>
      <c r="I506" s="21">
        <f t="shared" si="5"/>
        <v>0</v>
      </c>
      <c r="J506" s="22">
        <f>[1]SUMMARY!N507</f>
        <v>2583</v>
      </c>
      <c r="K506" s="23">
        <f t="shared" si="4"/>
        <v>0</v>
      </c>
      <c r="L506" s="8"/>
      <c r="M506" s="8"/>
    </row>
    <row r="507" spans="1:13" x14ac:dyDescent="0.2">
      <c r="A507" s="17">
        <f>[1]SUMMARY!A508</f>
        <v>215</v>
      </c>
      <c r="B507" s="17">
        <f>[1]SUMMARY!B508</f>
        <v>55</v>
      </c>
      <c r="C507" s="17">
        <f>[1]SUMMARY!C508</f>
        <v>17</v>
      </c>
      <c r="D507" s="25" t="str">
        <f>[1]SUMMARY!D508</f>
        <v>COMFORSER</v>
      </c>
      <c r="E507" s="25" t="str">
        <f>[1]SUMMARY!E508</f>
        <v>CF710</v>
      </c>
      <c r="F507" s="20"/>
      <c r="G507" s="20">
        <v>4</v>
      </c>
      <c r="H507" s="20">
        <v>4</v>
      </c>
      <c r="I507" s="21">
        <f t="shared" si="5"/>
        <v>0</v>
      </c>
      <c r="J507" s="22">
        <f>[1]SUMMARY!N508</f>
        <v>2637</v>
      </c>
      <c r="K507" s="23">
        <f t="shared" si="4"/>
        <v>0</v>
      </c>
      <c r="L507" s="8"/>
      <c r="M507" s="8"/>
    </row>
    <row r="508" spans="1:13" x14ac:dyDescent="0.2">
      <c r="A508" s="17">
        <f>[1]SUMMARY!A509</f>
        <v>225</v>
      </c>
      <c r="B508" s="17">
        <f>[1]SUMMARY!B509</f>
        <v>60</v>
      </c>
      <c r="C508" s="17">
        <f>[1]SUMMARY!C509</f>
        <v>17</v>
      </c>
      <c r="D508" s="25" t="str">
        <f>[1]SUMMARY!D509</f>
        <v>COMFORSER</v>
      </c>
      <c r="E508" s="25" t="str">
        <f>[1]SUMMARY!E509</f>
        <v xml:space="preserve">CF2000 H/T
</v>
      </c>
      <c r="F508" s="20"/>
      <c r="G508" s="20">
        <v>8</v>
      </c>
      <c r="H508" s="20">
        <v>8</v>
      </c>
      <c r="I508" s="21">
        <f t="shared" si="5"/>
        <v>0</v>
      </c>
      <c r="J508" s="22">
        <f>[1]SUMMARY!N509</f>
        <v>3414</v>
      </c>
      <c r="K508" s="23">
        <f t="shared" si="4"/>
        <v>0</v>
      </c>
      <c r="L508" s="8"/>
      <c r="M508" s="8"/>
    </row>
    <row r="509" spans="1:13" x14ac:dyDescent="0.2">
      <c r="A509" s="17">
        <f>[1]SUMMARY!A510</f>
        <v>235</v>
      </c>
      <c r="B509" s="17">
        <f>[1]SUMMARY!B510</f>
        <v>60</v>
      </c>
      <c r="C509" s="17">
        <f>[1]SUMMARY!C510</f>
        <v>17</v>
      </c>
      <c r="D509" s="25" t="str">
        <f>[1]SUMMARY!D510</f>
        <v>COMFORSER</v>
      </c>
      <c r="E509" s="25" t="str">
        <f>[1]SUMMARY!E510</f>
        <v xml:space="preserve">CF2000 H/T
</v>
      </c>
      <c r="F509" s="20"/>
      <c r="G509" s="20">
        <v>16</v>
      </c>
      <c r="H509" s="20">
        <v>16</v>
      </c>
      <c r="I509" s="21">
        <f t="shared" si="5"/>
        <v>0</v>
      </c>
      <c r="J509" s="22">
        <f>[1]SUMMARY!N510</f>
        <v>3960</v>
      </c>
      <c r="K509" s="23">
        <f t="shared" si="4"/>
        <v>0</v>
      </c>
      <c r="L509" s="8"/>
      <c r="M509" s="8"/>
    </row>
    <row r="510" spans="1:13" x14ac:dyDescent="0.2">
      <c r="A510" s="17">
        <f>[1]SUMMARY!A511</f>
        <v>225</v>
      </c>
      <c r="B510" s="17">
        <f>[1]SUMMARY!B511</f>
        <v>65</v>
      </c>
      <c r="C510" s="17">
        <f>[1]SUMMARY!C511</f>
        <v>17</v>
      </c>
      <c r="D510" s="25" t="str">
        <f>[1]SUMMARY!D511</f>
        <v>COMFORSER</v>
      </c>
      <c r="E510" s="25" t="str">
        <f>[1]SUMMARY!E511</f>
        <v xml:space="preserve">CF2000 H/T
</v>
      </c>
      <c r="F510" s="20"/>
      <c r="G510" s="20">
        <v>4</v>
      </c>
      <c r="H510" s="20">
        <v>4</v>
      </c>
      <c r="I510" s="21">
        <f t="shared" si="5"/>
        <v>0</v>
      </c>
      <c r="J510" s="22">
        <f>[1]SUMMARY!N511</f>
        <v>3303</v>
      </c>
      <c r="K510" s="23">
        <f t="shared" si="4"/>
        <v>0</v>
      </c>
      <c r="L510" s="8"/>
      <c r="M510" s="8"/>
    </row>
    <row r="511" spans="1:13" x14ac:dyDescent="0.2">
      <c r="A511" s="17">
        <f>[1]SUMMARY!A512</f>
        <v>235</v>
      </c>
      <c r="B511" s="17">
        <f>[1]SUMMARY!B512</f>
        <v>65</v>
      </c>
      <c r="C511" s="17">
        <f>[1]SUMMARY!C512</f>
        <v>17</v>
      </c>
      <c r="D511" s="25" t="str">
        <f>[1]SUMMARY!D512</f>
        <v>COMFORSER</v>
      </c>
      <c r="E511" s="25" t="str">
        <f>[1]SUMMARY!E512</f>
        <v>CF2000 H/T</v>
      </c>
      <c r="F511" s="20"/>
      <c r="G511" s="20">
        <v>4</v>
      </c>
      <c r="H511" s="20">
        <v>4</v>
      </c>
      <c r="I511" s="21">
        <f t="shared" si="5"/>
        <v>0</v>
      </c>
      <c r="J511" s="22">
        <f>[1]SUMMARY!N512</f>
        <v>3818</v>
      </c>
      <c r="K511" s="23">
        <f t="shared" si="4"/>
        <v>0</v>
      </c>
      <c r="L511" s="8"/>
      <c r="M511" s="8"/>
    </row>
    <row r="512" spans="1:13" x14ac:dyDescent="0.2">
      <c r="A512" s="17">
        <f>[1]SUMMARY!A513</f>
        <v>265</v>
      </c>
      <c r="B512" s="17">
        <f>[1]SUMMARY!B513</f>
        <v>65</v>
      </c>
      <c r="C512" s="17">
        <f>[1]SUMMARY!C513</f>
        <v>17</v>
      </c>
      <c r="D512" s="25" t="str">
        <f>[1]SUMMARY!D513</f>
        <v>COMFORSER</v>
      </c>
      <c r="E512" s="25" t="str">
        <f>[1]SUMMARY!E513</f>
        <v>CF1100 A/T-S</v>
      </c>
      <c r="F512" s="20"/>
      <c r="G512" s="20">
        <v>5</v>
      </c>
      <c r="H512" s="20">
        <v>5</v>
      </c>
      <c r="I512" s="21">
        <f t="shared" si="5"/>
        <v>0</v>
      </c>
      <c r="J512" s="22">
        <f>[1]SUMMARY!N513</f>
        <v>4498</v>
      </c>
      <c r="K512" s="23">
        <f t="shared" si="4"/>
        <v>0</v>
      </c>
      <c r="L512" s="8"/>
      <c r="M512" s="8"/>
    </row>
    <row r="513" spans="1:13" x14ac:dyDescent="0.2">
      <c r="A513" s="17">
        <f>[1]SUMMARY!A514</f>
        <v>265</v>
      </c>
      <c r="B513" s="17">
        <f>[1]SUMMARY!B514</f>
        <v>70</v>
      </c>
      <c r="C513" s="17">
        <f>[1]SUMMARY!C514</f>
        <v>17</v>
      </c>
      <c r="D513" s="25" t="str">
        <f>[1]SUMMARY!D514</f>
        <v>COMFORSER</v>
      </c>
      <c r="E513" s="25" t="str">
        <f>[1]SUMMARY!E514</f>
        <v>CF1000 A/T 10PR</v>
      </c>
      <c r="F513" s="20"/>
      <c r="G513" s="20">
        <v>24</v>
      </c>
      <c r="H513" s="20">
        <v>24</v>
      </c>
      <c r="I513" s="21">
        <f t="shared" si="5"/>
        <v>0</v>
      </c>
      <c r="J513" s="22">
        <f>[1]SUMMARY!N514</f>
        <v>5330</v>
      </c>
      <c r="K513" s="23">
        <f t="shared" si="4"/>
        <v>0</v>
      </c>
      <c r="L513" s="8"/>
      <c r="M513" s="8"/>
    </row>
    <row r="514" spans="1:13" x14ac:dyDescent="0.2">
      <c r="A514" s="17">
        <f>[1]SUMMARY!A515</f>
        <v>285</v>
      </c>
      <c r="B514" s="17">
        <f>[1]SUMMARY!B515</f>
        <v>70</v>
      </c>
      <c r="C514" s="17">
        <f>[1]SUMMARY!C515</f>
        <v>17</v>
      </c>
      <c r="D514" s="25" t="str">
        <f>[1]SUMMARY!D515</f>
        <v>COMFORSER</v>
      </c>
      <c r="E514" s="25" t="str">
        <f>[1]SUMMARY!E515</f>
        <v>CF1000 A/T 10PR</v>
      </c>
      <c r="F514" s="20"/>
      <c r="G514" s="20"/>
      <c r="H514" s="20"/>
      <c r="I514" s="21">
        <f t="shared" si="5"/>
        <v>0</v>
      </c>
      <c r="J514" s="22">
        <f>[1]SUMMARY!N515</f>
        <v>6384</v>
      </c>
      <c r="K514" s="23">
        <f t="shared" si="4"/>
        <v>0</v>
      </c>
      <c r="L514" s="8"/>
      <c r="M514" s="8"/>
    </row>
    <row r="515" spans="1:13" x14ac:dyDescent="0.2">
      <c r="A515" s="17">
        <f>[1]SUMMARY!A516</f>
        <v>265</v>
      </c>
      <c r="B515" s="17">
        <f>[1]SUMMARY!B516</f>
        <v>70</v>
      </c>
      <c r="C515" s="17">
        <f>[1]SUMMARY!C516</f>
        <v>17</v>
      </c>
      <c r="D515" s="25" t="str">
        <f>[1]SUMMARY!D516</f>
        <v>COMFORSER</v>
      </c>
      <c r="E515" s="25" t="str">
        <f>[1]SUMMARY!E516</f>
        <v>CF3000</v>
      </c>
      <c r="F515" s="20"/>
      <c r="G515" s="20"/>
      <c r="H515" s="20"/>
      <c r="I515" s="21">
        <f t="shared" si="5"/>
        <v>0</v>
      </c>
      <c r="J515" s="22">
        <f>[1]SUMMARY!N516</f>
        <v>8000</v>
      </c>
      <c r="K515" s="23">
        <f t="shared" si="4"/>
        <v>0</v>
      </c>
      <c r="L515" s="8"/>
      <c r="M515" s="8"/>
    </row>
    <row r="516" spans="1:13" x14ac:dyDescent="0.2">
      <c r="A516" s="17">
        <f>[1]SUMMARY!A517</f>
        <v>285</v>
      </c>
      <c r="B516" s="17">
        <f>[1]SUMMARY!B517</f>
        <v>70</v>
      </c>
      <c r="C516" s="17">
        <f>[1]SUMMARY!C517</f>
        <v>17</v>
      </c>
      <c r="D516" s="25" t="str">
        <f>[1]SUMMARY!D517</f>
        <v>COMFORSER</v>
      </c>
      <c r="E516" s="25" t="str">
        <f>[1]SUMMARY!E517</f>
        <v>CF3000 M/T 8PR</v>
      </c>
      <c r="F516" s="20"/>
      <c r="G516" s="20">
        <v>6</v>
      </c>
      <c r="H516" s="20">
        <v>6</v>
      </c>
      <c r="I516" s="21">
        <f t="shared" si="5"/>
        <v>0</v>
      </c>
      <c r="J516" s="22">
        <f>[1]SUMMARY!N517</f>
        <v>7286</v>
      </c>
      <c r="K516" s="23">
        <f t="shared" si="4"/>
        <v>0</v>
      </c>
      <c r="L516" s="8"/>
      <c r="M516" s="8"/>
    </row>
    <row r="517" spans="1:13" x14ac:dyDescent="0.2">
      <c r="A517" s="17">
        <f>[1]SUMMARY!A518</f>
        <v>295</v>
      </c>
      <c r="B517" s="17">
        <f>[1]SUMMARY!B518</f>
        <v>70</v>
      </c>
      <c r="C517" s="17">
        <f>[1]SUMMARY!C518</f>
        <v>17</v>
      </c>
      <c r="D517" s="25" t="str">
        <f>[1]SUMMARY!D518</f>
        <v>COMFORSER</v>
      </c>
      <c r="E517" s="25" t="str">
        <f>[1]SUMMARY!E518</f>
        <v>CF9000 R/T</v>
      </c>
      <c r="F517" s="20"/>
      <c r="G517" s="20">
        <v>12</v>
      </c>
      <c r="H517" s="20">
        <v>12</v>
      </c>
      <c r="I517" s="30">
        <f t="shared" si="5"/>
        <v>0</v>
      </c>
      <c r="J517" s="22">
        <f>[1]SUMMARY!N518</f>
        <v>8870.4</v>
      </c>
      <c r="K517" s="23">
        <f t="shared" si="4"/>
        <v>0</v>
      </c>
      <c r="L517" s="8"/>
      <c r="M517" s="8"/>
    </row>
    <row r="518" spans="1:13" x14ac:dyDescent="0.2">
      <c r="A518" s="17">
        <f>[1]SUMMARY!A519</f>
        <v>225</v>
      </c>
      <c r="B518" s="17">
        <f>[1]SUMMARY!B519</f>
        <v>40</v>
      </c>
      <c r="C518" s="17">
        <f>[1]SUMMARY!C519</f>
        <v>18</v>
      </c>
      <c r="D518" s="25" t="str">
        <f>[1]SUMMARY!D519</f>
        <v>COMFORSER</v>
      </c>
      <c r="E518" s="25" t="str">
        <f>[1]SUMMARY!E519</f>
        <v>CF700</v>
      </c>
      <c r="F518" s="20"/>
      <c r="G518" s="20">
        <v>4</v>
      </c>
      <c r="H518" s="20">
        <v>4</v>
      </c>
      <c r="I518" s="21">
        <f t="shared" si="5"/>
        <v>0</v>
      </c>
      <c r="J518" s="22">
        <f>[1]SUMMARY!N519</f>
        <v>2685</v>
      </c>
      <c r="K518" s="23">
        <f t="shared" si="4"/>
        <v>0</v>
      </c>
      <c r="L518" s="8"/>
      <c r="M518" s="8"/>
    </row>
    <row r="519" spans="1:13" x14ac:dyDescent="0.2">
      <c r="A519" s="17">
        <f>[1]SUMMARY!A520</f>
        <v>235</v>
      </c>
      <c r="B519" s="17">
        <f>[1]SUMMARY!B520</f>
        <v>50</v>
      </c>
      <c r="C519" s="17">
        <f>[1]SUMMARY!C520</f>
        <v>18</v>
      </c>
      <c r="D519" s="25" t="str">
        <f>[1]SUMMARY!D520</f>
        <v>COMFORSER</v>
      </c>
      <c r="E519" s="25" t="str">
        <f>[1]SUMMARY!E520</f>
        <v xml:space="preserve">CF2000 H/T </v>
      </c>
      <c r="F519" s="20"/>
      <c r="G519" s="20">
        <v>12</v>
      </c>
      <c r="H519" s="20">
        <v>12</v>
      </c>
      <c r="I519" s="21">
        <f t="shared" si="5"/>
        <v>0</v>
      </c>
      <c r="J519" s="22">
        <f>[1]SUMMARY!N520</f>
        <v>3660</v>
      </c>
      <c r="K519" s="23">
        <f t="shared" si="4"/>
        <v>0</v>
      </c>
      <c r="L519" s="8"/>
      <c r="M519" s="8"/>
    </row>
    <row r="520" spans="1:13" x14ac:dyDescent="0.2">
      <c r="A520" s="17">
        <f>[1]SUMMARY!A521</f>
        <v>235</v>
      </c>
      <c r="B520" s="17">
        <f>[1]SUMMARY!B521</f>
        <v>55</v>
      </c>
      <c r="C520" s="17">
        <f>[1]SUMMARY!C521</f>
        <v>18</v>
      </c>
      <c r="D520" s="25" t="str">
        <f>[1]SUMMARY!D521</f>
        <v>COMFORSER</v>
      </c>
      <c r="E520" s="25" t="str">
        <f>[1]SUMMARY!E521</f>
        <v>CF2000 H/T</v>
      </c>
      <c r="F520" s="20"/>
      <c r="G520" s="20">
        <v>4</v>
      </c>
      <c r="H520" s="20">
        <v>4</v>
      </c>
      <c r="I520" s="21">
        <f t="shared" si="5"/>
        <v>0</v>
      </c>
      <c r="J520" s="22">
        <f>[1]SUMMARY!N521</f>
        <v>3897</v>
      </c>
      <c r="K520" s="23">
        <f t="shared" si="4"/>
        <v>0</v>
      </c>
      <c r="L520" s="8"/>
      <c r="M520" s="8"/>
    </row>
    <row r="521" spans="1:13" x14ac:dyDescent="0.2">
      <c r="A521" s="17">
        <f>[1]SUMMARY!A522</f>
        <v>255</v>
      </c>
      <c r="B521" s="17">
        <f>[1]SUMMARY!B522</f>
        <v>60</v>
      </c>
      <c r="C521" s="17">
        <f>[1]SUMMARY!C522</f>
        <v>18</v>
      </c>
      <c r="D521" s="25" t="str">
        <f>[1]SUMMARY!D522</f>
        <v>COMFORSER</v>
      </c>
      <c r="E521" s="25" t="str">
        <f>[1]SUMMARY!E522</f>
        <v>CF1000 A/T</v>
      </c>
      <c r="F521" s="20"/>
      <c r="G521" s="20">
        <v>4</v>
      </c>
      <c r="H521" s="20">
        <v>4</v>
      </c>
      <c r="I521" s="21">
        <f t="shared" si="5"/>
        <v>0</v>
      </c>
      <c r="J521" s="22">
        <f>[1]SUMMARY!N522</f>
        <v>4974</v>
      </c>
      <c r="K521" s="23">
        <f t="shared" si="4"/>
        <v>0</v>
      </c>
      <c r="L521" s="8"/>
      <c r="M521" s="8"/>
    </row>
    <row r="522" spans="1:13" x14ac:dyDescent="0.2">
      <c r="A522" s="17">
        <f>[1]SUMMARY!A523</f>
        <v>235</v>
      </c>
      <c r="B522" s="17">
        <f>[1]SUMMARY!B523</f>
        <v>60</v>
      </c>
      <c r="C522" s="17">
        <f>[1]SUMMARY!C523</f>
        <v>18</v>
      </c>
      <c r="D522" s="25" t="str">
        <f>[1]SUMMARY!D523</f>
        <v>COMFORSER</v>
      </c>
      <c r="E522" s="25" t="str">
        <f>[1]SUMMARY!E523</f>
        <v xml:space="preserve">CF2000 H/T
</v>
      </c>
      <c r="F522" s="20"/>
      <c r="G522" s="20">
        <v>14</v>
      </c>
      <c r="H522" s="20">
        <v>14</v>
      </c>
      <c r="I522" s="21">
        <f t="shared" si="5"/>
        <v>0</v>
      </c>
      <c r="J522" s="22">
        <f>[1]SUMMARY!N523</f>
        <v>3842</v>
      </c>
      <c r="K522" s="23">
        <f t="shared" si="4"/>
        <v>0</v>
      </c>
      <c r="L522" s="8"/>
      <c r="M522" s="8"/>
    </row>
    <row r="523" spans="1:13" x14ac:dyDescent="0.2">
      <c r="A523" s="17">
        <f>[1]SUMMARY!A524</f>
        <v>265</v>
      </c>
      <c r="B523" s="17">
        <f>[1]SUMMARY!B524</f>
        <v>60</v>
      </c>
      <c r="C523" s="17">
        <f>[1]SUMMARY!C524</f>
        <v>18</v>
      </c>
      <c r="D523" s="25" t="str">
        <f>[1]SUMMARY!D524</f>
        <v>COMFORSER</v>
      </c>
      <c r="E523" s="25" t="str">
        <f>[1]SUMMARY!E524</f>
        <v>CF2000 H/T</v>
      </c>
      <c r="F523" s="20"/>
      <c r="G523" s="20">
        <v>8</v>
      </c>
      <c r="H523" s="20">
        <v>8</v>
      </c>
      <c r="I523" s="21">
        <f t="shared" si="5"/>
        <v>0</v>
      </c>
      <c r="J523" s="22">
        <f>[1]SUMMARY!N524</f>
        <v>4617</v>
      </c>
      <c r="K523" s="23">
        <f t="shared" si="4"/>
        <v>0</v>
      </c>
      <c r="L523" s="8"/>
      <c r="M523" s="8"/>
    </row>
    <row r="524" spans="1:13" x14ac:dyDescent="0.2">
      <c r="A524" s="17">
        <f>[1]SUMMARY!A525</f>
        <v>275</v>
      </c>
      <c r="B524" s="17">
        <f>[1]SUMMARY!B525</f>
        <v>65</v>
      </c>
      <c r="C524" s="17">
        <f>[1]SUMMARY!C525</f>
        <v>18</v>
      </c>
      <c r="D524" s="25" t="str">
        <f>[1]SUMMARY!D525</f>
        <v>COMFORSER</v>
      </c>
      <c r="E524" s="25" t="str">
        <f>[1]SUMMARY!E525</f>
        <v>CF1100 A/T-S 10PR</v>
      </c>
      <c r="F524" s="20"/>
      <c r="G524" s="20">
        <v>4</v>
      </c>
      <c r="H524" s="20">
        <v>4</v>
      </c>
      <c r="I524" s="21">
        <f t="shared" si="5"/>
        <v>0</v>
      </c>
      <c r="J524" s="22">
        <f>[1]SUMMARY!N525</f>
        <v>3749</v>
      </c>
      <c r="K524" s="23">
        <f t="shared" si="4"/>
        <v>0</v>
      </c>
      <c r="L524" s="8"/>
      <c r="M524" s="8"/>
    </row>
    <row r="525" spans="1:13" x14ac:dyDescent="0.2">
      <c r="A525" s="17">
        <f>[1]SUMMARY!A526</f>
        <v>275</v>
      </c>
      <c r="B525" s="17">
        <f>[1]SUMMARY!B526</f>
        <v>65</v>
      </c>
      <c r="C525" s="17">
        <f>[1]SUMMARY!C526</f>
        <v>18</v>
      </c>
      <c r="D525" s="25" t="str">
        <f>[1]SUMMARY!D526</f>
        <v>COMFORSER</v>
      </c>
      <c r="E525" s="25" t="str">
        <f>[1]SUMMARY!E526</f>
        <v>CF3000 M/T</v>
      </c>
      <c r="F525" s="20"/>
      <c r="G525" s="20"/>
      <c r="H525" s="20"/>
      <c r="I525" s="21">
        <f t="shared" si="5"/>
        <v>0</v>
      </c>
      <c r="J525" s="22">
        <f>[1]SUMMARY!N526</f>
        <v>7682</v>
      </c>
      <c r="K525" s="23">
        <f t="shared" si="4"/>
        <v>0</v>
      </c>
      <c r="L525" s="8"/>
      <c r="M525" s="8"/>
    </row>
    <row r="526" spans="1:13" x14ac:dyDescent="0.2">
      <c r="A526" s="17">
        <f>[1]SUMMARY!A527</f>
        <v>35</v>
      </c>
      <c r="B526" s="17">
        <f>[1]SUMMARY!B527</f>
        <v>12.5</v>
      </c>
      <c r="C526" s="17">
        <f>[1]SUMMARY!C527</f>
        <v>18</v>
      </c>
      <c r="D526" s="25" t="str">
        <f>[1]SUMMARY!D527</f>
        <v>COMFORSER</v>
      </c>
      <c r="E526" s="25" t="str">
        <f>[1]SUMMARY!E527</f>
        <v>CF3000 M/T 10PR L/R</v>
      </c>
      <c r="F526" s="20"/>
      <c r="G526" s="20"/>
      <c r="H526" s="20"/>
      <c r="I526" s="21">
        <f t="shared" si="5"/>
        <v>0</v>
      </c>
      <c r="J526" s="22">
        <f>[1]SUMMARY!N527</f>
        <v>9742</v>
      </c>
      <c r="K526" s="23">
        <f t="shared" si="4"/>
        <v>0</v>
      </c>
      <c r="L526" s="8"/>
      <c r="M526" s="8"/>
    </row>
    <row r="527" spans="1:13" x14ac:dyDescent="0.2">
      <c r="A527" s="17">
        <f>[1]SUMMARY!A528</f>
        <v>33</v>
      </c>
      <c r="B527" s="17">
        <f>[1]SUMMARY!B528</f>
        <v>12.5</v>
      </c>
      <c r="C527" s="17">
        <f>[1]SUMMARY!C528</f>
        <v>20</v>
      </c>
      <c r="D527" s="25" t="str">
        <f>[1]SUMMARY!D528</f>
        <v>COMFORSER</v>
      </c>
      <c r="E527" s="25" t="str">
        <f>[1]SUMMARY!E528</f>
        <v>CF3000 MT L/R</v>
      </c>
      <c r="F527" s="20"/>
      <c r="G527" s="20"/>
      <c r="H527" s="20"/>
      <c r="I527" s="21">
        <f t="shared" si="5"/>
        <v>0</v>
      </c>
      <c r="J527" s="22">
        <f>[1]SUMMARY!N528</f>
        <v>8553.6</v>
      </c>
      <c r="K527" s="23">
        <f t="shared" si="4"/>
        <v>0</v>
      </c>
      <c r="L527" s="8"/>
      <c r="M527" s="8"/>
    </row>
    <row r="528" spans="1:13" x14ac:dyDescent="0.2">
      <c r="A528" s="17">
        <f>[1]SUMMARY!A529</f>
        <v>265</v>
      </c>
      <c r="B528" s="17">
        <f>[1]SUMMARY!B529</f>
        <v>50</v>
      </c>
      <c r="C528" s="17">
        <f>[1]SUMMARY!C529</f>
        <v>20</v>
      </c>
      <c r="D528" s="25" t="str">
        <f>[1]SUMMARY!D529</f>
        <v>COMFORSER</v>
      </c>
      <c r="E528" s="25" t="str">
        <f>[1]SUMMARY!E529</f>
        <v>CF1100 A/T</v>
      </c>
      <c r="F528" s="20"/>
      <c r="G528" s="20">
        <v>4</v>
      </c>
      <c r="H528" s="20">
        <v>4</v>
      </c>
      <c r="I528" s="21">
        <f t="shared" si="5"/>
        <v>0</v>
      </c>
      <c r="J528" s="22">
        <f>[1]SUMMARY!N529</f>
        <v>4839</v>
      </c>
      <c r="K528" s="23">
        <f t="shared" si="4"/>
        <v>0</v>
      </c>
      <c r="L528" s="28">
        <f>SUM(K465:K528)</f>
        <v>10484</v>
      </c>
      <c r="M528" s="29" t="s">
        <v>24</v>
      </c>
    </row>
    <row r="529" spans="1:13" x14ac:dyDescent="0.2">
      <c r="A529" s="17" t="str">
        <f>[1]SUMMARY!A530</f>
        <v>205</v>
      </c>
      <c r="B529" s="17">
        <f>[1]SUMMARY!B530</f>
        <v>65</v>
      </c>
      <c r="C529" s="17">
        <f>[1]SUMMARY!C530</f>
        <v>15</v>
      </c>
      <c r="D529" s="25" t="str">
        <f>[1]SUMMARY!D530</f>
        <v>COOPER</v>
      </c>
      <c r="E529" s="25" t="str">
        <f>[1]SUMMARY!E530</f>
        <v>EVOLUTION C5</v>
      </c>
      <c r="F529" s="20">
        <v>4</v>
      </c>
      <c r="G529" s="20"/>
      <c r="H529" s="20">
        <v>4</v>
      </c>
      <c r="I529" s="21">
        <f t="shared" si="5"/>
        <v>0</v>
      </c>
      <c r="J529" s="22">
        <f>[1]SUMMARY!N530</f>
        <v>2792</v>
      </c>
      <c r="K529" s="23">
        <f t="shared" si="4"/>
        <v>0</v>
      </c>
      <c r="L529" s="8"/>
      <c r="M529" s="8"/>
    </row>
    <row r="530" spans="1:13" x14ac:dyDescent="0.2">
      <c r="A530" s="17" t="str">
        <f>[1]SUMMARY!A531</f>
        <v>235</v>
      </c>
      <c r="B530" s="17">
        <f>[1]SUMMARY!B531</f>
        <v>70</v>
      </c>
      <c r="C530" s="17">
        <f>[1]SUMMARY!C531</f>
        <v>15</v>
      </c>
      <c r="D530" s="25" t="str">
        <f>[1]SUMMARY!D531</f>
        <v>COOPER</v>
      </c>
      <c r="E530" s="25" t="str">
        <f>[1]SUMMARY!E531</f>
        <v>COBRA G/T</v>
      </c>
      <c r="F530" s="20"/>
      <c r="G530" s="20"/>
      <c r="H530" s="20"/>
      <c r="I530" s="21">
        <f t="shared" si="5"/>
        <v>0</v>
      </c>
      <c r="J530" s="22">
        <f>[1]SUMMARY!N531</f>
        <v>5423</v>
      </c>
      <c r="K530" s="23">
        <f t="shared" si="4"/>
        <v>0</v>
      </c>
      <c r="L530" s="8"/>
      <c r="M530" s="8"/>
    </row>
    <row r="531" spans="1:13" x14ac:dyDescent="0.2">
      <c r="A531" s="17" t="str">
        <f>[1]SUMMARY!A532</f>
        <v>205</v>
      </c>
      <c r="B531" s="17">
        <f>[1]SUMMARY!B532</f>
        <v>55</v>
      </c>
      <c r="C531" s="17">
        <f>[1]SUMMARY!C532</f>
        <v>16</v>
      </c>
      <c r="D531" s="25" t="str">
        <f>[1]SUMMARY!D532</f>
        <v>COOPER</v>
      </c>
      <c r="E531" s="25" t="str">
        <f>[1]SUMMARY!E532</f>
        <v>ZEON RS3-G1</v>
      </c>
      <c r="F531" s="20"/>
      <c r="G531" s="20"/>
      <c r="H531" s="20"/>
      <c r="I531" s="21">
        <f t="shared" si="5"/>
        <v>0</v>
      </c>
      <c r="J531" s="22">
        <f>[1]SUMMARY!N532</f>
        <v>2951</v>
      </c>
      <c r="K531" s="23">
        <f t="shared" si="4"/>
        <v>0</v>
      </c>
      <c r="L531" s="8"/>
      <c r="M531" s="8"/>
    </row>
    <row r="532" spans="1:13" x14ac:dyDescent="0.2">
      <c r="A532" s="17" t="str">
        <f>[1]SUMMARY!A533</f>
        <v>205</v>
      </c>
      <c r="B532" s="17">
        <f>[1]SUMMARY!B533</f>
        <v>45</v>
      </c>
      <c r="C532" s="17">
        <f>[1]SUMMARY!C533</f>
        <v>17</v>
      </c>
      <c r="D532" s="25" t="str">
        <f>[1]SUMMARY!D533</f>
        <v>COOPER</v>
      </c>
      <c r="E532" s="25" t="str">
        <f>[1]SUMMARY!E533</f>
        <v>ZEON RS3-G1</v>
      </c>
      <c r="F532" s="20"/>
      <c r="G532" s="20"/>
      <c r="H532" s="20"/>
      <c r="I532" s="21">
        <f t="shared" si="5"/>
        <v>0</v>
      </c>
      <c r="J532" s="22">
        <f>[1]SUMMARY!N533</f>
        <v>3111</v>
      </c>
      <c r="K532" s="23">
        <f t="shared" si="4"/>
        <v>0</v>
      </c>
      <c r="L532" s="8"/>
      <c r="M532" s="8"/>
    </row>
    <row r="533" spans="1:13" x14ac:dyDescent="0.2">
      <c r="A533" s="17" t="str">
        <f>[1]SUMMARY!A534</f>
        <v>265</v>
      </c>
      <c r="B533" s="17">
        <f>[1]SUMMARY!B534</f>
        <v>65</v>
      </c>
      <c r="C533" s="17">
        <f>[1]SUMMARY!C534</f>
        <v>17</v>
      </c>
      <c r="D533" s="25" t="str">
        <f>[1]SUMMARY!D534</f>
        <v>COOPER</v>
      </c>
      <c r="E533" s="25" t="str">
        <f>[1]SUMMARY!E534</f>
        <v>DISCOVERER AT3 4S</v>
      </c>
      <c r="F533" s="20">
        <v>4</v>
      </c>
      <c r="G533" s="20">
        <v>21</v>
      </c>
      <c r="H533" s="20">
        <v>25</v>
      </c>
      <c r="I533" s="21">
        <f t="shared" si="5"/>
        <v>0</v>
      </c>
      <c r="J533" s="22">
        <f>[1]SUMMARY!N534</f>
        <v>10086.290000000001</v>
      </c>
      <c r="K533" s="23">
        <f t="shared" si="4"/>
        <v>0</v>
      </c>
      <c r="L533" s="8"/>
      <c r="M533" s="8"/>
    </row>
    <row r="534" spans="1:13" x14ac:dyDescent="0.2">
      <c r="A534" s="17" t="str">
        <f>[1]SUMMARY!A535</f>
        <v>265</v>
      </c>
      <c r="B534" s="17">
        <f>[1]SUMMARY!B535</f>
        <v>70</v>
      </c>
      <c r="C534" s="17">
        <f>[1]SUMMARY!C535</f>
        <v>16</v>
      </c>
      <c r="D534" s="25" t="str">
        <f>[1]SUMMARY!D535</f>
        <v>COOPER</v>
      </c>
      <c r="E534" s="25" t="str">
        <f>[1]SUMMARY!E535</f>
        <v>DISCOVERER AT3 OWL</v>
      </c>
      <c r="F534" s="20"/>
      <c r="G534" s="20">
        <v>4</v>
      </c>
      <c r="H534" s="20">
        <v>4</v>
      </c>
      <c r="I534" s="21">
        <f t="shared" si="5"/>
        <v>0</v>
      </c>
      <c r="J534" s="22">
        <f>[1]SUMMARY!N535</f>
        <v>11100.72</v>
      </c>
      <c r="K534" s="23">
        <f t="shared" si="4"/>
        <v>0</v>
      </c>
      <c r="L534" s="8"/>
      <c r="M534" s="8"/>
    </row>
    <row r="535" spans="1:13" x14ac:dyDescent="0.2">
      <c r="A535" s="17" t="str">
        <f>[1]SUMMARY!A536</f>
        <v>265</v>
      </c>
      <c r="B535" s="17">
        <f>[1]SUMMARY!B536</f>
        <v>70</v>
      </c>
      <c r="C535" s="17">
        <f>[1]SUMMARY!C536</f>
        <v>17</v>
      </c>
      <c r="D535" s="25" t="str">
        <f>[1]SUMMARY!D536</f>
        <v>COOPER</v>
      </c>
      <c r="E535" s="25" t="str">
        <f>[1]SUMMARY!E536</f>
        <v>EVO H/T</v>
      </c>
      <c r="F535" s="20"/>
      <c r="G535" s="20"/>
      <c r="H535" s="20"/>
      <c r="I535" s="21">
        <f t="shared" si="5"/>
        <v>0</v>
      </c>
      <c r="J535" s="22">
        <f>[1]SUMMARY!N536</f>
        <v>8260</v>
      </c>
      <c r="K535" s="23">
        <f t="shared" si="4"/>
        <v>0</v>
      </c>
      <c r="L535" s="8"/>
      <c r="M535" s="8"/>
    </row>
    <row r="536" spans="1:13" x14ac:dyDescent="0.2">
      <c r="A536" s="17" t="str">
        <f>[1]SUMMARY!A537</f>
        <v>265</v>
      </c>
      <c r="B536" s="17">
        <f>[1]SUMMARY!B537</f>
        <v>70</v>
      </c>
      <c r="C536" s="17">
        <f>[1]SUMMARY!C537</f>
        <v>17</v>
      </c>
      <c r="D536" s="25" t="str">
        <f>[1]SUMMARY!D537</f>
        <v>COOPER</v>
      </c>
      <c r="E536" s="25" t="str">
        <f>[1]SUMMARY!E537</f>
        <v>DISCOV AT3 4S</v>
      </c>
      <c r="F536" s="20"/>
      <c r="G536" s="20">
        <v>4</v>
      </c>
      <c r="H536" s="20">
        <v>4</v>
      </c>
      <c r="I536" s="21">
        <f t="shared" si="5"/>
        <v>0</v>
      </c>
      <c r="J536" s="22">
        <f>[1]SUMMARY!N537</f>
        <v>11085.42</v>
      </c>
      <c r="K536" s="23">
        <f t="shared" si="4"/>
        <v>0</v>
      </c>
      <c r="L536" s="8"/>
      <c r="M536" s="8"/>
    </row>
    <row r="537" spans="1:13" x14ac:dyDescent="0.2">
      <c r="A537" s="17" t="str">
        <f>[1]SUMMARY!A538</f>
        <v>265</v>
      </c>
      <c r="B537" s="17">
        <f>[1]SUMMARY!B538</f>
        <v>70</v>
      </c>
      <c r="C537" s="17">
        <f>[1]SUMMARY!C538</f>
        <v>17</v>
      </c>
      <c r="D537" s="25" t="str">
        <f>[1]SUMMARY!D538</f>
        <v>COOPER</v>
      </c>
      <c r="E537" s="25" t="str">
        <f>[1]SUMMARY!E538</f>
        <v>DISCOVERER STT PRO 10PR</v>
      </c>
      <c r="F537" s="20"/>
      <c r="G537" s="20">
        <v>5</v>
      </c>
      <c r="H537" s="20">
        <v>5</v>
      </c>
      <c r="I537" s="21">
        <f t="shared" si="5"/>
        <v>0</v>
      </c>
      <c r="J537" s="22">
        <f>[1]SUMMARY!N538</f>
        <v>15488.11</v>
      </c>
      <c r="K537" s="23">
        <f t="shared" si="4"/>
        <v>0</v>
      </c>
      <c r="L537" s="8"/>
      <c r="M537" s="8"/>
    </row>
    <row r="538" spans="1:13" x14ac:dyDescent="0.2">
      <c r="A538" s="17" t="str">
        <f>[1]SUMMARY!A539</f>
        <v>265</v>
      </c>
      <c r="B538" s="17">
        <f>[1]SUMMARY!B539</f>
        <v>70</v>
      </c>
      <c r="C538" s="17">
        <f>[1]SUMMARY!C539</f>
        <v>17</v>
      </c>
      <c r="D538" s="25" t="str">
        <f>[1]SUMMARY!D539</f>
        <v>COOPER</v>
      </c>
      <c r="E538" s="25" t="str">
        <f>[1]SUMMARY!E539</f>
        <v>ROAD TRAIL AT</v>
      </c>
      <c r="F538" s="20"/>
      <c r="G538" s="20">
        <v>10</v>
      </c>
      <c r="H538" s="20">
        <v>8</v>
      </c>
      <c r="I538" s="43">
        <f t="shared" si="5"/>
        <v>2</v>
      </c>
      <c r="J538" s="22">
        <f>[1]SUMMARY!N539</f>
        <v>11514</v>
      </c>
      <c r="K538" s="23">
        <f t="shared" si="4"/>
        <v>23028</v>
      </c>
      <c r="L538" s="8"/>
      <c r="M538" s="8"/>
    </row>
    <row r="539" spans="1:13" x14ac:dyDescent="0.2">
      <c r="A539" s="17" t="str">
        <f>[1]SUMMARY!A540</f>
        <v>285</v>
      </c>
      <c r="B539" s="17">
        <f>[1]SUMMARY!B540</f>
        <v>70</v>
      </c>
      <c r="C539" s="17">
        <f>[1]SUMMARY!C540</f>
        <v>17</v>
      </c>
      <c r="D539" s="25" t="str">
        <f>[1]SUMMARY!D540</f>
        <v>COOPER</v>
      </c>
      <c r="E539" s="25" t="str">
        <f>[1]SUMMARY!E540</f>
        <v>STT PRO 10PR</v>
      </c>
      <c r="F539" s="20"/>
      <c r="G539" s="20">
        <v>17</v>
      </c>
      <c r="H539" s="20">
        <v>17</v>
      </c>
      <c r="I539" s="21">
        <f t="shared" si="5"/>
        <v>0</v>
      </c>
      <c r="J539" s="22">
        <f>[1]SUMMARY!N540</f>
        <v>15566.61</v>
      </c>
      <c r="K539" s="23">
        <f t="shared" si="4"/>
        <v>0</v>
      </c>
      <c r="L539" s="8"/>
      <c r="M539" s="8"/>
    </row>
    <row r="540" spans="1:13" x14ac:dyDescent="0.2">
      <c r="A540" s="17" t="str">
        <f>[1]SUMMARY!A541</f>
        <v>295</v>
      </c>
      <c r="B540" s="17">
        <f>[1]SUMMARY!B541</f>
        <v>70</v>
      </c>
      <c r="C540" s="17">
        <f>[1]SUMMARY!C541</f>
        <v>17</v>
      </c>
      <c r="D540" s="25" t="str">
        <f>[1]SUMMARY!D541</f>
        <v>COOPER</v>
      </c>
      <c r="E540" s="25" t="str">
        <f>[1]SUMMARY!E541</f>
        <v>STT PRO</v>
      </c>
      <c r="F540" s="20"/>
      <c r="G540" s="20"/>
      <c r="H540" s="20"/>
      <c r="I540" s="21">
        <f t="shared" si="5"/>
        <v>0</v>
      </c>
      <c r="J540" s="22">
        <f>[1]SUMMARY!N541</f>
        <v>17244.400000000001</v>
      </c>
      <c r="K540" s="23">
        <f t="shared" si="4"/>
        <v>0</v>
      </c>
      <c r="L540" s="8"/>
      <c r="M540" s="8"/>
    </row>
    <row r="541" spans="1:13" x14ac:dyDescent="0.2">
      <c r="A541" s="17" t="str">
        <f>[1]SUMMARY!A542</f>
        <v>37</v>
      </c>
      <c r="B541" s="17">
        <f>[1]SUMMARY!B542</f>
        <v>12.5</v>
      </c>
      <c r="C541" s="17">
        <f>[1]SUMMARY!C542</f>
        <v>17</v>
      </c>
      <c r="D541" s="25" t="str">
        <f>[1]SUMMARY!D542</f>
        <v>COOPER</v>
      </c>
      <c r="E541" s="25" t="str">
        <f>[1]SUMMARY!E542</f>
        <v>RUGGED TREK</v>
      </c>
      <c r="F541" s="20"/>
      <c r="G541" s="20"/>
      <c r="H541" s="20"/>
      <c r="I541" s="21">
        <f t="shared" si="5"/>
        <v>0</v>
      </c>
      <c r="J541" s="22">
        <f>[1]SUMMARY!N542</f>
        <v>21400</v>
      </c>
      <c r="K541" s="23">
        <f t="shared" si="4"/>
        <v>0</v>
      </c>
      <c r="L541" s="8"/>
      <c r="M541" s="8"/>
    </row>
    <row r="542" spans="1:13" x14ac:dyDescent="0.2">
      <c r="A542" s="17" t="str">
        <f>[1]SUMMARY!A543</f>
        <v>235</v>
      </c>
      <c r="B542" s="17">
        <f>[1]SUMMARY!B543</f>
        <v>40</v>
      </c>
      <c r="C542" s="17">
        <f>[1]SUMMARY!C543</f>
        <v>18</v>
      </c>
      <c r="D542" s="25" t="str">
        <f>[1]SUMMARY!D543</f>
        <v>COOPER</v>
      </c>
      <c r="E542" s="25" t="str">
        <f>[1]SUMMARY!E543</f>
        <v>ZEON RS3</v>
      </c>
      <c r="F542" s="20">
        <v>3</v>
      </c>
      <c r="G542" s="20">
        <v>4</v>
      </c>
      <c r="H542" s="20">
        <v>7</v>
      </c>
      <c r="I542" s="21">
        <f t="shared" si="5"/>
        <v>0</v>
      </c>
      <c r="J542" s="22">
        <f>[1]SUMMARY!N543</f>
        <v>3829</v>
      </c>
      <c r="K542" s="23">
        <f t="shared" si="4"/>
        <v>0</v>
      </c>
      <c r="L542" s="8"/>
      <c r="M542" s="8"/>
    </row>
    <row r="543" spans="1:13" x14ac:dyDescent="0.2">
      <c r="A543" s="17" t="str">
        <f>[1]SUMMARY!A544</f>
        <v>225</v>
      </c>
      <c r="B543" s="17">
        <f>[1]SUMMARY!B544</f>
        <v>45</v>
      </c>
      <c r="C543" s="17">
        <f>[1]SUMMARY!C544</f>
        <v>18</v>
      </c>
      <c r="D543" s="25" t="str">
        <f>[1]SUMMARY!D544</f>
        <v>COOPER</v>
      </c>
      <c r="E543" s="25" t="str">
        <f>[1]SUMMARY!E544</f>
        <v>ZEON RS3</v>
      </c>
      <c r="F543" s="20">
        <v>4</v>
      </c>
      <c r="G543" s="20">
        <v>8</v>
      </c>
      <c r="H543" s="20">
        <v>12</v>
      </c>
      <c r="I543" s="21">
        <f t="shared" si="5"/>
        <v>0</v>
      </c>
      <c r="J543" s="22">
        <f>[1]SUMMARY!N544</f>
        <v>3669.28</v>
      </c>
      <c r="K543" s="23">
        <f t="shared" si="4"/>
        <v>0</v>
      </c>
      <c r="L543" s="8"/>
      <c r="M543" s="8"/>
    </row>
    <row r="544" spans="1:13" x14ac:dyDescent="0.2">
      <c r="A544" s="17" t="str">
        <f>[1]SUMMARY!A545</f>
        <v>265</v>
      </c>
      <c r="B544" s="17">
        <f>[1]SUMMARY!B545</f>
        <v>60</v>
      </c>
      <c r="C544" s="17">
        <f>[1]SUMMARY!C545</f>
        <v>18</v>
      </c>
      <c r="D544" s="25" t="str">
        <f>[1]SUMMARY!D545</f>
        <v>COOPER</v>
      </c>
      <c r="E544" s="25" t="str">
        <f>[1]SUMMARY!E545</f>
        <v>DISCOVERER HTS</v>
      </c>
      <c r="F544" s="20"/>
      <c r="G544" s="20">
        <v>2</v>
      </c>
      <c r="H544" s="20">
        <v>2</v>
      </c>
      <c r="I544" s="21">
        <f t="shared" si="5"/>
        <v>0</v>
      </c>
      <c r="J544" s="22">
        <f>[1]SUMMARY!N545</f>
        <v>4547</v>
      </c>
      <c r="K544" s="23">
        <f t="shared" ref="K544:K798" si="6">J544*I544</f>
        <v>0</v>
      </c>
      <c r="L544" s="8"/>
      <c r="M544" s="8"/>
    </row>
    <row r="545" spans="1:13" x14ac:dyDescent="0.2">
      <c r="A545" s="17" t="str">
        <f>[1]SUMMARY!A546</f>
        <v>265</v>
      </c>
      <c r="B545" s="17">
        <f>[1]SUMMARY!B546</f>
        <v>60</v>
      </c>
      <c r="C545" s="17">
        <f>[1]SUMMARY!C546</f>
        <v>18</v>
      </c>
      <c r="D545" s="25" t="str">
        <f>[1]SUMMARY!D546</f>
        <v>COOPER</v>
      </c>
      <c r="E545" s="25" t="str">
        <f>[1]SUMMARY!E546</f>
        <v>DISCOVERER  AT3 4S</v>
      </c>
      <c r="F545" s="20"/>
      <c r="G545" s="20">
        <v>8</v>
      </c>
      <c r="H545" s="20">
        <v>8</v>
      </c>
      <c r="I545" s="21">
        <f t="shared" si="5"/>
        <v>0</v>
      </c>
      <c r="J545" s="22">
        <f>[1]SUMMARY!N546</f>
        <v>10086.299999999999</v>
      </c>
      <c r="K545" s="23">
        <f t="shared" si="6"/>
        <v>0</v>
      </c>
      <c r="L545" s="8"/>
      <c r="M545" s="8"/>
    </row>
    <row r="546" spans="1:13" x14ac:dyDescent="0.2">
      <c r="A546" s="17" t="str">
        <f>[1]SUMMARY!A547</f>
        <v>265</v>
      </c>
      <c r="B546" s="17">
        <f>[1]SUMMARY!B547</f>
        <v>60</v>
      </c>
      <c r="C546" s="17">
        <f>[1]SUMMARY!C547</f>
        <v>18</v>
      </c>
      <c r="D546" s="25" t="str">
        <f>[1]SUMMARY!D547</f>
        <v>COOPER</v>
      </c>
      <c r="E546" s="25" t="s">
        <v>12</v>
      </c>
      <c r="F546" s="20"/>
      <c r="G546" s="20">
        <v>12</v>
      </c>
      <c r="H546" s="20">
        <v>8</v>
      </c>
      <c r="I546" s="43">
        <f t="shared" si="5"/>
        <v>4</v>
      </c>
      <c r="J546" s="22">
        <f>[1]SUMMARY!N547</f>
        <v>9940.7999999999993</v>
      </c>
      <c r="K546" s="23">
        <f t="shared" si="6"/>
        <v>39763.199999999997</v>
      </c>
      <c r="L546" s="8"/>
      <c r="M546" s="8"/>
    </row>
    <row r="547" spans="1:13" x14ac:dyDescent="0.2">
      <c r="A547" s="17" t="str">
        <f>[1]SUMMARY!A548</f>
        <v>265</v>
      </c>
      <c r="B547" s="17">
        <f>[1]SUMMARY!B548</f>
        <v>65</v>
      </c>
      <c r="C547" s="17">
        <f>[1]SUMMARY!C548</f>
        <v>18</v>
      </c>
      <c r="D547" s="25" t="str">
        <f>[1]SUMMARY!D548</f>
        <v>COOPER</v>
      </c>
      <c r="E547" s="25" t="str">
        <f>[1]SUMMARY!E548</f>
        <v>DISCOVERER AT3 4S</v>
      </c>
      <c r="F547" s="20"/>
      <c r="G547" s="20">
        <v>4</v>
      </c>
      <c r="H547" s="20">
        <v>4</v>
      </c>
      <c r="I547" s="21">
        <f t="shared" si="5"/>
        <v>0</v>
      </c>
      <c r="J547" s="22">
        <f>[1]SUMMARY!N548</f>
        <v>10691.73</v>
      </c>
      <c r="K547" s="23">
        <f t="shared" si="6"/>
        <v>0</v>
      </c>
      <c r="L547" s="8"/>
      <c r="M547" s="8"/>
    </row>
    <row r="548" spans="1:13" x14ac:dyDescent="0.2">
      <c r="A548" s="17" t="str">
        <f>[1]SUMMARY!A549</f>
        <v>265</v>
      </c>
      <c r="B548" s="17">
        <f>[1]SUMMARY!B549</f>
        <v>65</v>
      </c>
      <c r="C548" s="17">
        <f>[1]SUMMARY!C549</f>
        <v>18</v>
      </c>
      <c r="D548" s="25" t="str">
        <f>[1]SUMMARY!D549</f>
        <v>COOPER</v>
      </c>
      <c r="E548" s="25" t="str">
        <f>[1]SUMMARY!E549</f>
        <v>ROAD TRAIL AT</v>
      </c>
      <c r="F548" s="20"/>
      <c r="G548" s="20">
        <v>8</v>
      </c>
      <c r="H548" s="20">
        <v>4</v>
      </c>
      <c r="I548" s="43">
        <f t="shared" si="5"/>
        <v>4</v>
      </c>
      <c r="J548" s="22">
        <f>[1]SUMMARY!N549</f>
        <v>11278.4</v>
      </c>
      <c r="K548" s="23">
        <f t="shared" si="6"/>
        <v>45113.599999999999</v>
      </c>
      <c r="L548" s="8"/>
      <c r="M548" s="8"/>
    </row>
    <row r="549" spans="1:13" x14ac:dyDescent="0.2">
      <c r="A549" s="17" t="str">
        <f>[1]SUMMARY!A550</f>
        <v>265</v>
      </c>
      <c r="B549" s="17">
        <f>[1]SUMMARY!B550</f>
        <v>70</v>
      </c>
      <c r="C549" s="17">
        <f>[1]SUMMARY!C550</f>
        <v>18</v>
      </c>
      <c r="D549" s="25" t="str">
        <f>[1]SUMMARY!D550</f>
        <v>COOPER</v>
      </c>
      <c r="E549" s="25" t="str">
        <f>[1]SUMMARY!E550</f>
        <v>AT3 4S</v>
      </c>
      <c r="F549" s="20">
        <v>4</v>
      </c>
      <c r="G549" s="20"/>
      <c r="H549" s="20">
        <v>4</v>
      </c>
      <c r="I549" s="21">
        <f t="shared" si="5"/>
        <v>0</v>
      </c>
      <c r="J549" s="22">
        <f>[1]SUMMARY!N550</f>
        <v>9928</v>
      </c>
      <c r="K549" s="23">
        <f t="shared" si="6"/>
        <v>0</v>
      </c>
      <c r="L549" s="8"/>
      <c r="M549" s="8"/>
    </row>
    <row r="550" spans="1:13" x14ac:dyDescent="0.2">
      <c r="A550" s="17" t="str">
        <f>[1]SUMMARY!A551</f>
        <v>275</v>
      </c>
      <c r="B550" s="17">
        <f>[1]SUMMARY!B551</f>
        <v>65</v>
      </c>
      <c r="C550" s="17">
        <f>[1]SUMMARY!C551</f>
        <v>18</v>
      </c>
      <c r="D550" s="25" t="str">
        <f>[1]SUMMARY!D551</f>
        <v>COOPER</v>
      </c>
      <c r="E550" s="25" t="str">
        <f>[1]SUMMARY!E551</f>
        <v>DISCOVERER AT3 4S</v>
      </c>
      <c r="F550" s="20"/>
      <c r="G550" s="20">
        <v>10</v>
      </c>
      <c r="H550" s="20">
        <v>10</v>
      </c>
      <c r="I550" s="21">
        <f t="shared" si="5"/>
        <v>0</v>
      </c>
      <c r="J550" s="22">
        <f>[1]SUMMARY!N551</f>
        <v>11644.97</v>
      </c>
      <c r="K550" s="23">
        <f t="shared" si="6"/>
        <v>0</v>
      </c>
      <c r="L550" s="8"/>
      <c r="M550" s="8"/>
    </row>
    <row r="551" spans="1:13" x14ac:dyDescent="0.2">
      <c r="A551" s="17" t="str">
        <f>[1]SUMMARY!A552</f>
        <v>275</v>
      </c>
      <c r="B551" s="17">
        <f>[1]SUMMARY!B552</f>
        <v>65</v>
      </c>
      <c r="C551" s="17">
        <f>[1]SUMMARY!C552</f>
        <v>18</v>
      </c>
      <c r="D551" s="25" t="str">
        <f>[1]SUMMARY!D552</f>
        <v>COOPER</v>
      </c>
      <c r="E551" s="25" t="str">
        <f>[1]SUMMARY!E552</f>
        <v>STT PRO</v>
      </c>
      <c r="F551" s="20"/>
      <c r="G551" s="20"/>
      <c r="H551" s="20"/>
      <c r="I551" s="21">
        <f t="shared" si="5"/>
        <v>0</v>
      </c>
      <c r="J551" s="22">
        <f>[1]SUMMARY!N552</f>
        <v>16100</v>
      </c>
      <c r="K551" s="23">
        <f t="shared" si="6"/>
        <v>0</v>
      </c>
      <c r="L551" s="8"/>
      <c r="M551" s="8"/>
    </row>
    <row r="552" spans="1:13" x14ac:dyDescent="0.2">
      <c r="A552" s="17" t="str">
        <f>[1]SUMMARY!A553</f>
        <v>265</v>
      </c>
      <c r="B552" s="17">
        <f>[1]SUMMARY!B553</f>
        <v>50</v>
      </c>
      <c r="C552" s="17">
        <f>[1]SUMMARY!C553</f>
        <v>20</v>
      </c>
      <c r="D552" s="25" t="str">
        <f>[1]SUMMARY!D553</f>
        <v>COOPER</v>
      </c>
      <c r="E552" s="25" t="str">
        <f>[1]SUMMARY!E553</f>
        <v>AT3 4S</v>
      </c>
      <c r="F552" s="20"/>
      <c r="G552" s="20">
        <v>4</v>
      </c>
      <c r="H552" s="20">
        <v>4</v>
      </c>
      <c r="I552" s="21">
        <f t="shared" si="5"/>
        <v>0</v>
      </c>
      <c r="J552" s="22">
        <f>[1]SUMMARY!N553</f>
        <v>11683.62</v>
      </c>
      <c r="K552" s="23">
        <f t="shared" si="6"/>
        <v>0</v>
      </c>
      <c r="L552" s="8"/>
      <c r="M552" s="8"/>
    </row>
    <row r="553" spans="1:13" x14ac:dyDescent="0.2">
      <c r="A553" s="17" t="str">
        <f>[1]SUMMARY!A554</f>
        <v>275</v>
      </c>
      <c r="B553" s="17">
        <f>[1]SUMMARY!B554</f>
        <v>50</v>
      </c>
      <c r="C553" s="17">
        <f>[1]SUMMARY!C554</f>
        <v>20</v>
      </c>
      <c r="D553" s="25" t="str">
        <f>[1]SUMMARY!D554</f>
        <v>COOPER</v>
      </c>
      <c r="E553" s="25" t="str">
        <f>[1]SUMMARY!E554</f>
        <v>DISCOVERER UTS</v>
      </c>
      <c r="F553" s="20"/>
      <c r="G553" s="20"/>
      <c r="H553" s="20"/>
      <c r="I553" s="21">
        <f t="shared" si="5"/>
        <v>0</v>
      </c>
      <c r="J553" s="22">
        <f>[1]SUMMARY!N554</f>
        <v>6302</v>
      </c>
      <c r="K553" s="23">
        <f t="shared" si="6"/>
        <v>0</v>
      </c>
      <c r="L553" s="8"/>
      <c r="M553" s="8"/>
    </row>
    <row r="554" spans="1:13" x14ac:dyDescent="0.2">
      <c r="A554" s="17" t="str">
        <f>[1]SUMMARY!A555</f>
        <v>275</v>
      </c>
      <c r="B554" s="17">
        <f>[1]SUMMARY!B555</f>
        <v>55</v>
      </c>
      <c r="C554" s="17">
        <f>[1]SUMMARY!C555</f>
        <v>20</v>
      </c>
      <c r="D554" s="25" t="str">
        <f>[1]SUMMARY!D555</f>
        <v>COOPER</v>
      </c>
      <c r="E554" s="25" t="str">
        <f>[1]SUMMARY!E555</f>
        <v>EVOLUTION H/T</v>
      </c>
      <c r="F554" s="20"/>
      <c r="G554" s="20"/>
      <c r="H554" s="20"/>
      <c r="I554" s="21">
        <f t="shared" si="5"/>
        <v>0</v>
      </c>
      <c r="J554" s="22">
        <f>[1]SUMMARY!N555</f>
        <v>10763</v>
      </c>
      <c r="K554" s="23">
        <f t="shared" si="6"/>
        <v>0</v>
      </c>
      <c r="L554" s="8"/>
      <c r="M554" s="8"/>
    </row>
    <row r="555" spans="1:13" x14ac:dyDescent="0.2">
      <c r="A555" s="17" t="str">
        <f>[1]SUMMARY!A556</f>
        <v>275</v>
      </c>
      <c r="B555" s="17">
        <f>[1]SUMMARY!B556</f>
        <v>55</v>
      </c>
      <c r="C555" s="17">
        <f>[1]SUMMARY!C556</f>
        <v>20</v>
      </c>
      <c r="D555" s="25" t="str">
        <f>[1]SUMMARY!D556</f>
        <v>COOPER</v>
      </c>
      <c r="E555" s="25" t="str">
        <f>[1]SUMMARY!E556</f>
        <v>DISCOVERER AT3 4S</v>
      </c>
      <c r="F555" s="20"/>
      <c r="G555" s="20">
        <v>4</v>
      </c>
      <c r="H555" s="20">
        <v>4</v>
      </c>
      <c r="I555" s="21">
        <f t="shared" si="5"/>
        <v>0</v>
      </c>
      <c r="J555" s="22">
        <f>[1]SUMMARY!N556</f>
        <v>12094.61</v>
      </c>
      <c r="K555" s="23">
        <f t="shared" si="6"/>
        <v>0</v>
      </c>
      <c r="L555" s="8"/>
      <c r="M555" s="8"/>
    </row>
    <row r="556" spans="1:13" x14ac:dyDescent="0.2">
      <c r="A556" s="17" t="str">
        <f>[1]SUMMARY!A557</f>
        <v>275</v>
      </c>
      <c r="B556" s="17">
        <f>[1]SUMMARY!B557</f>
        <v>60</v>
      </c>
      <c r="C556" s="17">
        <f>[1]SUMMARY!C557</f>
        <v>20</v>
      </c>
      <c r="D556" s="25" t="str">
        <f>[1]SUMMARY!D557</f>
        <v>COOPER</v>
      </c>
      <c r="E556" s="25" t="str">
        <f>[1]SUMMARY!E557</f>
        <v>ROAD TRAIL AT</v>
      </c>
      <c r="F556" s="20"/>
      <c r="G556" s="20">
        <v>4</v>
      </c>
      <c r="H556" s="20">
        <v>4</v>
      </c>
      <c r="I556" s="21">
        <f t="shared" si="5"/>
        <v>0</v>
      </c>
      <c r="J556" s="22">
        <f>[1]SUMMARY!N557</f>
        <v>14120.8</v>
      </c>
      <c r="K556" s="23">
        <f t="shared" si="6"/>
        <v>0</v>
      </c>
      <c r="L556" s="29"/>
      <c r="M556" s="29"/>
    </row>
    <row r="557" spans="1:13" x14ac:dyDescent="0.2">
      <c r="A557" s="17" t="str">
        <f>[1]SUMMARY!A558</f>
        <v>275</v>
      </c>
      <c r="B557" s="17">
        <f>[1]SUMMARY!B558</f>
        <v>60</v>
      </c>
      <c r="C557" s="17">
        <f>[1]SUMMARY!C558</f>
        <v>20</v>
      </c>
      <c r="D557" s="25" t="str">
        <f>[1]SUMMARY!D558</f>
        <v>COOPER</v>
      </c>
      <c r="E557" s="25" t="str">
        <f>[1]SUMMARY!E558</f>
        <v>AT3 4S</v>
      </c>
      <c r="F557" s="20"/>
      <c r="G557" s="20"/>
      <c r="H557" s="20"/>
      <c r="I557" s="21">
        <f t="shared" si="5"/>
        <v>0</v>
      </c>
      <c r="J557" s="22">
        <f>[1]SUMMARY!N558</f>
        <v>9928</v>
      </c>
      <c r="K557" s="23">
        <f t="shared" si="6"/>
        <v>0</v>
      </c>
      <c r="L557" s="28">
        <f>SUM(K529:K557)</f>
        <v>107904.79999999999</v>
      </c>
      <c r="M557" s="29" t="s">
        <v>25</v>
      </c>
    </row>
    <row r="558" spans="1:13" x14ac:dyDescent="0.2">
      <c r="A558" s="17" t="str">
        <f>[1]SUMMARY!A559</f>
        <v>165</v>
      </c>
      <c r="B558" s="17">
        <f>[1]SUMMARY!B559</f>
        <v>65</v>
      </c>
      <c r="C558" s="17">
        <f>[1]SUMMARY!C559</f>
        <v>13</v>
      </c>
      <c r="D558" s="25" t="str">
        <f>[1]SUMMARY!D559</f>
        <v>DEESTONE (THAI)</v>
      </c>
      <c r="E558" s="25" t="str">
        <f>[1]SUMMARY!E559</f>
        <v>NAKARA R201</v>
      </c>
      <c r="F558" s="20"/>
      <c r="G558" s="20">
        <v>5</v>
      </c>
      <c r="H558" s="20">
        <v>5</v>
      </c>
      <c r="I558" s="21">
        <f t="shared" si="5"/>
        <v>0</v>
      </c>
      <c r="J558" s="22">
        <f>[1]SUMMARY!N559</f>
        <v>1556</v>
      </c>
      <c r="K558" s="23">
        <f t="shared" si="6"/>
        <v>0</v>
      </c>
      <c r="L558" s="8"/>
      <c r="M558" s="8"/>
    </row>
    <row r="559" spans="1:13" x14ac:dyDescent="0.2">
      <c r="A559" s="17" t="str">
        <f>[1]SUMMARY!A560</f>
        <v>155</v>
      </c>
      <c r="B559" s="17">
        <f>[1]SUMMARY!B560</f>
        <v>70</v>
      </c>
      <c r="C559" s="17">
        <f>[1]SUMMARY!C560</f>
        <v>13</v>
      </c>
      <c r="D559" s="25" t="str">
        <f>[1]SUMMARY!D560</f>
        <v>DEESTONE (THAI)</v>
      </c>
      <c r="E559" s="25" t="str">
        <f>[1]SUMMARY!E560</f>
        <v>NAKARA R202</v>
      </c>
      <c r="F559" s="20"/>
      <c r="G559" s="20">
        <v>6</v>
      </c>
      <c r="H559" s="20">
        <v>6</v>
      </c>
      <c r="I559" s="21">
        <f t="shared" si="5"/>
        <v>0</v>
      </c>
      <c r="J559" s="22">
        <f>[1]SUMMARY!N560</f>
        <v>1704</v>
      </c>
      <c r="K559" s="23">
        <f t="shared" si="6"/>
        <v>0</v>
      </c>
      <c r="L559" s="8"/>
      <c r="M559" s="8"/>
    </row>
    <row r="560" spans="1:13" x14ac:dyDescent="0.2">
      <c r="A560" s="17" t="str">
        <f>[1]SUMMARY!A561</f>
        <v>175</v>
      </c>
      <c r="B560" s="17">
        <f>[1]SUMMARY!B561</f>
        <v>70</v>
      </c>
      <c r="C560" s="17">
        <f>[1]SUMMARY!C561</f>
        <v>13</v>
      </c>
      <c r="D560" s="25" t="str">
        <f>[1]SUMMARY!D561</f>
        <v>DEESTONE (THAI)</v>
      </c>
      <c r="E560" s="25" t="str">
        <f>[1]SUMMARY!E561</f>
        <v>NAKARA R201</v>
      </c>
      <c r="F560" s="20"/>
      <c r="G560" s="20">
        <v>8</v>
      </c>
      <c r="H560" s="20">
        <v>8</v>
      </c>
      <c r="I560" s="21">
        <f t="shared" si="5"/>
        <v>0</v>
      </c>
      <c r="J560" s="22">
        <f>[1]SUMMARY!N561</f>
        <v>1908</v>
      </c>
      <c r="K560" s="23">
        <f t="shared" si="6"/>
        <v>0</v>
      </c>
      <c r="L560" s="8"/>
      <c r="M560" s="8"/>
    </row>
    <row r="561" spans="1:13" x14ac:dyDescent="0.2">
      <c r="A561" s="17" t="str">
        <f>[1]SUMMARY!A562</f>
        <v>185</v>
      </c>
      <c r="B561" s="17">
        <f>[1]SUMMARY!B562</f>
        <v>70</v>
      </c>
      <c r="C561" s="17">
        <f>[1]SUMMARY!C562</f>
        <v>13</v>
      </c>
      <c r="D561" s="25" t="str">
        <f>[1]SUMMARY!D562</f>
        <v>DEESTONE (THAI)</v>
      </c>
      <c r="E561" s="25" t="str">
        <f>[1]SUMMARY!E562</f>
        <v>VINCENTE R201</v>
      </c>
      <c r="F561" s="20"/>
      <c r="G561" s="20">
        <v>8</v>
      </c>
      <c r="H561" s="20">
        <v>8</v>
      </c>
      <c r="I561" s="21">
        <f t="shared" si="5"/>
        <v>0</v>
      </c>
      <c r="J561" s="22">
        <f>[1]SUMMARY!N562</f>
        <v>2154</v>
      </c>
      <c r="K561" s="23">
        <f t="shared" si="6"/>
        <v>0</v>
      </c>
      <c r="L561" s="8"/>
      <c r="M561" s="8"/>
    </row>
    <row r="562" spans="1:13" x14ac:dyDescent="0.2">
      <c r="A562" s="17" t="str">
        <f>[1]SUMMARY!A563</f>
        <v>185</v>
      </c>
      <c r="B562" s="17">
        <f>[1]SUMMARY!B563</f>
        <v>70</v>
      </c>
      <c r="C562" s="17">
        <f>[1]SUMMARY!C563</f>
        <v>13</v>
      </c>
      <c r="D562" s="25" t="str">
        <f>[1]SUMMARY!D563</f>
        <v>DEESTONE (THAI)</v>
      </c>
      <c r="E562" s="25" t="str">
        <f>[1]SUMMARY!E563</f>
        <v>VINCENTE R203</v>
      </c>
      <c r="F562" s="20"/>
      <c r="G562" s="20"/>
      <c r="H562" s="20"/>
      <c r="I562" s="21">
        <f t="shared" si="5"/>
        <v>0</v>
      </c>
      <c r="J562" s="22">
        <f>[1]SUMMARY!N563</f>
        <v>2154</v>
      </c>
      <c r="K562" s="23">
        <f t="shared" si="6"/>
        <v>0</v>
      </c>
      <c r="L562" s="8"/>
      <c r="M562" s="8"/>
    </row>
    <row r="563" spans="1:13" x14ac:dyDescent="0.2">
      <c r="A563" s="17" t="str">
        <f>[1]SUMMARY!A564</f>
        <v xml:space="preserve">185 </v>
      </c>
      <c r="B563" s="17">
        <f>[1]SUMMARY!B564</f>
        <v>0</v>
      </c>
      <c r="C563" s="17" t="str">
        <f>[1]SUMMARY!C564</f>
        <v>14C</v>
      </c>
      <c r="D563" s="25" t="str">
        <f>[1]SUMMARY!D564</f>
        <v>DEESTONE (THAI)</v>
      </c>
      <c r="E563" s="25" t="str">
        <f>[1]SUMMARY!E564</f>
        <v>KACHA R101</v>
      </c>
      <c r="F563" s="20"/>
      <c r="G563" s="20">
        <v>33</v>
      </c>
      <c r="H563" s="20">
        <v>33</v>
      </c>
      <c r="I563" s="21">
        <f t="shared" si="5"/>
        <v>0</v>
      </c>
      <c r="J563" s="22">
        <f>[1]SUMMARY!N564</f>
        <v>2696</v>
      </c>
      <c r="K563" s="23">
        <f t="shared" si="6"/>
        <v>0</v>
      </c>
      <c r="L563" s="8"/>
      <c r="M563" s="8"/>
    </row>
    <row r="564" spans="1:13" x14ac:dyDescent="0.2">
      <c r="A564" s="17" t="str">
        <f>[1]SUMMARY!A565</f>
        <v>165</v>
      </c>
      <c r="B564" s="17">
        <f>[1]SUMMARY!B565</f>
        <v>65</v>
      </c>
      <c r="C564" s="17">
        <f>[1]SUMMARY!C565</f>
        <v>14</v>
      </c>
      <c r="D564" s="25" t="str">
        <f>[1]SUMMARY!D565</f>
        <v>DEESTONE (THAI)</v>
      </c>
      <c r="E564" s="25" t="str">
        <f>[1]SUMMARY!E565</f>
        <v>VINCENTE R203</v>
      </c>
      <c r="F564" s="20"/>
      <c r="G564" s="20">
        <v>15</v>
      </c>
      <c r="H564" s="20">
        <v>15</v>
      </c>
      <c r="I564" s="21">
        <f t="shared" si="5"/>
        <v>0</v>
      </c>
      <c r="J564" s="22">
        <f>[1]SUMMARY!N565</f>
        <v>1971</v>
      </c>
      <c r="K564" s="23">
        <f t="shared" si="6"/>
        <v>0</v>
      </c>
      <c r="L564" s="8"/>
      <c r="M564" s="8"/>
    </row>
    <row r="565" spans="1:13" x14ac:dyDescent="0.2">
      <c r="A565" s="17" t="str">
        <f>[1]SUMMARY!A566</f>
        <v>175</v>
      </c>
      <c r="B565" s="17">
        <f>[1]SUMMARY!B566</f>
        <v>65</v>
      </c>
      <c r="C565" s="17">
        <f>[1]SUMMARY!C566</f>
        <v>14</v>
      </c>
      <c r="D565" s="25" t="str">
        <f>[1]SUMMARY!D566</f>
        <v>DEESTONE (THAI)</v>
      </c>
      <c r="E565" s="25" t="str">
        <f>[1]SUMMARY!E566</f>
        <v>NAKARA R201</v>
      </c>
      <c r="F565" s="20"/>
      <c r="G565" s="20">
        <v>26</v>
      </c>
      <c r="H565" s="20">
        <v>26</v>
      </c>
      <c r="I565" s="21">
        <f t="shared" si="5"/>
        <v>0</v>
      </c>
      <c r="J565" s="22">
        <f>[1]SUMMARY!N566</f>
        <v>1894</v>
      </c>
      <c r="K565" s="23">
        <f t="shared" si="6"/>
        <v>0</v>
      </c>
      <c r="L565" s="8"/>
      <c r="M565" s="8"/>
    </row>
    <row r="566" spans="1:13" x14ac:dyDescent="0.2">
      <c r="A566" s="17" t="str">
        <f>[1]SUMMARY!A567</f>
        <v>185</v>
      </c>
      <c r="B566" s="17">
        <f>[1]SUMMARY!B567</f>
        <v>65</v>
      </c>
      <c r="C566" s="17">
        <f>[1]SUMMARY!C567</f>
        <v>14</v>
      </c>
      <c r="D566" s="25" t="str">
        <f>[1]SUMMARY!D567</f>
        <v>DEESTONE (THAI)</v>
      </c>
      <c r="E566" s="25" t="str">
        <f>[1]SUMMARY!E567</f>
        <v>NAKARA R201</v>
      </c>
      <c r="F566" s="20"/>
      <c r="G566" s="20">
        <v>10</v>
      </c>
      <c r="H566" s="20">
        <v>10</v>
      </c>
      <c r="I566" s="21">
        <f t="shared" si="5"/>
        <v>0</v>
      </c>
      <c r="J566" s="22">
        <f>[1]SUMMARY!N567</f>
        <v>2035</v>
      </c>
      <c r="K566" s="23">
        <f t="shared" si="6"/>
        <v>0</v>
      </c>
      <c r="L566" s="8"/>
      <c r="M566" s="8"/>
    </row>
    <row r="567" spans="1:13" x14ac:dyDescent="0.2">
      <c r="A567" s="17" t="str">
        <f>[1]SUMMARY!A568</f>
        <v>175</v>
      </c>
      <c r="B567" s="17">
        <f>[1]SUMMARY!B568</f>
        <v>70</v>
      </c>
      <c r="C567" s="17">
        <f>[1]SUMMARY!C568</f>
        <v>14</v>
      </c>
      <c r="D567" s="25" t="str">
        <f>[1]SUMMARY!D568</f>
        <v>DEESTONE (THAI)</v>
      </c>
      <c r="E567" s="25" t="str">
        <f>[1]SUMMARY!E568</f>
        <v>NAKARA R201</v>
      </c>
      <c r="F567" s="20"/>
      <c r="G567" s="20">
        <v>4</v>
      </c>
      <c r="H567" s="20">
        <v>4</v>
      </c>
      <c r="I567" s="21">
        <f t="shared" si="5"/>
        <v>0</v>
      </c>
      <c r="J567" s="22">
        <f>[1]SUMMARY!N568</f>
        <v>2127</v>
      </c>
      <c r="K567" s="23">
        <f t="shared" si="6"/>
        <v>0</v>
      </c>
      <c r="L567" s="8"/>
      <c r="M567" s="8"/>
    </row>
    <row r="568" spans="1:13" x14ac:dyDescent="0.2">
      <c r="A568" s="17" t="str">
        <f>[1]SUMMARY!A569</f>
        <v>185</v>
      </c>
      <c r="B568" s="17">
        <f>[1]SUMMARY!B569</f>
        <v>70</v>
      </c>
      <c r="C568" s="17">
        <f>[1]SUMMARY!C569</f>
        <v>14</v>
      </c>
      <c r="D568" s="25" t="str">
        <f>[1]SUMMARY!D569</f>
        <v>DEESTONE (THAI)</v>
      </c>
      <c r="E568" s="25" t="str">
        <f>[1]SUMMARY!E569</f>
        <v>NAKARA R201</v>
      </c>
      <c r="F568" s="20"/>
      <c r="G568" s="20">
        <v>9</v>
      </c>
      <c r="H568" s="20">
        <v>9</v>
      </c>
      <c r="I568" s="21">
        <f t="shared" si="5"/>
        <v>0</v>
      </c>
      <c r="J568" s="22">
        <f>[1]SUMMARY!N569</f>
        <v>2268</v>
      </c>
      <c r="K568" s="23">
        <f t="shared" si="6"/>
        <v>0</v>
      </c>
      <c r="L568" s="8"/>
      <c r="M568" s="8"/>
    </row>
    <row r="569" spans="1:13" x14ac:dyDescent="0.2">
      <c r="A569" s="17" t="str">
        <f>[1]SUMMARY!A570</f>
        <v>185</v>
      </c>
      <c r="B569" s="17">
        <f>[1]SUMMARY!B570</f>
        <v>55</v>
      </c>
      <c r="C569" s="17">
        <f>[1]SUMMARY!C570</f>
        <v>15</v>
      </c>
      <c r="D569" s="25" t="str">
        <f>[1]SUMMARY!D570</f>
        <v>DEESTONE (THAI)</v>
      </c>
      <c r="E569" s="25" t="str">
        <f>[1]SUMMARY!E570</f>
        <v xml:space="preserve">VICENTE R203 </v>
      </c>
      <c r="F569" s="20"/>
      <c r="G569" s="20">
        <v>20</v>
      </c>
      <c r="H569" s="20">
        <v>20</v>
      </c>
      <c r="I569" s="21">
        <f t="shared" si="5"/>
        <v>0</v>
      </c>
      <c r="J569" s="22">
        <f>[1]SUMMARY!N570</f>
        <v>2253</v>
      </c>
      <c r="K569" s="23">
        <f t="shared" si="6"/>
        <v>0</v>
      </c>
      <c r="L569" s="8"/>
      <c r="M569" s="8"/>
    </row>
    <row r="570" spans="1:13" x14ac:dyDescent="0.2">
      <c r="A570" s="17" t="str">
        <f>[1]SUMMARY!A571</f>
        <v>185</v>
      </c>
      <c r="B570" s="17">
        <f>[1]SUMMARY!B571</f>
        <v>60</v>
      </c>
      <c r="C570" s="17">
        <f>[1]SUMMARY!C571</f>
        <v>15</v>
      </c>
      <c r="D570" s="25" t="str">
        <f>[1]SUMMARY!D571</f>
        <v>DEESTONE (THAI)</v>
      </c>
      <c r="E570" s="25" t="str">
        <f>[1]SUMMARY!E571</f>
        <v>PREMIUM TOURER RA01 84H</v>
      </c>
      <c r="F570" s="20"/>
      <c r="G570" s="20">
        <v>32</v>
      </c>
      <c r="H570" s="20">
        <v>32</v>
      </c>
      <c r="I570" s="21">
        <f t="shared" si="5"/>
        <v>0</v>
      </c>
      <c r="J570" s="22">
        <f>[1]SUMMARY!N571</f>
        <v>2288</v>
      </c>
      <c r="K570" s="23">
        <f t="shared" si="6"/>
        <v>0</v>
      </c>
      <c r="L570" s="8"/>
      <c r="M570" s="8"/>
    </row>
    <row r="571" spans="1:13" x14ac:dyDescent="0.2">
      <c r="A571" s="17" t="str">
        <f>[1]SUMMARY!A572</f>
        <v>185</v>
      </c>
      <c r="B571" s="17">
        <f>[1]SUMMARY!B572</f>
        <v>65</v>
      </c>
      <c r="C571" s="17">
        <f>[1]SUMMARY!C572</f>
        <v>15</v>
      </c>
      <c r="D571" s="25" t="str">
        <f>[1]SUMMARY!D572</f>
        <v>DEESTONE (THAI)</v>
      </c>
      <c r="E571" s="25" t="str">
        <f>[1]SUMMARY!E572</f>
        <v>NAKARA R201 88H</v>
      </c>
      <c r="F571" s="20"/>
      <c r="G571" s="20">
        <v>23</v>
      </c>
      <c r="H571" s="20">
        <v>23</v>
      </c>
      <c r="I571" s="21">
        <f t="shared" si="5"/>
        <v>0</v>
      </c>
      <c r="J571" s="22">
        <f>[1]SUMMARY!N572</f>
        <v>2401</v>
      </c>
      <c r="K571" s="23">
        <f t="shared" si="6"/>
        <v>0</v>
      </c>
      <c r="L571" s="8"/>
      <c r="M571" s="8"/>
    </row>
    <row r="572" spans="1:13" x14ac:dyDescent="0.2">
      <c r="A572" s="17" t="str">
        <f>[1]SUMMARY!A573</f>
        <v>175</v>
      </c>
      <c r="B572" s="17">
        <f>[1]SUMMARY!B573</f>
        <v>65</v>
      </c>
      <c r="C572" s="17">
        <f>[1]SUMMARY!C573</f>
        <v>15</v>
      </c>
      <c r="D572" s="25" t="str">
        <f>[1]SUMMARY!D573</f>
        <v>DEESTONE (THAI)</v>
      </c>
      <c r="E572" s="25" t="str">
        <f>[1]SUMMARY!E573</f>
        <v>VINCENTE R203 84H</v>
      </c>
      <c r="F572" s="20"/>
      <c r="G572" s="20">
        <v>16</v>
      </c>
      <c r="H572" s="20">
        <v>16</v>
      </c>
      <c r="I572" s="21">
        <f t="shared" si="5"/>
        <v>0</v>
      </c>
      <c r="J572" s="22">
        <f>[1]SUMMARY!N573</f>
        <v>2232</v>
      </c>
      <c r="K572" s="23">
        <f t="shared" si="6"/>
        <v>0</v>
      </c>
      <c r="L572" s="8"/>
      <c r="M572" s="8"/>
    </row>
    <row r="573" spans="1:13" x14ac:dyDescent="0.2">
      <c r="A573" s="17" t="str">
        <f>[1]SUMMARY!A574</f>
        <v>195</v>
      </c>
      <c r="B573" s="17">
        <f>[1]SUMMARY!B574</f>
        <v>50</v>
      </c>
      <c r="C573" s="17">
        <f>[1]SUMMARY!C574</f>
        <v>15</v>
      </c>
      <c r="D573" s="25" t="str">
        <f>[1]SUMMARY!D574</f>
        <v>DEESTONE (THAI)</v>
      </c>
      <c r="E573" s="25" t="str">
        <f>[1]SUMMARY!E574</f>
        <v>CARERRAS R702</v>
      </c>
      <c r="F573" s="20"/>
      <c r="G573" s="20">
        <v>8</v>
      </c>
      <c r="H573" s="20">
        <v>8</v>
      </c>
      <c r="I573" s="21">
        <f t="shared" si="5"/>
        <v>0</v>
      </c>
      <c r="J573" s="22">
        <f>[1]SUMMARY!N574</f>
        <v>2302</v>
      </c>
      <c r="K573" s="23">
        <f t="shared" si="6"/>
        <v>0</v>
      </c>
      <c r="L573" s="8"/>
      <c r="M573" s="8"/>
    </row>
    <row r="574" spans="1:13" x14ac:dyDescent="0.2">
      <c r="A574" s="17" t="str">
        <f>[1]SUMMARY!A575</f>
        <v>195</v>
      </c>
      <c r="B574" s="17">
        <f>[1]SUMMARY!B575</f>
        <v>50</v>
      </c>
      <c r="C574" s="17">
        <f>[1]SUMMARY!C575</f>
        <v>15</v>
      </c>
      <c r="D574" s="25" t="str">
        <f>[1]SUMMARY!D575</f>
        <v>DEESTONE (THAI)</v>
      </c>
      <c r="E574" s="25" t="str">
        <f>[1]SUMMARY!E575</f>
        <v>TOURER RA01</v>
      </c>
      <c r="F574" s="20"/>
      <c r="G574" s="20"/>
      <c r="H574" s="20"/>
      <c r="I574" s="21">
        <f t="shared" si="5"/>
        <v>0</v>
      </c>
      <c r="J574" s="22">
        <f>[1]SUMMARY!N575</f>
        <v>2675</v>
      </c>
      <c r="K574" s="23">
        <f t="shared" si="6"/>
        <v>0</v>
      </c>
      <c r="L574" s="8"/>
      <c r="M574" s="8"/>
    </row>
    <row r="575" spans="1:13" x14ac:dyDescent="0.2">
      <c r="A575" s="17" t="str">
        <f>[1]SUMMARY!A576</f>
        <v>195</v>
      </c>
      <c r="B575" s="17">
        <f>[1]SUMMARY!B576</f>
        <v>55</v>
      </c>
      <c r="C575" s="17">
        <f>[1]SUMMARY!C576</f>
        <v>15</v>
      </c>
      <c r="D575" s="25" t="str">
        <f>[1]SUMMARY!D576</f>
        <v>DEESTONE (THAI)</v>
      </c>
      <c r="E575" s="25" t="str">
        <f>[1]SUMMARY!E576</f>
        <v>CARRERAS R702</v>
      </c>
      <c r="F575" s="20"/>
      <c r="G575" s="20">
        <v>29</v>
      </c>
      <c r="H575" s="20">
        <v>29</v>
      </c>
      <c r="I575" s="21">
        <f t="shared" si="5"/>
        <v>0</v>
      </c>
      <c r="J575" s="22">
        <f>[1]SUMMARY!N576</f>
        <v>2401</v>
      </c>
      <c r="K575" s="23">
        <f t="shared" si="6"/>
        <v>0</v>
      </c>
      <c r="L575" s="8"/>
      <c r="M575" s="8"/>
    </row>
    <row r="576" spans="1:13" x14ac:dyDescent="0.2">
      <c r="A576" s="17">
        <f>[1]SUMMARY!A577</f>
        <v>195</v>
      </c>
      <c r="B576" s="17">
        <f>[1]SUMMARY!B577</f>
        <v>65</v>
      </c>
      <c r="C576" s="17">
        <f>[1]SUMMARY!C577</f>
        <v>15</v>
      </c>
      <c r="D576" s="25" t="str">
        <f>[1]SUMMARY!D577</f>
        <v>DEESTONE (THAI)</v>
      </c>
      <c r="E576" s="25" t="str">
        <f>[1]SUMMARY!E577</f>
        <v>R301 NAKARA</v>
      </c>
      <c r="F576" s="20"/>
      <c r="G576" s="20">
        <v>15</v>
      </c>
      <c r="H576" s="20">
        <v>15</v>
      </c>
      <c r="I576" s="21">
        <f t="shared" si="5"/>
        <v>0</v>
      </c>
      <c r="J576" s="22">
        <f>[1]SUMMARY!N577</f>
        <v>2619</v>
      </c>
      <c r="K576" s="23">
        <f t="shared" si="6"/>
        <v>0</v>
      </c>
      <c r="L576" s="8"/>
      <c r="M576" s="8"/>
    </row>
    <row r="577" spans="1:13" x14ac:dyDescent="0.2">
      <c r="A577" s="17" t="str">
        <f>[1]SUMMARY!A578</f>
        <v>205</v>
      </c>
      <c r="B577" s="17">
        <f>[1]SUMMARY!B578</f>
        <v>65</v>
      </c>
      <c r="C577" s="17">
        <f>[1]SUMMARY!C578</f>
        <v>15</v>
      </c>
      <c r="D577" s="25" t="str">
        <f>[1]SUMMARY!D578</f>
        <v>DEESTONE (THAI)</v>
      </c>
      <c r="E577" s="25" t="str">
        <f>[1]SUMMARY!E578</f>
        <v>NAKARA R301</v>
      </c>
      <c r="F577" s="20"/>
      <c r="G577" s="20">
        <v>20</v>
      </c>
      <c r="H577" s="20">
        <v>20</v>
      </c>
      <c r="I577" s="21">
        <f t="shared" si="5"/>
        <v>0</v>
      </c>
      <c r="J577" s="22">
        <f>[1]SUMMARY!N578</f>
        <v>2796</v>
      </c>
      <c r="K577" s="23">
        <f t="shared" si="6"/>
        <v>0</v>
      </c>
      <c r="L577" s="8"/>
      <c r="M577" s="8"/>
    </row>
    <row r="578" spans="1:13" x14ac:dyDescent="0.2">
      <c r="A578" s="17" t="str">
        <f>[1]SUMMARY!A579</f>
        <v>205</v>
      </c>
      <c r="B578" s="17">
        <f>[1]SUMMARY!B579</f>
        <v>70</v>
      </c>
      <c r="C578" s="17" t="str">
        <f>[1]SUMMARY!C579</f>
        <v>15C</v>
      </c>
      <c r="D578" s="25" t="str">
        <f>[1]SUMMARY!D579</f>
        <v>DEESTONE (THAI)</v>
      </c>
      <c r="E578" s="25" t="str">
        <f>[1]SUMMARY!E579</f>
        <v>TITANS 8PR</v>
      </c>
      <c r="F578" s="20"/>
      <c r="G578" s="20">
        <v>24</v>
      </c>
      <c r="H578" s="20">
        <v>24</v>
      </c>
      <c r="I578" s="21">
        <f t="shared" si="5"/>
        <v>0</v>
      </c>
      <c r="J578" s="22">
        <f>[1]SUMMARY!N579</f>
        <v>3394</v>
      </c>
      <c r="K578" s="23">
        <f t="shared" si="6"/>
        <v>0</v>
      </c>
      <c r="L578" s="8" t="s">
        <v>12</v>
      </c>
      <c r="M578" s="8"/>
    </row>
    <row r="579" spans="1:13" x14ac:dyDescent="0.2">
      <c r="A579" s="17" t="str">
        <f>[1]SUMMARY!A580</f>
        <v>215</v>
      </c>
      <c r="B579" s="17">
        <f>[1]SUMMARY!B580</f>
        <v>70</v>
      </c>
      <c r="C579" s="17" t="str">
        <f>[1]SUMMARY!C580</f>
        <v>15C</v>
      </c>
      <c r="D579" s="25" t="str">
        <f>[1]SUMMARY!D580</f>
        <v>DEESTONE (THAI)</v>
      </c>
      <c r="E579" s="25" t="str">
        <f>[1]SUMMARY!E580</f>
        <v xml:space="preserve">TITANZ 8PR </v>
      </c>
      <c r="F579" s="20"/>
      <c r="G579" s="20">
        <v>14</v>
      </c>
      <c r="H579" s="20">
        <v>14</v>
      </c>
      <c r="I579" s="21">
        <f t="shared" si="5"/>
        <v>0</v>
      </c>
      <c r="J579" s="22">
        <f>[1]SUMMARY!N580</f>
        <v>3661</v>
      </c>
      <c r="K579" s="23">
        <f t="shared" si="6"/>
        <v>0</v>
      </c>
      <c r="L579" s="8"/>
      <c r="M579" s="8"/>
    </row>
    <row r="580" spans="1:13" x14ac:dyDescent="0.2">
      <c r="A580" s="17" t="str">
        <f>[1]SUMMARY!A581</f>
        <v>225</v>
      </c>
      <c r="B580" s="17">
        <f>[1]SUMMARY!B581</f>
        <v>70</v>
      </c>
      <c r="C580" s="17" t="str">
        <f>[1]SUMMARY!C581</f>
        <v>15C</v>
      </c>
      <c r="D580" s="25" t="str">
        <f>[1]SUMMARY!D581</f>
        <v>DEESTONE (THAI)</v>
      </c>
      <c r="E580" s="25" t="str">
        <f>[1]SUMMARY!E581</f>
        <v>8PR R402</v>
      </c>
      <c r="F580" s="20"/>
      <c r="G580" s="20">
        <v>18</v>
      </c>
      <c r="H580" s="20">
        <v>18</v>
      </c>
      <c r="I580" s="21">
        <f t="shared" si="5"/>
        <v>0</v>
      </c>
      <c r="J580" s="22">
        <f>[1]SUMMARY!N581</f>
        <v>4140</v>
      </c>
      <c r="K580" s="23">
        <f t="shared" si="6"/>
        <v>0</v>
      </c>
      <c r="L580" s="8"/>
      <c r="M580" s="8"/>
    </row>
    <row r="581" spans="1:13" x14ac:dyDescent="0.2">
      <c r="A581" s="17" t="str">
        <f>[1]SUMMARY!A582</f>
        <v>235</v>
      </c>
      <c r="B581" s="17">
        <f>[1]SUMMARY!B582</f>
        <v>70</v>
      </c>
      <c r="C581" s="17">
        <f>[1]SUMMARY!C582</f>
        <v>15</v>
      </c>
      <c r="D581" s="25" t="str">
        <f>[1]SUMMARY!D582</f>
        <v>DEESTONE (THAI)</v>
      </c>
      <c r="E581" s="25" t="str">
        <f>[1]SUMMARY!E582</f>
        <v>PAYAK R601 H/T</v>
      </c>
      <c r="F581" s="20"/>
      <c r="G581" s="20">
        <v>8</v>
      </c>
      <c r="H581" s="20">
        <v>8</v>
      </c>
      <c r="I581" s="21">
        <f t="shared" si="5"/>
        <v>0</v>
      </c>
      <c r="J581" s="22">
        <f>[1]SUMMARY!N582</f>
        <v>4104</v>
      </c>
      <c r="K581" s="23">
        <f t="shared" si="6"/>
        <v>0</v>
      </c>
      <c r="L581" s="8"/>
      <c r="M581" s="8"/>
    </row>
    <row r="582" spans="1:13" x14ac:dyDescent="0.2">
      <c r="A582" s="17" t="str">
        <f>[1]SUMMARY!A583</f>
        <v>235</v>
      </c>
      <c r="B582" s="17">
        <f>[1]SUMMARY!B583</f>
        <v>75</v>
      </c>
      <c r="C582" s="17">
        <f>[1]SUMMARY!C583</f>
        <v>15</v>
      </c>
      <c r="D582" s="25" t="str">
        <f>[1]SUMMARY!D583</f>
        <v>DEESTONE (THAI)</v>
      </c>
      <c r="E582" s="25" t="str">
        <f>[1]SUMMARY!E583</f>
        <v>PAYAK R601 H/T</v>
      </c>
      <c r="F582" s="20"/>
      <c r="G582" s="20">
        <v>11</v>
      </c>
      <c r="H582" s="20">
        <v>11</v>
      </c>
      <c r="I582" s="21">
        <f t="shared" si="5"/>
        <v>0</v>
      </c>
      <c r="J582" s="22">
        <f>[1]SUMMARY!N583</f>
        <v>4259</v>
      </c>
      <c r="K582" s="23">
        <f t="shared" si="6"/>
        <v>0</v>
      </c>
      <c r="L582" s="8"/>
      <c r="M582" s="8"/>
    </row>
    <row r="583" spans="1:13" x14ac:dyDescent="0.2">
      <c r="A583" s="17" t="str">
        <f>[1]SUMMARY!A584</f>
        <v>235</v>
      </c>
      <c r="B583" s="17">
        <f>[1]SUMMARY!B584</f>
        <v>75</v>
      </c>
      <c r="C583" s="17">
        <f>[1]SUMMARY!C584</f>
        <v>15</v>
      </c>
      <c r="D583" s="25" t="str">
        <f>[1]SUMMARY!D584</f>
        <v>DEESTONE (THAI)</v>
      </c>
      <c r="E583" s="25" t="str">
        <f>[1]SUMMARY!E584</f>
        <v>MUD CLAWER M/T</v>
      </c>
      <c r="F583" s="20"/>
      <c r="G583" s="20"/>
      <c r="H583" s="20"/>
      <c r="I583" s="21">
        <f t="shared" si="5"/>
        <v>0</v>
      </c>
      <c r="J583" s="22">
        <f>[1]SUMMARY!N584</f>
        <v>5238</v>
      </c>
      <c r="K583" s="23">
        <f t="shared" si="6"/>
        <v>0</v>
      </c>
      <c r="L583" s="8"/>
      <c r="M583" s="8"/>
    </row>
    <row r="584" spans="1:13" x14ac:dyDescent="0.2">
      <c r="A584" s="17">
        <f>[1]SUMMARY!A585</f>
        <v>31</v>
      </c>
      <c r="B584" s="27" t="str">
        <f>[1]SUMMARY!B585</f>
        <v>10.5</v>
      </c>
      <c r="C584" s="17">
        <f>[1]SUMMARY!C585</f>
        <v>15</v>
      </c>
      <c r="D584" s="25" t="str">
        <f>[1]SUMMARY!D585</f>
        <v>DEESTONE (THAI)</v>
      </c>
      <c r="E584" s="25" t="str">
        <f>[1]SUMMARY!E585</f>
        <v>R404 PAYAK A/T 6PR</v>
      </c>
      <c r="F584" s="20"/>
      <c r="G584" s="20">
        <v>8</v>
      </c>
      <c r="H584" s="20">
        <v>8</v>
      </c>
      <c r="I584" s="21">
        <f t="shared" si="5"/>
        <v>0</v>
      </c>
      <c r="J584" s="22">
        <f>[1]SUMMARY!N585</f>
        <v>5914</v>
      </c>
      <c r="K584" s="23">
        <f t="shared" si="6"/>
        <v>0</v>
      </c>
      <c r="L584" s="8"/>
      <c r="M584" s="8"/>
    </row>
    <row r="585" spans="1:13" x14ac:dyDescent="0.2">
      <c r="A585" s="17" t="str">
        <f>[1]SUMMARY!A586</f>
        <v>31</v>
      </c>
      <c r="B585" s="17">
        <f>[1]SUMMARY!B586</f>
        <v>10.5</v>
      </c>
      <c r="C585" s="17">
        <f>[1]SUMMARY!C586</f>
        <v>15</v>
      </c>
      <c r="D585" s="25" t="str">
        <f>[1]SUMMARY!D586</f>
        <v>DEESTONE (THAI)</v>
      </c>
      <c r="E585" s="25" t="str">
        <f>[1]SUMMARY!E586</f>
        <v>MUD CLAWER M/T</v>
      </c>
      <c r="F585" s="20"/>
      <c r="G585" s="20">
        <v>6</v>
      </c>
      <c r="H585" s="20">
        <v>6</v>
      </c>
      <c r="I585" s="21">
        <f t="shared" si="5"/>
        <v>0</v>
      </c>
      <c r="J585" s="22">
        <f>[1]SUMMARY!N586</f>
        <v>6280</v>
      </c>
      <c r="K585" s="23">
        <f t="shared" si="6"/>
        <v>0</v>
      </c>
      <c r="L585" s="8"/>
      <c r="M585" s="8"/>
    </row>
    <row r="586" spans="1:13" x14ac:dyDescent="0.2">
      <c r="A586" s="17" t="str">
        <f>[1]SUMMARY!A587</f>
        <v>33</v>
      </c>
      <c r="B586" s="27" t="str">
        <f>[1]SUMMARY!B587</f>
        <v>12.5</v>
      </c>
      <c r="C586" s="17">
        <f>[1]SUMMARY!C587</f>
        <v>15</v>
      </c>
      <c r="D586" s="25" t="str">
        <f>[1]SUMMARY!D587</f>
        <v>DEESTONE (THAI)</v>
      </c>
      <c r="E586" s="25" t="str">
        <f>[1]SUMMARY!E587</f>
        <v xml:space="preserve">R408 BSW MUD CLAWER </v>
      </c>
      <c r="F586" s="20"/>
      <c r="G586" s="20"/>
      <c r="H586" s="20"/>
      <c r="I586" s="21">
        <f t="shared" si="5"/>
        <v>0</v>
      </c>
      <c r="J586" s="22">
        <f>[1]SUMMARY!N587</f>
        <v>7673.6</v>
      </c>
      <c r="K586" s="23">
        <f t="shared" si="6"/>
        <v>0</v>
      </c>
      <c r="L586" s="8"/>
      <c r="M586" s="8"/>
    </row>
    <row r="587" spans="1:13" x14ac:dyDescent="0.2">
      <c r="A587" s="17" t="str">
        <f>[1]SUMMARY!A588</f>
        <v>195</v>
      </c>
      <c r="B587" s="17">
        <f>[1]SUMMARY!B588</f>
        <v>0</v>
      </c>
      <c r="C587" s="17" t="str">
        <f>[1]SUMMARY!C588</f>
        <v>15C</v>
      </c>
      <c r="D587" s="25" t="str">
        <f>[1]SUMMARY!D588</f>
        <v>DEESTONE (THAI)</v>
      </c>
      <c r="E587" s="25" t="str">
        <f>[1]SUMMARY!E588</f>
        <v>R101 KACHA</v>
      </c>
      <c r="F587" s="20"/>
      <c r="G587" s="20">
        <v>18</v>
      </c>
      <c r="H587" s="20">
        <v>18</v>
      </c>
      <c r="I587" s="21">
        <f t="shared" si="5"/>
        <v>0</v>
      </c>
      <c r="J587" s="22">
        <f>[1]SUMMARY!N588</f>
        <v>3351</v>
      </c>
      <c r="K587" s="23">
        <f t="shared" si="6"/>
        <v>0</v>
      </c>
      <c r="L587" s="8"/>
      <c r="M587" s="8"/>
    </row>
    <row r="588" spans="1:13" x14ac:dyDescent="0.2">
      <c r="A588" s="17" t="str">
        <f>[1]SUMMARY!A589</f>
        <v>195</v>
      </c>
      <c r="B588" s="17">
        <f>[1]SUMMARY!B589</f>
        <v>50</v>
      </c>
      <c r="C588" s="17">
        <f>[1]SUMMARY!C589</f>
        <v>16</v>
      </c>
      <c r="D588" s="25" t="str">
        <f>[1]SUMMARY!D589</f>
        <v>DEESTONE (THAI)</v>
      </c>
      <c r="E588" s="25" t="str">
        <f>[1]SUMMARY!E589</f>
        <v>PREMIUM TOURER RA01</v>
      </c>
      <c r="F588" s="20"/>
      <c r="G588" s="20">
        <v>12</v>
      </c>
      <c r="H588" s="20">
        <v>12</v>
      </c>
      <c r="I588" s="21">
        <f t="shared" si="5"/>
        <v>0</v>
      </c>
      <c r="J588" s="22">
        <f>[1]SUMMARY!N589</f>
        <v>2619</v>
      </c>
      <c r="K588" s="23">
        <f t="shared" si="6"/>
        <v>0</v>
      </c>
      <c r="L588" s="8"/>
      <c r="M588" s="8"/>
    </row>
    <row r="589" spans="1:13" x14ac:dyDescent="0.2">
      <c r="A589" s="17" t="str">
        <f>[1]SUMMARY!A590</f>
        <v>185</v>
      </c>
      <c r="B589" s="17">
        <f>[1]SUMMARY!B590</f>
        <v>55</v>
      </c>
      <c r="C589" s="17">
        <f>[1]SUMMARY!C590</f>
        <v>16</v>
      </c>
      <c r="D589" s="25" t="str">
        <f>[1]SUMMARY!D590</f>
        <v>DEESTONE (THAI)</v>
      </c>
      <c r="E589" s="25" t="str">
        <f>[1]SUMMARY!E590</f>
        <v>VINCENTER 302</v>
      </c>
      <c r="F589" s="20"/>
      <c r="G589" s="20">
        <v>21</v>
      </c>
      <c r="H589" s="20">
        <v>21</v>
      </c>
      <c r="I589" s="21">
        <f t="shared" si="5"/>
        <v>0</v>
      </c>
      <c r="J589" s="22">
        <f>[1]SUMMARY!N590</f>
        <v>2472</v>
      </c>
      <c r="K589" s="23">
        <f t="shared" si="6"/>
        <v>0</v>
      </c>
      <c r="L589" s="8"/>
      <c r="M589" s="8"/>
    </row>
    <row r="590" spans="1:13" x14ac:dyDescent="0.2">
      <c r="A590" s="17" t="str">
        <f>[1]SUMMARY!A591</f>
        <v>205</v>
      </c>
      <c r="B590" s="17">
        <f>[1]SUMMARY!B591</f>
        <v>55</v>
      </c>
      <c r="C590" s="17">
        <f>[1]SUMMARY!C591</f>
        <v>16</v>
      </c>
      <c r="D590" s="25" t="str">
        <f>[1]SUMMARY!D591</f>
        <v>DEESTONE (THAI)</v>
      </c>
      <c r="E590" s="25" t="str">
        <f>[1]SUMMARY!E591</f>
        <v>VICENTE R302 H/T</v>
      </c>
      <c r="F590" s="20"/>
      <c r="G590" s="20">
        <v>20</v>
      </c>
      <c r="H590" s="20">
        <v>20</v>
      </c>
      <c r="I590" s="21">
        <f t="shared" si="5"/>
        <v>0</v>
      </c>
      <c r="J590" s="22">
        <f>[1]SUMMARY!N591</f>
        <v>2872</v>
      </c>
      <c r="K590" s="23">
        <f t="shared" si="6"/>
        <v>0</v>
      </c>
      <c r="L590" s="8"/>
      <c r="M590" s="8"/>
    </row>
    <row r="591" spans="1:13" x14ac:dyDescent="0.2">
      <c r="A591" s="17" t="str">
        <f>[1]SUMMARY!A592</f>
        <v>205</v>
      </c>
      <c r="B591" s="17">
        <f>[1]SUMMARY!B592</f>
        <v>60</v>
      </c>
      <c r="C591" s="17">
        <f>[1]SUMMARY!C592</f>
        <v>16</v>
      </c>
      <c r="D591" s="25" t="str">
        <f>[1]SUMMARY!D592</f>
        <v>DEESTONE (THAI)</v>
      </c>
      <c r="E591" s="25" t="str">
        <f>[1]SUMMARY!E592</f>
        <v xml:space="preserve">PREMIUM TOURER RA01 </v>
      </c>
      <c r="F591" s="20"/>
      <c r="G591" s="20">
        <v>12</v>
      </c>
      <c r="H591" s="20">
        <v>12</v>
      </c>
      <c r="I591" s="21">
        <f t="shared" si="5"/>
        <v>0</v>
      </c>
      <c r="J591" s="22">
        <f>[1]SUMMARY!N592</f>
        <v>3098</v>
      </c>
      <c r="K591" s="23">
        <f t="shared" si="6"/>
        <v>0</v>
      </c>
      <c r="L591" s="8"/>
      <c r="M591" s="8"/>
    </row>
    <row r="592" spans="1:13" x14ac:dyDescent="0.2">
      <c r="A592" s="17" t="str">
        <f>[1]SUMMARY!A593</f>
        <v>205</v>
      </c>
      <c r="B592" s="17">
        <f>[1]SUMMARY!B593</f>
        <v>65</v>
      </c>
      <c r="C592" s="17">
        <f>[1]SUMMARY!C593</f>
        <v>16</v>
      </c>
      <c r="D592" s="25" t="str">
        <f>[1]SUMMARY!D593</f>
        <v>DEESTONE (THAI)</v>
      </c>
      <c r="E592" s="25" t="str">
        <f>[1]SUMMARY!E593</f>
        <v>NAKARA R201</v>
      </c>
      <c r="F592" s="20"/>
      <c r="G592" s="20">
        <v>17</v>
      </c>
      <c r="H592" s="20">
        <v>17</v>
      </c>
      <c r="I592" s="21">
        <f t="shared" si="5"/>
        <v>0</v>
      </c>
      <c r="J592" s="22">
        <f>[1]SUMMARY!N593</f>
        <v>3196</v>
      </c>
      <c r="K592" s="23">
        <f t="shared" si="6"/>
        <v>0</v>
      </c>
      <c r="L592" s="8"/>
      <c r="M592" s="8"/>
    </row>
    <row r="593" spans="1:13" x14ac:dyDescent="0.2">
      <c r="A593" s="17">
        <f>[1]SUMMARY!A594</f>
        <v>215</v>
      </c>
      <c r="B593" s="17">
        <f>[1]SUMMARY!B594</f>
        <v>60</v>
      </c>
      <c r="C593" s="17">
        <f>[1]SUMMARY!C594</f>
        <v>16</v>
      </c>
      <c r="D593" s="25" t="str">
        <f>[1]SUMMARY!D594</f>
        <v>DEESTONE (THAI)</v>
      </c>
      <c r="E593" s="25" t="str">
        <f>[1]SUMMARY!E594</f>
        <v xml:space="preserve">R201 NAKARA </v>
      </c>
      <c r="F593" s="20"/>
      <c r="G593" s="20"/>
      <c r="H593" s="20"/>
      <c r="I593" s="21">
        <f t="shared" si="5"/>
        <v>0</v>
      </c>
      <c r="J593" s="22">
        <f>[1]SUMMARY!N594</f>
        <v>3520</v>
      </c>
      <c r="K593" s="23">
        <f t="shared" si="6"/>
        <v>0</v>
      </c>
      <c r="L593" s="8"/>
      <c r="M593" s="8"/>
    </row>
    <row r="594" spans="1:13" x14ac:dyDescent="0.2">
      <c r="A594" s="17" t="str">
        <f>[1]SUMMARY!A595</f>
        <v>215</v>
      </c>
      <c r="B594" s="17">
        <f>[1]SUMMARY!B595</f>
        <v>60</v>
      </c>
      <c r="C594" s="17">
        <f>[1]SUMMARY!C595</f>
        <v>16</v>
      </c>
      <c r="D594" s="25" t="str">
        <f>[1]SUMMARY!D595</f>
        <v>DEESTONE (THAI)</v>
      </c>
      <c r="E594" s="25" t="str">
        <f>[1]SUMMARY!E595</f>
        <v>VICENTE R302 95H</v>
      </c>
      <c r="F594" s="20"/>
      <c r="G594" s="20">
        <v>9</v>
      </c>
      <c r="H594" s="20">
        <v>9</v>
      </c>
      <c r="I594" s="21">
        <f t="shared" si="5"/>
        <v>0</v>
      </c>
      <c r="J594" s="22">
        <f>[1]SUMMARY!N595</f>
        <v>3344</v>
      </c>
      <c r="K594" s="23">
        <f t="shared" si="6"/>
        <v>0</v>
      </c>
      <c r="L594" s="8"/>
      <c r="M594" s="8"/>
    </row>
    <row r="595" spans="1:13" x14ac:dyDescent="0.2">
      <c r="A595" s="17" t="str">
        <f>[1]SUMMARY!A596</f>
        <v>235</v>
      </c>
      <c r="B595" s="17">
        <f>[1]SUMMARY!B596</f>
        <v>60</v>
      </c>
      <c r="C595" s="17">
        <f>[1]SUMMARY!C596</f>
        <v>16</v>
      </c>
      <c r="D595" s="25" t="str">
        <f>[1]SUMMARY!D596</f>
        <v>DEESTONE (THAI)</v>
      </c>
      <c r="E595" s="25" t="str">
        <f>[1]SUMMARY!E596</f>
        <v>VICENTE R302</v>
      </c>
      <c r="F595" s="20"/>
      <c r="G595" s="20">
        <v>4</v>
      </c>
      <c r="H595" s="20">
        <v>4</v>
      </c>
      <c r="I595" s="21">
        <f t="shared" si="5"/>
        <v>0</v>
      </c>
      <c r="J595" s="22">
        <f>[1]SUMMARY!N596</f>
        <v>3752</v>
      </c>
      <c r="K595" s="23">
        <f t="shared" si="6"/>
        <v>0</v>
      </c>
      <c r="L595" s="8"/>
      <c r="M595" s="8"/>
    </row>
    <row r="596" spans="1:13" x14ac:dyDescent="0.2">
      <c r="A596" s="17" t="str">
        <f>[1]SUMMARY!A597</f>
        <v>235</v>
      </c>
      <c r="B596" s="17">
        <f>[1]SUMMARY!B597</f>
        <v>65</v>
      </c>
      <c r="C596" s="17" t="str">
        <f>[1]SUMMARY!C597</f>
        <v>16C</v>
      </c>
      <c r="D596" s="25" t="str">
        <f>[1]SUMMARY!D597</f>
        <v>DEESTONE (THAI)</v>
      </c>
      <c r="E596" s="25" t="str">
        <f>[1]SUMMARY!E597</f>
        <v>PAYAK R402 8PR</v>
      </c>
      <c r="F596" s="20"/>
      <c r="G596" s="20">
        <v>14</v>
      </c>
      <c r="H596" s="20">
        <v>14</v>
      </c>
      <c r="I596" s="21">
        <f t="shared" si="5"/>
        <v>0</v>
      </c>
      <c r="J596" s="22">
        <f>[1]SUMMARY!N597</f>
        <v>4752</v>
      </c>
      <c r="K596" s="23">
        <f t="shared" si="6"/>
        <v>0</v>
      </c>
      <c r="L596" s="8"/>
      <c r="M596" s="8"/>
    </row>
    <row r="597" spans="1:13" x14ac:dyDescent="0.2">
      <c r="A597" s="17" t="str">
        <f>[1]SUMMARY!A598</f>
        <v>215</v>
      </c>
      <c r="B597" s="17">
        <f>[1]SUMMARY!B598</f>
        <v>70</v>
      </c>
      <c r="C597" s="17" t="str">
        <f>[1]SUMMARY!C598</f>
        <v>16C</v>
      </c>
      <c r="D597" s="25" t="str">
        <f>[1]SUMMARY!D598</f>
        <v>DEESTONE (THAI)</v>
      </c>
      <c r="E597" s="25" t="str">
        <f>[1]SUMMARY!E598</f>
        <v>TITAN T88 8PR</v>
      </c>
      <c r="F597" s="20"/>
      <c r="G597" s="20">
        <v>11</v>
      </c>
      <c r="H597" s="20">
        <v>11</v>
      </c>
      <c r="I597" s="21">
        <f t="shared" si="5"/>
        <v>0</v>
      </c>
      <c r="J597" s="22">
        <f>[1]SUMMARY!N598</f>
        <v>3928</v>
      </c>
      <c r="K597" s="23">
        <f t="shared" si="6"/>
        <v>0</v>
      </c>
      <c r="L597" s="8"/>
      <c r="M597" s="8"/>
    </row>
    <row r="598" spans="1:13" x14ac:dyDescent="0.2">
      <c r="A598" s="17" t="str">
        <f>[1]SUMMARY!A599</f>
        <v>245</v>
      </c>
      <c r="B598" s="17">
        <f>[1]SUMMARY!B599</f>
        <v>70</v>
      </c>
      <c r="C598" s="17">
        <f>[1]SUMMARY!C599</f>
        <v>16</v>
      </c>
      <c r="D598" s="25" t="str">
        <f>[1]SUMMARY!D599</f>
        <v>DEESTONE (THAI)</v>
      </c>
      <c r="E598" s="25" t="str">
        <f>[1]SUMMARY!E599</f>
        <v>R403 PAYAK</v>
      </c>
      <c r="F598" s="20"/>
      <c r="G598" s="20">
        <v>4</v>
      </c>
      <c r="H598" s="20">
        <v>4</v>
      </c>
      <c r="I598" s="21">
        <f t="shared" si="5"/>
        <v>0</v>
      </c>
      <c r="J598" s="22">
        <f>[1]SUMMARY!N599</f>
        <v>4696</v>
      </c>
      <c r="K598" s="23">
        <f t="shared" si="6"/>
        <v>0</v>
      </c>
      <c r="L598" s="8"/>
      <c r="M598" s="8"/>
    </row>
    <row r="599" spans="1:13" x14ac:dyDescent="0.2">
      <c r="A599" s="17" t="str">
        <f>[1]SUMMARY!A600</f>
        <v>265</v>
      </c>
      <c r="B599" s="17">
        <f>[1]SUMMARY!B600</f>
        <v>70</v>
      </c>
      <c r="C599" s="17">
        <f>[1]SUMMARY!C600</f>
        <v>16</v>
      </c>
      <c r="D599" s="25" t="str">
        <f>[1]SUMMARY!D600</f>
        <v>DEESTONE (THAI)</v>
      </c>
      <c r="E599" s="25" t="str">
        <f>[1]SUMMARY!E600</f>
        <v>PAYAK R404 A/T 6PR</v>
      </c>
      <c r="F599" s="20"/>
      <c r="G599" s="20">
        <v>12</v>
      </c>
      <c r="H599" s="20">
        <v>12</v>
      </c>
      <c r="I599" s="21">
        <f t="shared" si="5"/>
        <v>0</v>
      </c>
      <c r="J599" s="22">
        <f>[1]SUMMARY!N600</f>
        <v>5582</v>
      </c>
      <c r="K599" s="23">
        <f t="shared" si="6"/>
        <v>0</v>
      </c>
      <c r="L599" s="8"/>
      <c r="M599" s="8"/>
    </row>
    <row r="600" spans="1:13" x14ac:dyDescent="0.2">
      <c r="A600" s="17" t="str">
        <f>[1]SUMMARY!A601</f>
        <v>205</v>
      </c>
      <c r="B600" s="17">
        <f>[1]SUMMARY!B601</f>
        <v>75</v>
      </c>
      <c r="C600" s="17" t="str">
        <f>[1]SUMMARY!C601</f>
        <v>16C</v>
      </c>
      <c r="D600" s="25" t="str">
        <f>[1]SUMMARY!D601</f>
        <v>DEESTONE (THAI)</v>
      </c>
      <c r="E600" s="25" t="str">
        <f>[1]SUMMARY!E601</f>
        <v>PAYAK R402 8PR</v>
      </c>
      <c r="F600" s="20"/>
      <c r="G600" s="20"/>
      <c r="H600" s="20"/>
      <c r="I600" s="21">
        <f t="shared" si="5"/>
        <v>0</v>
      </c>
      <c r="J600" s="22">
        <f>[1]SUMMARY!N601</f>
        <v>4224</v>
      </c>
      <c r="K600" s="23">
        <f t="shared" si="6"/>
        <v>0</v>
      </c>
      <c r="L600" s="8"/>
      <c r="M600" s="8"/>
    </row>
    <row r="601" spans="1:13" x14ac:dyDescent="0.2">
      <c r="A601" s="17" t="str">
        <f>[1]SUMMARY!A602</f>
        <v>245</v>
      </c>
      <c r="B601" s="17">
        <f>[1]SUMMARY!B602</f>
        <v>75</v>
      </c>
      <c r="C601" s="17">
        <f>[1]SUMMARY!C602</f>
        <v>16</v>
      </c>
      <c r="D601" s="25" t="str">
        <f>[1]SUMMARY!D602</f>
        <v>DEESTONE (THAI)</v>
      </c>
      <c r="E601" s="25" t="str">
        <f>[1]SUMMARY!E602</f>
        <v>POWER CRUZ X/T XT421</v>
      </c>
      <c r="F601" s="20"/>
      <c r="G601" s="20"/>
      <c r="H601" s="20"/>
      <c r="I601" s="21">
        <f t="shared" si="5"/>
        <v>0</v>
      </c>
      <c r="J601" s="22">
        <f>[1]SUMMARY!N602</f>
        <v>6110</v>
      </c>
      <c r="K601" s="23">
        <f t="shared" si="6"/>
        <v>0</v>
      </c>
      <c r="L601" s="8"/>
      <c r="M601" s="8"/>
    </row>
    <row r="602" spans="1:13" x14ac:dyDescent="0.2">
      <c r="A602" s="17" t="str">
        <f>[1]SUMMARY!A603</f>
        <v>265</v>
      </c>
      <c r="B602" s="17">
        <f>[1]SUMMARY!B603</f>
        <v>75</v>
      </c>
      <c r="C602" s="17">
        <f>[1]SUMMARY!C603</f>
        <v>16</v>
      </c>
      <c r="D602" s="25" t="str">
        <f>[1]SUMMARY!D603</f>
        <v>DEESTONE (THAI)</v>
      </c>
      <c r="E602" s="25" t="str">
        <f>[1]SUMMARY!E603</f>
        <v>MUD CLAWER M/T</v>
      </c>
      <c r="F602" s="20"/>
      <c r="G602" s="20">
        <v>4</v>
      </c>
      <c r="H602" s="20">
        <v>4</v>
      </c>
      <c r="I602" s="21">
        <f t="shared" si="5"/>
        <v>0</v>
      </c>
      <c r="J602" s="22">
        <f>[1]SUMMARY!N603</f>
        <v>7040</v>
      </c>
      <c r="K602" s="23">
        <f t="shared" si="6"/>
        <v>0</v>
      </c>
      <c r="L602" s="8"/>
      <c r="M602" s="8"/>
    </row>
    <row r="603" spans="1:13" x14ac:dyDescent="0.2">
      <c r="A603" s="17" t="str">
        <f>[1]SUMMARY!A604</f>
        <v>205</v>
      </c>
      <c r="B603" s="17">
        <f>[1]SUMMARY!B604</f>
        <v>45</v>
      </c>
      <c r="C603" s="17">
        <f>[1]SUMMARY!C604</f>
        <v>17</v>
      </c>
      <c r="D603" s="25" t="str">
        <f>[1]SUMMARY!D604</f>
        <v>DEESTONE (THAI)</v>
      </c>
      <c r="E603" s="25" t="str">
        <f>[1]SUMMARY!E604</f>
        <v>CARRERAS R702 88W/XL</v>
      </c>
      <c r="F603" s="20"/>
      <c r="G603" s="20">
        <v>30</v>
      </c>
      <c r="H603" s="20">
        <v>30</v>
      </c>
      <c r="I603" s="21">
        <f t="shared" si="5"/>
        <v>0</v>
      </c>
      <c r="J603" s="22">
        <f>[1]SUMMARY!N604</f>
        <v>2852</v>
      </c>
      <c r="K603" s="23">
        <f t="shared" si="6"/>
        <v>0</v>
      </c>
      <c r="L603" s="8"/>
      <c r="M603" s="8"/>
    </row>
    <row r="604" spans="1:13" x14ac:dyDescent="0.2">
      <c r="A604" s="17" t="str">
        <f>[1]SUMMARY!A605</f>
        <v>215</v>
      </c>
      <c r="B604" s="17">
        <f>[1]SUMMARY!B605</f>
        <v>45</v>
      </c>
      <c r="C604" s="17">
        <f>[1]SUMMARY!C605</f>
        <v>17</v>
      </c>
      <c r="D604" s="25" t="str">
        <f>[1]SUMMARY!D605</f>
        <v>DEESTONE (THAI)</v>
      </c>
      <c r="E604" s="25" t="str">
        <f>[1]SUMMARY!E605</f>
        <v>CARRERAS R702</v>
      </c>
      <c r="F604" s="20"/>
      <c r="G604" s="20">
        <v>16</v>
      </c>
      <c r="H604" s="20">
        <v>16</v>
      </c>
      <c r="I604" s="21">
        <f t="shared" si="5"/>
        <v>0</v>
      </c>
      <c r="J604" s="22">
        <f>[1]SUMMARY!N605</f>
        <v>2992</v>
      </c>
      <c r="K604" s="23">
        <f t="shared" si="6"/>
        <v>0</v>
      </c>
      <c r="L604" s="8"/>
      <c r="M604" s="8"/>
    </row>
    <row r="605" spans="1:13" x14ac:dyDescent="0.2">
      <c r="A605" s="17" t="str">
        <f>[1]SUMMARY!A606</f>
        <v>215</v>
      </c>
      <c r="B605" s="17">
        <f>[1]SUMMARY!B606</f>
        <v>50</v>
      </c>
      <c r="C605" s="17">
        <f>[1]SUMMARY!C606</f>
        <v>17</v>
      </c>
      <c r="D605" s="25" t="str">
        <f>[1]SUMMARY!D606</f>
        <v>DEESTONE (THAI)</v>
      </c>
      <c r="E605" s="25" t="str">
        <f>[1]SUMMARY!E606</f>
        <v>PREMIUM TOURER</v>
      </c>
      <c r="F605" s="20"/>
      <c r="G605" s="20">
        <v>8</v>
      </c>
      <c r="H605" s="20">
        <v>8</v>
      </c>
      <c r="I605" s="21">
        <f t="shared" si="5"/>
        <v>0</v>
      </c>
      <c r="J605" s="22">
        <f>[1]SUMMARY!N606</f>
        <v>3351</v>
      </c>
      <c r="K605" s="23">
        <f t="shared" si="6"/>
        <v>0</v>
      </c>
      <c r="L605" s="8"/>
      <c r="M605" s="8"/>
    </row>
    <row r="606" spans="1:13" x14ac:dyDescent="0.2">
      <c r="A606" s="17" t="str">
        <f>[1]SUMMARY!A607</f>
        <v>215</v>
      </c>
      <c r="B606" s="17">
        <f>[1]SUMMARY!B607</f>
        <v>55</v>
      </c>
      <c r="C606" s="17">
        <f>[1]SUMMARY!C607</f>
        <v>17</v>
      </c>
      <c r="D606" s="25" t="str">
        <f>[1]SUMMARY!D607</f>
        <v>DEESTONE (THAI)</v>
      </c>
      <c r="E606" s="25" t="str">
        <f>[1]SUMMARY!E607</f>
        <v>PREMIUM TOURER RA01</v>
      </c>
      <c r="F606" s="20"/>
      <c r="G606" s="20">
        <v>8</v>
      </c>
      <c r="H606" s="20">
        <v>8</v>
      </c>
      <c r="I606" s="21">
        <f t="shared" si="5"/>
        <v>0</v>
      </c>
      <c r="J606" s="22">
        <f>[1]SUMMARY!N607</f>
        <v>3478</v>
      </c>
      <c r="K606" s="23">
        <f t="shared" si="6"/>
        <v>0</v>
      </c>
      <c r="L606" s="8"/>
      <c r="M606" s="8"/>
    </row>
    <row r="607" spans="1:13" x14ac:dyDescent="0.2">
      <c r="A607" s="17" t="str">
        <f>[1]SUMMARY!A608</f>
        <v>265</v>
      </c>
      <c r="B607" s="17">
        <f>[1]SUMMARY!B608</f>
        <v>65</v>
      </c>
      <c r="C607" s="17">
        <f>[1]SUMMARY!C608</f>
        <v>17</v>
      </c>
      <c r="D607" s="25" t="str">
        <f>[1]SUMMARY!D608</f>
        <v>DEESTONE (THAI)</v>
      </c>
      <c r="E607" s="25" t="str">
        <f>[1]SUMMARY!E608</f>
        <v>PAYAK R601 H/T-BSW</v>
      </c>
      <c r="F607" s="20"/>
      <c r="G607" s="20">
        <v>16</v>
      </c>
      <c r="H607" s="20">
        <v>16</v>
      </c>
      <c r="I607" s="21">
        <f t="shared" si="5"/>
        <v>0</v>
      </c>
      <c r="J607" s="22">
        <f>[1]SUMMARY!N608</f>
        <v>5104</v>
      </c>
      <c r="K607" s="23">
        <f t="shared" si="6"/>
        <v>0</v>
      </c>
      <c r="L607" s="8"/>
      <c r="M607" s="8"/>
    </row>
    <row r="608" spans="1:13" x14ac:dyDescent="0.2">
      <c r="A608" s="17" t="str">
        <f>[1]SUMMARY!A609</f>
        <v>265</v>
      </c>
      <c r="B608" s="17">
        <f>[1]SUMMARY!B609</f>
        <v>65</v>
      </c>
      <c r="C608" s="17">
        <f>[1]SUMMARY!C609</f>
        <v>17</v>
      </c>
      <c r="D608" s="25" t="str">
        <f>[1]SUMMARY!D609</f>
        <v>DEESTONE (THAI)</v>
      </c>
      <c r="E608" s="25" t="str">
        <f>[1]SUMMARY!E609</f>
        <v>PAYAK R404 A/T</v>
      </c>
      <c r="F608" s="20"/>
      <c r="G608" s="20">
        <v>28</v>
      </c>
      <c r="H608" s="20">
        <v>28</v>
      </c>
      <c r="I608" s="21">
        <f t="shared" si="5"/>
        <v>0</v>
      </c>
      <c r="J608" s="22">
        <f>[1]SUMMARY!N609</f>
        <v>5625</v>
      </c>
      <c r="K608" s="23">
        <f t="shared" si="6"/>
        <v>0</v>
      </c>
      <c r="L608" s="8"/>
      <c r="M608" s="8"/>
    </row>
    <row r="609" spans="1:13" x14ac:dyDescent="0.2">
      <c r="A609" s="17" t="str">
        <f>[1]SUMMARY!A610</f>
        <v>265</v>
      </c>
      <c r="B609" s="17">
        <f>[1]SUMMARY!B610</f>
        <v>70</v>
      </c>
      <c r="C609" s="17">
        <f>[1]SUMMARY!C610</f>
        <v>17</v>
      </c>
      <c r="D609" s="25" t="str">
        <f>[1]SUMMARY!D610</f>
        <v>DEESTONE (THAI)</v>
      </c>
      <c r="E609" s="25" t="str">
        <f>[1]SUMMARY!E610</f>
        <v>PAYAK R404 A/T 6PR</v>
      </c>
      <c r="F609" s="20"/>
      <c r="G609" s="20">
        <v>12</v>
      </c>
      <c r="H609" s="20">
        <v>12</v>
      </c>
      <c r="I609" s="21">
        <f t="shared" si="5"/>
        <v>0</v>
      </c>
      <c r="J609" s="22">
        <f>[1]SUMMARY!N610</f>
        <v>6055</v>
      </c>
      <c r="K609" s="23">
        <f t="shared" si="6"/>
        <v>0</v>
      </c>
      <c r="L609" s="8"/>
      <c r="M609" s="8"/>
    </row>
    <row r="610" spans="1:13" x14ac:dyDescent="0.2">
      <c r="A610" s="17" t="str">
        <f>[1]SUMMARY!A611</f>
        <v>225</v>
      </c>
      <c r="B610" s="17">
        <f>[1]SUMMARY!B611</f>
        <v>45</v>
      </c>
      <c r="C610" s="17">
        <f>[1]SUMMARY!C611</f>
        <v>18</v>
      </c>
      <c r="D610" s="25" t="str">
        <f>[1]SUMMARY!D611</f>
        <v>DEESTONE (THAI)</v>
      </c>
      <c r="E610" s="25" t="str">
        <f>[1]SUMMARY!E611</f>
        <v>CARRERAS R702</v>
      </c>
      <c r="F610" s="20"/>
      <c r="G610" s="20">
        <v>10</v>
      </c>
      <c r="H610" s="20">
        <v>10</v>
      </c>
      <c r="I610" s="21">
        <f t="shared" si="5"/>
        <v>0</v>
      </c>
      <c r="J610" s="22">
        <f>[1]SUMMARY!N611</f>
        <v>3583</v>
      </c>
      <c r="K610" s="23">
        <f t="shared" si="6"/>
        <v>0</v>
      </c>
      <c r="L610" s="8"/>
      <c r="M610" s="8"/>
    </row>
    <row r="611" spans="1:13" x14ac:dyDescent="0.2">
      <c r="A611" s="17" t="str">
        <f>[1]SUMMARY!A612</f>
        <v>265</v>
      </c>
      <c r="B611" s="17">
        <f>[1]SUMMARY!B612</f>
        <v>60</v>
      </c>
      <c r="C611" s="17">
        <f>[1]SUMMARY!C612</f>
        <v>18</v>
      </c>
      <c r="D611" s="25" t="str">
        <f>[1]SUMMARY!D612</f>
        <v>DEESTONE (THAI)</v>
      </c>
      <c r="E611" s="25" t="str">
        <f>[1]SUMMARY!E612</f>
        <v>PAYAK R404 A/T 110T</v>
      </c>
      <c r="F611" s="20"/>
      <c r="G611" s="20">
        <v>22</v>
      </c>
      <c r="H611" s="20">
        <v>22</v>
      </c>
      <c r="I611" s="21">
        <f t="shared" si="5"/>
        <v>0</v>
      </c>
      <c r="J611" s="22">
        <f>[1]SUMMARY!N612</f>
        <v>5780</v>
      </c>
      <c r="K611" s="23">
        <f t="shared" si="6"/>
        <v>0</v>
      </c>
      <c r="L611" s="8"/>
      <c r="M611" s="8"/>
    </row>
    <row r="612" spans="1:13" x14ac:dyDescent="0.2">
      <c r="A612" s="27" t="str">
        <f>[1]SUMMARY!A613</f>
        <v>35</v>
      </c>
      <c r="B612" s="27" t="str">
        <f>[1]SUMMARY!B613</f>
        <v>12.5</v>
      </c>
      <c r="C612" s="17">
        <f>[1]SUMMARY!C613</f>
        <v>18</v>
      </c>
      <c r="D612" s="25" t="str">
        <f>[1]SUMMARY!D613</f>
        <v>DEESTONE (THAI)</v>
      </c>
      <c r="E612" s="25" t="str">
        <f>[1]SUMMARY!E613</f>
        <v>R405 MUD CLAWER</v>
      </c>
      <c r="F612" s="20"/>
      <c r="G612" s="20"/>
      <c r="H612" s="20"/>
      <c r="I612" s="21">
        <f t="shared" si="5"/>
        <v>0</v>
      </c>
      <c r="J612" s="22">
        <f>[1]SUMMARY!N613</f>
        <v>7823.25</v>
      </c>
      <c r="K612" s="23">
        <f t="shared" si="6"/>
        <v>0</v>
      </c>
      <c r="L612" s="8"/>
      <c r="M612" s="8"/>
    </row>
    <row r="613" spans="1:13" x14ac:dyDescent="0.2">
      <c r="A613" s="17" t="str">
        <f>[1]SUMMARY!A614</f>
        <v>265</v>
      </c>
      <c r="B613" s="17">
        <f>[1]SUMMARY!B614</f>
        <v>50</v>
      </c>
      <c r="C613" s="17">
        <f>[1]SUMMARY!C614</f>
        <v>20</v>
      </c>
      <c r="D613" s="25" t="str">
        <f>[1]SUMMARY!D614</f>
        <v>DEESTONE (THAI)</v>
      </c>
      <c r="E613" s="25" t="str">
        <f>[1]SUMMARY!E614</f>
        <v>CARRERAS R702 H/T</v>
      </c>
      <c r="F613" s="20"/>
      <c r="G613" s="20">
        <v>12</v>
      </c>
      <c r="H613" s="20">
        <v>12</v>
      </c>
      <c r="I613" s="21">
        <f t="shared" si="5"/>
        <v>0</v>
      </c>
      <c r="J613" s="22">
        <f>[1]SUMMARY!N614</f>
        <v>5174</v>
      </c>
      <c r="K613" s="23">
        <f t="shared" si="6"/>
        <v>0</v>
      </c>
      <c r="L613" s="28">
        <f>SUM(K558:K613)</f>
        <v>0</v>
      </c>
      <c r="M613" s="29" t="s">
        <v>26</v>
      </c>
    </row>
    <row r="614" spans="1:13" x14ac:dyDescent="0.2">
      <c r="A614" s="17" t="str">
        <f>[1]SUMMARY!A615</f>
        <v>205</v>
      </c>
      <c r="B614" s="17">
        <f>[1]SUMMARY!B615</f>
        <v>55</v>
      </c>
      <c r="C614" s="17">
        <f>[1]SUMMARY!C615</f>
        <v>16</v>
      </c>
      <c r="D614" s="25" t="str">
        <f>[1]SUMMARY!D615</f>
        <v>DELIUM/SPECTRA</v>
      </c>
      <c r="E614" s="25" t="str">
        <f>[1]SUMMARY!E615</f>
        <v>EVOLUTION SP</v>
      </c>
      <c r="F614" s="20"/>
      <c r="G614" s="20"/>
      <c r="H614" s="20"/>
      <c r="I614" s="21">
        <f t="shared" si="5"/>
        <v>0</v>
      </c>
      <c r="J614" s="22">
        <f>[1]SUMMARY!N615</f>
        <v>3600</v>
      </c>
      <c r="K614" s="23">
        <f t="shared" si="6"/>
        <v>0</v>
      </c>
      <c r="L614" s="8"/>
      <c r="M614" s="8"/>
    </row>
    <row r="615" spans="1:13" x14ac:dyDescent="0.2">
      <c r="A615" s="17" t="str">
        <f>[1]SUMMARY!A616</f>
        <v>245</v>
      </c>
      <c r="B615" s="17">
        <f>[1]SUMMARY!B616</f>
        <v>70</v>
      </c>
      <c r="C615" s="17">
        <f>[1]SUMMARY!C616</f>
        <v>16</v>
      </c>
      <c r="D615" s="25" t="str">
        <f>[1]SUMMARY!D616</f>
        <v>DELIUM/SPECTRA</v>
      </c>
      <c r="E615" s="25" t="str">
        <f>[1]SUMMARY!E616</f>
        <v>A/T</v>
      </c>
      <c r="F615" s="20"/>
      <c r="G615" s="20"/>
      <c r="H615" s="20"/>
      <c r="I615" s="21">
        <f t="shared" si="5"/>
        <v>0</v>
      </c>
      <c r="J615" s="22">
        <f>[1]SUMMARY!N616</f>
        <v>4892</v>
      </c>
      <c r="K615" s="23">
        <f t="shared" si="6"/>
        <v>0</v>
      </c>
      <c r="L615" s="28">
        <f>SUM(K614:K615)</f>
        <v>0</v>
      </c>
      <c r="M615" s="29" t="s">
        <v>27</v>
      </c>
    </row>
    <row r="616" spans="1:13" x14ac:dyDescent="0.2">
      <c r="A616" s="17" t="str">
        <f>[1]SUMMARY!A617</f>
        <v>225</v>
      </c>
      <c r="B616" s="17">
        <f>[1]SUMMARY!B617</f>
        <v>55</v>
      </c>
      <c r="C616" s="17">
        <f>[1]SUMMARY!C617</f>
        <v>18</v>
      </c>
      <c r="D616" s="25" t="str">
        <f>[1]SUMMARY!D617</f>
        <v>DOUBLE COIN</v>
      </c>
      <c r="E616" s="25" t="str">
        <f>[1]SUMMARY!E617</f>
        <v>DS-66HP</v>
      </c>
      <c r="F616" s="20"/>
      <c r="G616" s="20"/>
      <c r="H616" s="20"/>
      <c r="I616" s="21">
        <f t="shared" si="5"/>
        <v>0</v>
      </c>
      <c r="J616" s="22">
        <f>[1]SUMMARY!N617</f>
        <v>3249</v>
      </c>
      <c r="K616" s="23">
        <f t="shared" si="6"/>
        <v>0</v>
      </c>
      <c r="L616" s="28">
        <f t="shared" ref="L616:L617" si="7">SUM(K616)</f>
        <v>0</v>
      </c>
      <c r="M616" s="29" t="s">
        <v>28</v>
      </c>
    </row>
    <row r="617" spans="1:13" x14ac:dyDescent="0.2">
      <c r="A617" s="17" t="str">
        <f>[1]SUMMARY!A618</f>
        <v>165</v>
      </c>
      <c r="B617" s="17">
        <f>[1]SUMMARY!B618</f>
        <v>60</v>
      </c>
      <c r="C617" s="17">
        <f>[1]SUMMARY!C618</f>
        <v>14</v>
      </c>
      <c r="D617" s="25" t="str">
        <f>[1]SUMMARY!D618</f>
        <v>DOUBLE STAR</v>
      </c>
      <c r="E617" s="25" t="str">
        <f>[1]SUMMARY!E618</f>
        <v>DH05</v>
      </c>
      <c r="F617" s="20"/>
      <c r="G617" s="20"/>
      <c r="H617" s="20"/>
      <c r="I617" s="21">
        <f t="shared" si="5"/>
        <v>0</v>
      </c>
      <c r="J617" s="22">
        <f>[1]SUMMARY!N618</f>
        <v>1800</v>
      </c>
      <c r="K617" s="23">
        <f t="shared" si="6"/>
        <v>0</v>
      </c>
      <c r="L617" s="28">
        <f t="shared" si="7"/>
        <v>0</v>
      </c>
      <c r="M617" s="29" t="s">
        <v>29</v>
      </c>
    </row>
    <row r="618" spans="1:13" x14ac:dyDescent="0.2">
      <c r="A618" s="17" t="str">
        <f>[1]SUMMARY!A619</f>
        <v>185</v>
      </c>
      <c r="B618" s="17">
        <f>[1]SUMMARY!B619</f>
        <v>70</v>
      </c>
      <c r="C618" s="17">
        <f>[1]SUMMARY!C619</f>
        <v>14</v>
      </c>
      <c r="D618" s="25" t="str">
        <f>[1]SUMMARY!D619</f>
        <v>DUNLOP</v>
      </c>
      <c r="E618" s="25" t="str">
        <f>[1]SUMMARY!E619</f>
        <v>LM705</v>
      </c>
      <c r="F618" s="20"/>
      <c r="G618" s="20"/>
      <c r="H618" s="20"/>
      <c r="I618" s="21">
        <f t="shared" si="5"/>
        <v>0</v>
      </c>
      <c r="J618" s="22">
        <f>[1]SUMMARY!N619</f>
        <v>3900</v>
      </c>
      <c r="K618" s="23">
        <f t="shared" si="6"/>
        <v>0</v>
      </c>
      <c r="L618" s="8"/>
      <c r="M618" s="8"/>
    </row>
    <row r="619" spans="1:13" x14ac:dyDescent="0.2">
      <c r="A619" s="17" t="str">
        <f>[1]SUMMARY!A620</f>
        <v>205</v>
      </c>
      <c r="B619" s="17">
        <f>[1]SUMMARY!B620</f>
        <v>75</v>
      </c>
      <c r="C619" s="17">
        <f>[1]SUMMARY!C620</f>
        <v>14</v>
      </c>
      <c r="D619" s="25" t="str">
        <f>[1]SUMMARY!D620</f>
        <v>DUNLOP</v>
      </c>
      <c r="E619" s="25" t="str">
        <f>[1]SUMMARY!E620</f>
        <v>SP601</v>
      </c>
      <c r="F619" s="20"/>
      <c r="G619" s="20"/>
      <c r="H619" s="20"/>
      <c r="I619" s="21">
        <f t="shared" si="5"/>
        <v>0</v>
      </c>
      <c r="J619" s="22">
        <f>[1]SUMMARY!N620</f>
        <v>4465</v>
      </c>
      <c r="K619" s="23">
        <f t="shared" si="6"/>
        <v>0</v>
      </c>
      <c r="L619" s="8"/>
      <c r="M619" s="8"/>
    </row>
    <row r="620" spans="1:13" x14ac:dyDescent="0.2">
      <c r="A620" s="17" t="str">
        <f>[1]SUMMARY!A621</f>
        <v>185</v>
      </c>
      <c r="B620" s="17">
        <f>[1]SUMMARY!B621</f>
        <v>65</v>
      </c>
      <c r="C620" s="17">
        <f>[1]SUMMARY!C621</f>
        <v>15</v>
      </c>
      <c r="D620" s="25" t="str">
        <f>[1]SUMMARY!D621</f>
        <v>DUNLOP</v>
      </c>
      <c r="E620" s="25" t="str">
        <f>[1]SUMMARY!E621</f>
        <v>LM705</v>
      </c>
      <c r="F620" s="20"/>
      <c r="G620" s="20"/>
      <c r="H620" s="20"/>
      <c r="I620" s="21">
        <f t="shared" si="5"/>
        <v>0</v>
      </c>
      <c r="J620" s="22">
        <f>[1]SUMMARY!N621</f>
        <v>3724</v>
      </c>
      <c r="K620" s="23">
        <f t="shared" si="6"/>
        <v>0</v>
      </c>
      <c r="L620" s="8"/>
      <c r="M620" s="8"/>
    </row>
    <row r="621" spans="1:13" x14ac:dyDescent="0.2">
      <c r="A621" s="17" t="str">
        <f>[1]SUMMARY!A622</f>
        <v>195</v>
      </c>
      <c r="B621" s="17">
        <f>[1]SUMMARY!B622</f>
        <v>80</v>
      </c>
      <c r="C621" s="17">
        <f>[1]SUMMARY!C622</f>
        <v>15</v>
      </c>
      <c r="D621" s="25" t="str">
        <f>[1]SUMMARY!D622</f>
        <v>DUNLOP</v>
      </c>
      <c r="E621" s="25" t="str">
        <f>[1]SUMMARY!E622</f>
        <v>GRANNDTREK AT20</v>
      </c>
      <c r="F621" s="20"/>
      <c r="G621" s="20">
        <v>4</v>
      </c>
      <c r="H621" s="20">
        <v>4</v>
      </c>
      <c r="I621" s="21">
        <f t="shared" si="5"/>
        <v>0</v>
      </c>
      <c r="J621" s="22">
        <f>[1]SUMMARY!N622</f>
        <v>6200</v>
      </c>
      <c r="K621" s="23">
        <f t="shared" si="6"/>
        <v>0</v>
      </c>
      <c r="L621" s="8"/>
      <c r="M621" s="8"/>
    </row>
    <row r="622" spans="1:13" x14ac:dyDescent="0.2">
      <c r="A622" s="17" t="str">
        <f>[1]SUMMARY!A623</f>
        <v>205</v>
      </c>
      <c r="B622" s="17">
        <f>[1]SUMMARY!B623</f>
        <v>0</v>
      </c>
      <c r="C622" s="17">
        <f>[1]SUMMARY!C623</f>
        <v>16</v>
      </c>
      <c r="D622" s="25" t="str">
        <f>[1]SUMMARY!D623</f>
        <v>DUNLOP</v>
      </c>
      <c r="E622" s="25" t="str">
        <f>[1]SUMMARY!E623</f>
        <v>AT3</v>
      </c>
      <c r="F622" s="20"/>
      <c r="G622" s="20"/>
      <c r="H622" s="20"/>
      <c r="I622" s="21">
        <f t="shared" si="5"/>
        <v>0</v>
      </c>
      <c r="J622" s="22">
        <f>[1]SUMMARY!N623</f>
        <v>8010.24</v>
      </c>
      <c r="K622" s="23">
        <f t="shared" si="6"/>
        <v>0</v>
      </c>
      <c r="L622" s="8"/>
      <c r="M622" s="8"/>
    </row>
    <row r="623" spans="1:13" x14ac:dyDescent="0.2">
      <c r="A623" s="17" t="str">
        <f>[1]SUMMARY!A624</f>
        <v>225</v>
      </c>
      <c r="B623" s="17">
        <f>[1]SUMMARY!B624</f>
        <v>70</v>
      </c>
      <c r="C623" s="17">
        <f>[1]SUMMARY!C624</f>
        <v>16</v>
      </c>
      <c r="D623" s="25" t="str">
        <f>[1]SUMMARY!D624</f>
        <v>DUNLOP</v>
      </c>
      <c r="E623" s="25" t="str">
        <f>[1]SUMMARY!E624</f>
        <v>AT5</v>
      </c>
      <c r="F623" s="20"/>
      <c r="G623" s="20"/>
      <c r="H623" s="20"/>
      <c r="I623" s="21">
        <f t="shared" si="5"/>
        <v>0</v>
      </c>
      <c r="J623" s="22">
        <f>[1]SUMMARY!N624</f>
        <v>7050.33</v>
      </c>
      <c r="K623" s="23">
        <f t="shared" si="6"/>
        <v>0</v>
      </c>
      <c r="L623" s="8"/>
      <c r="M623" s="8"/>
    </row>
    <row r="624" spans="1:13" x14ac:dyDescent="0.2">
      <c r="A624" s="17" t="str">
        <f>[1]SUMMARY!A625</f>
        <v>225</v>
      </c>
      <c r="B624" s="17">
        <f>[1]SUMMARY!B625</f>
        <v>45</v>
      </c>
      <c r="C624" s="17">
        <f>[1]SUMMARY!C625</f>
        <v>17</v>
      </c>
      <c r="D624" s="25" t="str">
        <f>[1]SUMMARY!D625</f>
        <v>DUNLOP</v>
      </c>
      <c r="E624" s="25" t="str">
        <f>[1]SUMMARY!E625</f>
        <v>LM705</v>
      </c>
      <c r="F624" s="20"/>
      <c r="G624" s="20"/>
      <c r="H624" s="20"/>
      <c r="I624" s="21">
        <f t="shared" si="5"/>
        <v>0</v>
      </c>
      <c r="J624" s="22">
        <f>[1]SUMMARY!N625</f>
        <v>6400</v>
      </c>
      <c r="K624" s="23">
        <f t="shared" si="6"/>
        <v>0</v>
      </c>
      <c r="L624" s="8"/>
      <c r="M624" s="8"/>
    </row>
    <row r="625" spans="1:13" x14ac:dyDescent="0.2">
      <c r="A625" s="17" t="str">
        <f>[1]SUMMARY!A626</f>
        <v>225</v>
      </c>
      <c r="B625" s="17">
        <f>[1]SUMMARY!B626</f>
        <v>50</v>
      </c>
      <c r="C625" s="17">
        <f>[1]SUMMARY!C626</f>
        <v>17</v>
      </c>
      <c r="D625" s="25" t="str">
        <f>[1]SUMMARY!D626</f>
        <v>DUNLOP</v>
      </c>
      <c r="E625" s="25" t="str">
        <f>[1]SUMMARY!E626</f>
        <v>LM705</v>
      </c>
      <c r="F625" s="20"/>
      <c r="G625" s="20">
        <v>1</v>
      </c>
      <c r="H625" s="20">
        <v>1</v>
      </c>
      <c r="I625" s="21">
        <f t="shared" si="5"/>
        <v>0</v>
      </c>
      <c r="J625" s="22">
        <f>[1]SUMMARY!N626</f>
        <v>6640</v>
      </c>
      <c r="K625" s="23">
        <f t="shared" si="6"/>
        <v>0</v>
      </c>
      <c r="L625" s="8"/>
      <c r="M625" s="8"/>
    </row>
    <row r="626" spans="1:13" x14ac:dyDescent="0.2">
      <c r="A626" s="17" t="str">
        <f>[1]SUMMARY!A627</f>
        <v>215</v>
      </c>
      <c r="B626" s="17">
        <f>[1]SUMMARY!B627</f>
        <v>60</v>
      </c>
      <c r="C626" s="17">
        <f>[1]SUMMARY!C627</f>
        <v>17</v>
      </c>
      <c r="D626" s="25" t="str">
        <f>[1]SUMMARY!D627</f>
        <v>DUNLOP</v>
      </c>
      <c r="E626" s="25" t="str">
        <f>[1]SUMMARY!E627</f>
        <v>ENASAVE EC300+</v>
      </c>
      <c r="F626" s="20"/>
      <c r="G626" s="20">
        <v>4</v>
      </c>
      <c r="H626" s="20">
        <v>4</v>
      </c>
      <c r="I626" s="21">
        <f t="shared" si="5"/>
        <v>0</v>
      </c>
      <c r="J626" s="22">
        <f>[1]SUMMARY!N627</f>
        <v>7100</v>
      </c>
      <c r="K626" s="23">
        <f t="shared" si="6"/>
        <v>0</v>
      </c>
      <c r="L626" s="8"/>
      <c r="M626" s="8"/>
    </row>
    <row r="627" spans="1:13" x14ac:dyDescent="0.2">
      <c r="A627" s="17" t="str">
        <f>[1]SUMMARY!A628</f>
        <v>225</v>
      </c>
      <c r="B627" s="17">
        <f>[1]SUMMARY!B628</f>
        <v>60</v>
      </c>
      <c r="C627" s="17">
        <f>[1]SUMMARY!C628</f>
        <v>17</v>
      </c>
      <c r="D627" s="25" t="str">
        <f>[1]SUMMARY!D628</f>
        <v>DUNLOP</v>
      </c>
      <c r="E627" s="25" t="str">
        <f>[1]SUMMARY!E628</f>
        <v>LM704</v>
      </c>
      <c r="F627" s="20"/>
      <c r="G627" s="20"/>
      <c r="H627" s="20"/>
      <c r="I627" s="21">
        <f t="shared" si="5"/>
        <v>0</v>
      </c>
      <c r="J627" s="22">
        <f>[1]SUMMARY!N628</f>
        <v>8900</v>
      </c>
      <c r="K627" s="23">
        <f t="shared" si="6"/>
        <v>0</v>
      </c>
      <c r="L627" s="8"/>
      <c r="M627" s="8"/>
    </row>
    <row r="628" spans="1:13" x14ac:dyDescent="0.2">
      <c r="A628" s="17" t="str">
        <f>[1]SUMMARY!A629</f>
        <v>245</v>
      </c>
      <c r="B628" s="17">
        <f>[1]SUMMARY!B629</f>
        <v>40</v>
      </c>
      <c r="C628" s="17">
        <f>[1]SUMMARY!C629</f>
        <v>18</v>
      </c>
      <c r="D628" s="25" t="str">
        <f>[1]SUMMARY!D629</f>
        <v>DUNLOP</v>
      </c>
      <c r="E628" s="25" t="str">
        <f>[1]SUMMARY!E629</f>
        <v>DZ102</v>
      </c>
      <c r="F628" s="20"/>
      <c r="G628" s="20">
        <v>4</v>
      </c>
      <c r="H628" s="20">
        <v>4</v>
      </c>
      <c r="I628" s="21">
        <f t="shared" si="5"/>
        <v>0</v>
      </c>
      <c r="J628" s="22">
        <f>[1]SUMMARY!N629</f>
        <v>7289.07</v>
      </c>
      <c r="K628" s="23">
        <f t="shared" si="6"/>
        <v>0</v>
      </c>
      <c r="L628" s="8"/>
      <c r="M628" s="8"/>
    </row>
    <row r="629" spans="1:13" x14ac:dyDescent="0.2">
      <c r="A629" s="17" t="str">
        <f>[1]SUMMARY!A630</f>
        <v>245</v>
      </c>
      <c r="B629" s="17">
        <f>[1]SUMMARY!B630</f>
        <v>45</v>
      </c>
      <c r="C629" s="17">
        <f>[1]SUMMARY!C630</f>
        <v>18</v>
      </c>
      <c r="D629" s="25" t="str">
        <f>[1]SUMMARY!D630</f>
        <v>DUNLOP</v>
      </c>
      <c r="E629" s="25" t="str">
        <f>[1]SUMMARY!E630</f>
        <v>DZ102</v>
      </c>
      <c r="F629" s="20"/>
      <c r="G629" s="20"/>
      <c r="H629" s="20"/>
      <c r="I629" s="21">
        <f t="shared" si="5"/>
        <v>0</v>
      </c>
      <c r="J629" s="22">
        <f>[1]SUMMARY!N630</f>
        <v>7800</v>
      </c>
      <c r="K629" s="23">
        <f t="shared" si="6"/>
        <v>0</v>
      </c>
      <c r="L629" s="8"/>
      <c r="M629" s="8"/>
    </row>
    <row r="630" spans="1:13" x14ac:dyDescent="0.2">
      <c r="A630" s="17" t="str">
        <f>[1]SUMMARY!A631</f>
        <v>235</v>
      </c>
      <c r="B630" s="17">
        <f>[1]SUMMARY!B631</f>
        <v>55</v>
      </c>
      <c r="C630" s="17">
        <f>[1]SUMMARY!C631</f>
        <v>18</v>
      </c>
      <c r="D630" s="25" t="str">
        <f>[1]SUMMARY!D631</f>
        <v>DUNLOP</v>
      </c>
      <c r="E630" s="25" t="str">
        <f>[1]SUMMARY!E631</f>
        <v>SPORT LM 704</v>
      </c>
      <c r="F630" s="20"/>
      <c r="G630" s="20"/>
      <c r="H630" s="20"/>
      <c r="I630" s="21">
        <f t="shared" si="5"/>
        <v>0</v>
      </c>
      <c r="J630" s="22">
        <f>[1]SUMMARY!N631</f>
        <v>6568.38</v>
      </c>
      <c r="K630" s="23">
        <f t="shared" si="6"/>
        <v>0</v>
      </c>
      <c r="L630" s="8"/>
      <c r="M630" s="8"/>
    </row>
    <row r="631" spans="1:13" x14ac:dyDescent="0.2">
      <c r="A631" s="17" t="str">
        <f>[1]SUMMARY!A632</f>
        <v>265</v>
      </c>
      <c r="B631" s="17">
        <f>[1]SUMMARY!B632</f>
        <v>60</v>
      </c>
      <c r="C631" s="17">
        <f>[1]SUMMARY!C632</f>
        <v>18</v>
      </c>
      <c r="D631" s="25" t="str">
        <f>[1]SUMMARY!D632</f>
        <v>DUNLOP</v>
      </c>
      <c r="E631" s="25" t="str">
        <f>[1]SUMMARY!E632</f>
        <v>AT25</v>
      </c>
      <c r="F631" s="20"/>
      <c r="G631" s="20"/>
      <c r="H631" s="20"/>
      <c r="I631" s="21">
        <f t="shared" si="5"/>
        <v>0</v>
      </c>
      <c r="J631" s="22">
        <f>[1]SUMMARY!N632</f>
        <v>11618.88</v>
      </c>
      <c r="K631" s="23">
        <f t="shared" si="6"/>
        <v>0</v>
      </c>
      <c r="L631" s="8"/>
      <c r="M631" s="8"/>
    </row>
    <row r="632" spans="1:13" x14ac:dyDescent="0.2">
      <c r="A632" s="17" t="str">
        <f>[1]SUMMARY!A633</f>
        <v>265</v>
      </c>
      <c r="B632" s="17">
        <f>[1]SUMMARY!B633</f>
        <v>60</v>
      </c>
      <c r="C632" s="17">
        <f>[1]SUMMARY!C633</f>
        <v>18</v>
      </c>
      <c r="D632" s="25" t="str">
        <f>[1]SUMMARY!D633</f>
        <v>DUNLOP</v>
      </c>
      <c r="E632" s="25" t="str">
        <f>[1]SUMMARY!E633</f>
        <v>GRANDTREK AT20</v>
      </c>
      <c r="F632" s="20"/>
      <c r="G632" s="20">
        <v>1</v>
      </c>
      <c r="H632" s="20">
        <v>1</v>
      </c>
      <c r="I632" s="21">
        <f t="shared" si="5"/>
        <v>0</v>
      </c>
      <c r="J632" s="22">
        <f>[1]SUMMARY!N633</f>
        <v>12700</v>
      </c>
      <c r="K632" s="23">
        <f t="shared" si="6"/>
        <v>0</v>
      </c>
      <c r="L632" s="8"/>
      <c r="M632" s="8"/>
    </row>
    <row r="633" spans="1:13" x14ac:dyDescent="0.2">
      <c r="A633" s="17" t="str">
        <f>[1]SUMMARY!A634</f>
        <v>235</v>
      </c>
      <c r="B633" s="17">
        <f>[1]SUMMARY!B634</f>
        <v>55</v>
      </c>
      <c r="C633" s="17">
        <f>[1]SUMMARY!C634</f>
        <v>19</v>
      </c>
      <c r="D633" s="25" t="str">
        <f>[1]SUMMARY!D634</f>
        <v>DUNLOP</v>
      </c>
      <c r="E633" s="25" t="str">
        <f>[1]SUMMARY!E634</f>
        <v>GRANDTREK</v>
      </c>
      <c r="F633" s="20"/>
      <c r="G633" s="20"/>
      <c r="H633" s="20"/>
      <c r="I633" s="21">
        <f t="shared" si="5"/>
        <v>0</v>
      </c>
      <c r="J633" s="22">
        <f>[1]SUMMARY!N634</f>
        <v>12511.8</v>
      </c>
      <c r="K633" s="23">
        <f t="shared" si="6"/>
        <v>0</v>
      </c>
      <c r="L633" s="8"/>
      <c r="M633" s="8"/>
    </row>
    <row r="634" spans="1:13" x14ac:dyDescent="0.2">
      <c r="A634" s="17" t="str">
        <f>[1]SUMMARY!A635</f>
        <v>235</v>
      </c>
      <c r="B634" s="17">
        <f>[1]SUMMARY!B635</f>
        <v>50</v>
      </c>
      <c r="C634" s="17">
        <f>[1]SUMMARY!C635</f>
        <v>20</v>
      </c>
      <c r="D634" s="25" t="str">
        <f>[1]SUMMARY!D635</f>
        <v>DUNLOP</v>
      </c>
      <c r="E634" s="25" t="str">
        <f>[1]SUMMARY!E635</f>
        <v>MAXX 060</v>
      </c>
      <c r="F634" s="20"/>
      <c r="G634" s="20">
        <v>4</v>
      </c>
      <c r="H634" s="20">
        <v>4</v>
      </c>
      <c r="I634" s="21">
        <f t="shared" si="5"/>
        <v>0</v>
      </c>
      <c r="J634" s="22">
        <f>[1]SUMMARY!N635</f>
        <v>16041.2</v>
      </c>
      <c r="K634" s="23">
        <f t="shared" si="6"/>
        <v>0</v>
      </c>
      <c r="L634" s="8"/>
      <c r="M634" s="8"/>
    </row>
    <row r="635" spans="1:13" x14ac:dyDescent="0.2">
      <c r="A635" s="17" t="str">
        <f>[1]SUMMARY!A636</f>
        <v>245</v>
      </c>
      <c r="B635" s="17">
        <f>[1]SUMMARY!B636</f>
        <v>50</v>
      </c>
      <c r="C635" s="17">
        <f>[1]SUMMARY!C636</f>
        <v>20</v>
      </c>
      <c r="D635" s="25" t="str">
        <f>[1]SUMMARY!D636</f>
        <v>DUNLOP</v>
      </c>
      <c r="E635" s="25" t="str">
        <f>[1]SUMMARY!E636</f>
        <v>PT5</v>
      </c>
      <c r="F635" s="20"/>
      <c r="G635" s="20"/>
      <c r="H635" s="20"/>
      <c r="I635" s="21">
        <f t="shared" si="5"/>
        <v>0</v>
      </c>
      <c r="J635" s="22">
        <f>[1]SUMMARY!N636</f>
        <v>17920.419999999998</v>
      </c>
      <c r="K635" s="23">
        <f t="shared" si="6"/>
        <v>0</v>
      </c>
      <c r="L635" s="28">
        <f>SUM(K619:K635)</f>
        <v>0</v>
      </c>
      <c r="M635" s="29" t="s">
        <v>30</v>
      </c>
    </row>
    <row r="636" spans="1:13" x14ac:dyDescent="0.2">
      <c r="A636" s="17" t="str">
        <f>[1]SUMMARY!A637</f>
        <v>285</v>
      </c>
      <c r="B636" s="17">
        <f>[1]SUMMARY!B637</f>
        <v>35</v>
      </c>
      <c r="C636" s="17">
        <f>[1]SUMMARY!C637</f>
        <v>21</v>
      </c>
      <c r="D636" s="25" t="str">
        <f>[1]SUMMARY!D637</f>
        <v>DUNLOP</v>
      </c>
      <c r="E636" s="25" t="str">
        <f>[1]SUMMARY!E637</f>
        <v>MAXX 050+</v>
      </c>
      <c r="F636" s="20"/>
      <c r="G636" s="20"/>
      <c r="H636" s="20"/>
      <c r="I636" s="21">
        <f t="shared" si="5"/>
        <v>0</v>
      </c>
      <c r="J636" s="22">
        <f>[1]SUMMARY!N637</f>
        <v>17467.8</v>
      </c>
      <c r="K636" s="23">
        <f t="shared" si="6"/>
        <v>0</v>
      </c>
      <c r="L636" s="8"/>
      <c r="M636" s="8"/>
    </row>
    <row r="637" spans="1:13" x14ac:dyDescent="0.2">
      <c r="A637" s="17" t="str">
        <f>[1]SUMMARY!A638</f>
        <v>325</v>
      </c>
      <c r="B637" s="17">
        <f>[1]SUMMARY!B638</f>
        <v>30</v>
      </c>
      <c r="C637" s="17">
        <f>[1]SUMMARY!C638</f>
        <v>21</v>
      </c>
      <c r="D637" s="25" t="str">
        <f>[1]SUMMARY!D638</f>
        <v>DUNLOP</v>
      </c>
      <c r="E637" s="25" t="str">
        <f>[1]SUMMARY!E638</f>
        <v>MAXX 050+</v>
      </c>
      <c r="F637" s="20"/>
      <c r="G637" s="20"/>
      <c r="H637" s="20"/>
      <c r="I637" s="21">
        <f t="shared" si="5"/>
        <v>0</v>
      </c>
      <c r="J637" s="22">
        <f>[1]SUMMARY!N638</f>
        <v>16225</v>
      </c>
      <c r="K637" s="23">
        <f t="shared" si="6"/>
        <v>0</v>
      </c>
      <c r="L637" s="8"/>
      <c r="M637" s="8"/>
    </row>
    <row r="638" spans="1:13" x14ac:dyDescent="0.2">
      <c r="A638" s="17" t="str">
        <f>[1]SUMMARY!A639</f>
        <v>155</v>
      </c>
      <c r="B638" s="17">
        <f>[1]SUMMARY!B639</f>
        <v>0</v>
      </c>
      <c r="C638" s="17">
        <f>[1]SUMMARY!C639</f>
        <v>12</v>
      </c>
      <c r="D638" s="25" t="str">
        <f>[1]SUMMARY!D639</f>
        <v>DURATURN</v>
      </c>
      <c r="E638" s="25" t="str">
        <f>[1]SUMMARY!E639</f>
        <v>TRAVIA VAN</v>
      </c>
      <c r="F638" s="20"/>
      <c r="G638" s="20">
        <v>26</v>
      </c>
      <c r="H638" s="20">
        <v>22</v>
      </c>
      <c r="I638" s="44">
        <f t="shared" si="5"/>
        <v>4</v>
      </c>
      <c r="J638" s="22">
        <f>[1]SUMMARY!N639</f>
        <v>1567.5</v>
      </c>
      <c r="K638" s="23">
        <f t="shared" si="6"/>
        <v>6270</v>
      </c>
      <c r="L638" s="8"/>
      <c r="M638" s="8"/>
    </row>
    <row r="639" spans="1:13" x14ac:dyDescent="0.2">
      <c r="A639" s="17" t="str">
        <f>[1]SUMMARY!A640</f>
        <v>165</v>
      </c>
      <c r="B639" s="17">
        <f>[1]SUMMARY!B640</f>
        <v>65</v>
      </c>
      <c r="C639" s="17">
        <f>[1]SUMMARY!C640</f>
        <v>13</v>
      </c>
      <c r="D639" s="25" t="str">
        <f>[1]SUMMARY!D640</f>
        <v>DURATURN</v>
      </c>
      <c r="E639" s="25" t="str">
        <f>[1]SUMMARY!E640</f>
        <v>MOZZO TOURING</v>
      </c>
      <c r="F639" s="20"/>
      <c r="G639" s="20">
        <v>46</v>
      </c>
      <c r="H639" s="20">
        <v>46</v>
      </c>
      <c r="I639" s="30">
        <f t="shared" si="5"/>
        <v>0</v>
      </c>
      <c r="J639" s="22">
        <f>[1]SUMMARY!N640</f>
        <v>1396.5</v>
      </c>
      <c r="K639" s="23">
        <f t="shared" si="6"/>
        <v>0</v>
      </c>
      <c r="L639" s="8"/>
      <c r="M639" s="8"/>
    </row>
    <row r="640" spans="1:13" x14ac:dyDescent="0.2">
      <c r="A640" s="17" t="str">
        <f>[1]SUMMARY!A641</f>
        <v>175</v>
      </c>
      <c r="B640" s="17">
        <f>[1]SUMMARY!B641</f>
        <v>70</v>
      </c>
      <c r="C640" s="17">
        <f>[1]SUMMARY!C641</f>
        <v>13</v>
      </c>
      <c r="D640" s="25" t="str">
        <f>[1]SUMMARY!D641</f>
        <v>DURATURN</v>
      </c>
      <c r="E640" s="25" t="str">
        <f>[1]SUMMARY!E641</f>
        <v>MOZZO 4S</v>
      </c>
      <c r="F640" s="20"/>
      <c r="G640" s="20">
        <v>27</v>
      </c>
      <c r="H640" s="20">
        <v>27</v>
      </c>
      <c r="I640" s="45">
        <f t="shared" si="5"/>
        <v>0</v>
      </c>
      <c r="J640" s="22">
        <f>[1]SUMMARY!N641</f>
        <v>1390.8</v>
      </c>
      <c r="K640" s="23">
        <f t="shared" si="6"/>
        <v>0</v>
      </c>
      <c r="L640" s="8"/>
      <c r="M640" s="8"/>
    </row>
    <row r="641" spans="1:13" x14ac:dyDescent="0.2">
      <c r="A641" s="17" t="str">
        <f>[1]SUMMARY!A642</f>
        <v>175</v>
      </c>
      <c r="B641" s="17">
        <f>[1]SUMMARY!B642</f>
        <v>70</v>
      </c>
      <c r="C641" s="17">
        <f>[1]SUMMARY!C642</f>
        <v>13</v>
      </c>
      <c r="D641" s="25" t="str">
        <f>[1]SUMMARY!D642</f>
        <v>DURATURN</v>
      </c>
      <c r="E641" s="25" t="str">
        <f>[1]SUMMARY!E642</f>
        <v>MOZZO TOURING</v>
      </c>
      <c r="F641" s="20"/>
      <c r="G641" s="20">
        <v>4</v>
      </c>
      <c r="H641" s="20"/>
      <c r="I641" s="45">
        <f t="shared" si="5"/>
        <v>4</v>
      </c>
      <c r="J641" s="22">
        <f>[1]SUMMARY!N642</f>
        <v>1342</v>
      </c>
      <c r="K641" s="23">
        <f t="shared" si="6"/>
        <v>5368</v>
      </c>
      <c r="L641" s="8"/>
      <c r="M641" s="8"/>
    </row>
    <row r="642" spans="1:13" x14ac:dyDescent="0.2">
      <c r="A642" s="17" t="str">
        <f>[1]SUMMARY!A643</f>
        <v>185</v>
      </c>
      <c r="B642" s="17">
        <f>[1]SUMMARY!B643</f>
        <v>70</v>
      </c>
      <c r="C642" s="17">
        <f>[1]SUMMARY!C643</f>
        <v>13</v>
      </c>
      <c r="D642" s="25" t="str">
        <f>[1]SUMMARY!D643</f>
        <v>DURATURN</v>
      </c>
      <c r="E642" s="25" t="str">
        <f>[1]SUMMARY!E643</f>
        <v>MOZZO 4S</v>
      </c>
      <c r="F642" s="20"/>
      <c r="G642" s="20">
        <v>26</v>
      </c>
      <c r="H642" s="20">
        <v>22</v>
      </c>
      <c r="I642" s="45">
        <f t="shared" si="5"/>
        <v>4</v>
      </c>
      <c r="J642" s="22">
        <f>[1]SUMMARY!N643</f>
        <v>1556.1</v>
      </c>
      <c r="K642" s="23">
        <f t="shared" si="6"/>
        <v>6224.4</v>
      </c>
      <c r="L642" s="8"/>
      <c r="M642" s="8"/>
    </row>
    <row r="643" spans="1:13" x14ac:dyDescent="0.2">
      <c r="A643" s="17" t="str">
        <f>[1]SUMMARY!A644</f>
        <v>165</v>
      </c>
      <c r="B643" s="17">
        <f>[1]SUMMARY!B644</f>
        <v>60</v>
      </c>
      <c r="C643" s="17">
        <f>[1]SUMMARY!C644</f>
        <v>14</v>
      </c>
      <c r="D643" s="25" t="str">
        <f>[1]SUMMARY!D644</f>
        <v>DURATURN</v>
      </c>
      <c r="E643" s="25" t="str">
        <f>[1]SUMMARY!E644</f>
        <v>MOZZO 4S</v>
      </c>
      <c r="F643" s="20"/>
      <c r="G643" s="20">
        <v>15</v>
      </c>
      <c r="H643" s="20">
        <v>11</v>
      </c>
      <c r="I643" s="45">
        <f t="shared" si="5"/>
        <v>4</v>
      </c>
      <c r="J643" s="22">
        <f>[1]SUMMARY!N644</f>
        <v>1210</v>
      </c>
      <c r="K643" s="23">
        <f t="shared" si="6"/>
        <v>4840</v>
      </c>
      <c r="L643" s="8"/>
      <c r="M643" s="8"/>
    </row>
    <row r="644" spans="1:13" x14ac:dyDescent="0.2">
      <c r="A644" s="17" t="str">
        <f>[1]SUMMARY!A645</f>
        <v>175</v>
      </c>
      <c r="B644" s="17">
        <f>[1]SUMMARY!B645</f>
        <v>65</v>
      </c>
      <c r="C644" s="17">
        <f>[1]SUMMARY!C645</f>
        <v>14</v>
      </c>
      <c r="D644" s="25" t="str">
        <f>[1]SUMMARY!D645</f>
        <v>DURATURN</v>
      </c>
      <c r="E644" s="25" t="str">
        <f>[1]SUMMARY!E645</f>
        <v>MOZZO 4S</v>
      </c>
      <c r="F644" s="20"/>
      <c r="G644" s="20">
        <v>68</v>
      </c>
      <c r="H644" s="20">
        <v>68</v>
      </c>
      <c r="I644" s="30">
        <f t="shared" si="5"/>
        <v>0</v>
      </c>
      <c r="J644" s="22">
        <f>[1]SUMMARY!N645</f>
        <v>1397</v>
      </c>
      <c r="K644" s="23">
        <f t="shared" si="6"/>
        <v>0</v>
      </c>
      <c r="L644" s="8"/>
      <c r="M644" s="8"/>
    </row>
    <row r="645" spans="1:13" x14ac:dyDescent="0.2">
      <c r="A645" s="17" t="str">
        <f>[1]SUMMARY!A646</f>
        <v>175</v>
      </c>
      <c r="B645" s="17">
        <f>[1]SUMMARY!B646</f>
        <v>65</v>
      </c>
      <c r="C645" s="17">
        <f>[1]SUMMARY!C646</f>
        <v>14</v>
      </c>
      <c r="D645" s="25" t="str">
        <f>[1]SUMMARY!D646</f>
        <v>DURATURN</v>
      </c>
      <c r="E645" s="25" t="str">
        <f>[1]SUMMARY!E646</f>
        <v>MOZZO ECO D3</v>
      </c>
      <c r="F645" s="20"/>
      <c r="G645" s="20">
        <v>4</v>
      </c>
      <c r="H645" s="20"/>
      <c r="I645" s="30">
        <f t="shared" si="5"/>
        <v>4</v>
      </c>
      <c r="J645" s="22">
        <f>[1]SUMMARY!N646</f>
        <v>1397</v>
      </c>
      <c r="K645" s="23">
        <f t="shared" si="6"/>
        <v>5588</v>
      </c>
      <c r="L645" s="8"/>
      <c r="M645" s="8"/>
    </row>
    <row r="646" spans="1:13" x14ac:dyDescent="0.2">
      <c r="A646" s="17" t="str">
        <f>[1]SUMMARY!A647</f>
        <v>185</v>
      </c>
      <c r="B646" s="17">
        <f>[1]SUMMARY!B647</f>
        <v>65</v>
      </c>
      <c r="C646" s="17">
        <f>[1]SUMMARY!C647</f>
        <v>14</v>
      </c>
      <c r="D646" s="25" t="str">
        <f>[1]SUMMARY!D647</f>
        <v>DURATURN</v>
      </c>
      <c r="E646" s="25" t="str">
        <f>[1]SUMMARY!E647</f>
        <v>MOZZO 4S</v>
      </c>
      <c r="F646" s="20"/>
      <c r="G646" s="20">
        <v>33</v>
      </c>
      <c r="H646" s="20">
        <v>33</v>
      </c>
      <c r="I646" s="30">
        <f t="shared" si="5"/>
        <v>0</v>
      </c>
      <c r="J646" s="22">
        <f>[1]SUMMARY!N647</f>
        <v>1529</v>
      </c>
      <c r="K646" s="23">
        <f t="shared" si="6"/>
        <v>0</v>
      </c>
      <c r="L646" s="8"/>
      <c r="M646" s="8"/>
    </row>
    <row r="647" spans="1:13" x14ac:dyDescent="0.2">
      <c r="A647" s="17" t="str">
        <f>[1]SUMMARY!A648</f>
        <v>175</v>
      </c>
      <c r="B647" s="17">
        <f>[1]SUMMARY!B648</f>
        <v>70</v>
      </c>
      <c r="C647" s="17">
        <f>[1]SUMMARY!C648</f>
        <v>14</v>
      </c>
      <c r="D647" s="25" t="str">
        <f>[1]SUMMARY!D648</f>
        <v>DURATURN</v>
      </c>
      <c r="E647" s="25" t="str">
        <f>[1]SUMMARY!E648</f>
        <v>MOZZO 4S</v>
      </c>
      <c r="F647" s="20"/>
      <c r="G647" s="20">
        <v>32</v>
      </c>
      <c r="H647" s="20">
        <v>32</v>
      </c>
      <c r="I647" s="30">
        <f t="shared" si="5"/>
        <v>0</v>
      </c>
      <c r="J647" s="22">
        <f>[1]SUMMARY!N648</f>
        <v>1567.5</v>
      </c>
      <c r="K647" s="23">
        <f t="shared" si="6"/>
        <v>0</v>
      </c>
      <c r="L647" s="8"/>
      <c r="M647" s="8"/>
    </row>
    <row r="648" spans="1:13" x14ac:dyDescent="0.2">
      <c r="A648" s="17" t="str">
        <f>[1]SUMMARY!A649</f>
        <v>175</v>
      </c>
      <c r="B648" s="17">
        <f>[1]SUMMARY!B649</f>
        <v>70</v>
      </c>
      <c r="C648" s="17">
        <f>[1]SUMMARY!C649</f>
        <v>14</v>
      </c>
      <c r="D648" s="25" t="str">
        <f>[1]SUMMARY!D649</f>
        <v>DURATURN</v>
      </c>
      <c r="E648" s="25" t="str">
        <f>[1]SUMMARY!E649</f>
        <v>TRAVIA VAN</v>
      </c>
      <c r="F648" s="20"/>
      <c r="G648" s="20"/>
      <c r="H648" s="20"/>
      <c r="I648" s="30">
        <f t="shared" si="5"/>
        <v>0</v>
      </c>
      <c r="J648" s="22">
        <f>[1]SUMMARY!N649</f>
        <v>1881</v>
      </c>
      <c r="K648" s="23">
        <f t="shared" si="6"/>
        <v>0</v>
      </c>
      <c r="L648" s="8"/>
      <c r="M648" s="8"/>
    </row>
    <row r="649" spans="1:13" x14ac:dyDescent="0.2">
      <c r="A649" s="17" t="str">
        <f>[1]SUMMARY!A650</f>
        <v>175</v>
      </c>
      <c r="B649" s="17">
        <f>[1]SUMMARY!B650</f>
        <v>70</v>
      </c>
      <c r="C649" s="17">
        <f>[1]SUMMARY!C650</f>
        <v>14</v>
      </c>
      <c r="D649" s="25" t="str">
        <f>[1]SUMMARY!D650</f>
        <v>DURATURN</v>
      </c>
      <c r="E649" s="25" t="str">
        <f>[1]SUMMARY!E650</f>
        <v>MOZZO ECO D3</v>
      </c>
      <c r="F649" s="20"/>
      <c r="G649" s="20">
        <v>4</v>
      </c>
      <c r="H649" s="20"/>
      <c r="I649" s="30">
        <f t="shared" si="5"/>
        <v>4</v>
      </c>
      <c r="J649" s="22">
        <f>[1]SUMMARY!N650</f>
        <v>1512.5</v>
      </c>
      <c r="K649" s="23">
        <f t="shared" si="6"/>
        <v>6050</v>
      </c>
      <c r="L649" s="8"/>
      <c r="M649" s="8"/>
    </row>
    <row r="650" spans="1:13" x14ac:dyDescent="0.2">
      <c r="A650" s="17" t="str">
        <f>[1]SUMMARY!A651</f>
        <v>185</v>
      </c>
      <c r="B650" s="17">
        <f>[1]SUMMARY!B651</f>
        <v>70</v>
      </c>
      <c r="C650" s="17">
        <f>[1]SUMMARY!C651</f>
        <v>14</v>
      </c>
      <c r="D650" s="25" t="str">
        <f>[1]SUMMARY!D651</f>
        <v>DURATURN</v>
      </c>
      <c r="E650" s="25" t="str">
        <f>[1]SUMMARY!E651</f>
        <v>MOZZO 4S</v>
      </c>
      <c r="F650" s="20"/>
      <c r="G650" s="20">
        <v>40</v>
      </c>
      <c r="H650" s="20">
        <v>40</v>
      </c>
      <c r="I650" s="30">
        <f t="shared" si="5"/>
        <v>0</v>
      </c>
      <c r="J650" s="22">
        <f>[1]SUMMARY!N651</f>
        <v>1624.5</v>
      </c>
      <c r="K650" s="23">
        <f t="shared" si="6"/>
        <v>0</v>
      </c>
      <c r="L650" s="8"/>
      <c r="M650" s="8"/>
    </row>
    <row r="651" spans="1:13" x14ac:dyDescent="0.2">
      <c r="A651" s="17" t="str">
        <f>[1]SUMMARY!A652</f>
        <v>185</v>
      </c>
      <c r="B651" s="17">
        <f>[1]SUMMARY!B652</f>
        <v>70</v>
      </c>
      <c r="C651" s="17">
        <f>[1]SUMMARY!C652</f>
        <v>14</v>
      </c>
      <c r="D651" s="25" t="str">
        <f>[1]SUMMARY!D652</f>
        <v>DURATURN</v>
      </c>
      <c r="E651" s="25" t="str">
        <f>[1]SUMMARY!E652</f>
        <v>MOZZO ECO D3</v>
      </c>
      <c r="F651" s="20"/>
      <c r="G651" s="20"/>
      <c r="H651" s="20"/>
      <c r="I651" s="30">
        <f t="shared" si="5"/>
        <v>0</v>
      </c>
      <c r="J651" s="22">
        <f>[1]SUMMARY!N652</f>
        <v>1567.5</v>
      </c>
      <c r="K651" s="23">
        <f t="shared" si="6"/>
        <v>0</v>
      </c>
      <c r="L651" s="8"/>
      <c r="M651" s="8"/>
    </row>
    <row r="652" spans="1:13" x14ac:dyDescent="0.2">
      <c r="A652" s="17" t="str">
        <f>[1]SUMMARY!A653</f>
        <v>195</v>
      </c>
      <c r="B652" s="17">
        <f>[1]SUMMARY!B653</f>
        <v>70</v>
      </c>
      <c r="C652" s="17">
        <f>[1]SUMMARY!C653</f>
        <v>14</v>
      </c>
      <c r="D652" s="25" t="str">
        <f>[1]SUMMARY!D653</f>
        <v>DURATURN</v>
      </c>
      <c r="E652" s="25" t="str">
        <f>[1]SUMMARY!E653</f>
        <v>MOZZO 4S+</v>
      </c>
      <c r="F652" s="20"/>
      <c r="G652" s="20"/>
      <c r="H652" s="20"/>
      <c r="I652" s="30">
        <f t="shared" si="5"/>
        <v>0</v>
      </c>
      <c r="J652" s="22">
        <f>[1]SUMMARY!N653</f>
        <v>1804</v>
      </c>
      <c r="K652" s="23">
        <f t="shared" si="6"/>
        <v>0</v>
      </c>
      <c r="L652" s="8"/>
      <c r="M652" s="8"/>
    </row>
    <row r="653" spans="1:13" x14ac:dyDescent="0.2">
      <c r="A653" s="17" t="str">
        <f>[1]SUMMARY!A654</f>
        <v>185</v>
      </c>
      <c r="B653" s="17">
        <f>[1]SUMMARY!B654</f>
        <v>0</v>
      </c>
      <c r="C653" s="17" t="str">
        <f>[1]SUMMARY!C654</f>
        <v>14C</v>
      </c>
      <c r="D653" s="25" t="str">
        <f>[1]SUMMARY!D654</f>
        <v>DURATURN</v>
      </c>
      <c r="E653" s="25" t="str">
        <f>[1]SUMMARY!E654</f>
        <v>TRAVIA VAN</v>
      </c>
      <c r="F653" s="20"/>
      <c r="G653" s="20">
        <v>81</v>
      </c>
      <c r="H653" s="20">
        <v>79</v>
      </c>
      <c r="I653" s="45">
        <f t="shared" si="5"/>
        <v>2</v>
      </c>
      <c r="J653" s="22">
        <f>[1]SUMMARY!N654</f>
        <v>2422.5</v>
      </c>
      <c r="K653" s="23">
        <f t="shared" si="6"/>
        <v>4845</v>
      </c>
      <c r="L653" s="8"/>
      <c r="M653" s="8"/>
    </row>
    <row r="654" spans="1:13" x14ac:dyDescent="0.2">
      <c r="A654" s="17" t="str">
        <f>[1]SUMMARY!A655</f>
        <v>195</v>
      </c>
      <c r="B654" s="17">
        <f>[1]SUMMARY!B655</f>
        <v>0</v>
      </c>
      <c r="C654" s="17" t="str">
        <f>[1]SUMMARY!C655</f>
        <v>14C</v>
      </c>
      <c r="D654" s="25" t="str">
        <f>[1]SUMMARY!D655</f>
        <v>DURATURN</v>
      </c>
      <c r="E654" s="25" t="str">
        <f>[1]SUMMARY!E655</f>
        <v>TRAVIA VAN</v>
      </c>
      <c r="F654" s="20"/>
      <c r="G654" s="20">
        <v>37</v>
      </c>
      <c r="H654" s="20">
        <v>33</v>
      </c>
      <c r="I654" s="45">
        <f t="shared" si="5"/>
        <v>4</v>
      </c>
      <c r="J654" s="22">
        <f>[1]SUMMARY!N655</f>
        <v>2536.5</v>
      </c>
      <c r="K654" s="23">
        <f t="shared" si="6"/>
        <v>10146</v>
      </c>
      <c r="L654" s="8"/>
      <c r="M654" s="8"/>
    </row>
    <row r="655" spans="1:13" x14ac:dyDescent="0.2">
      <c r="A655" s="17" t="str">
        <f>[1]SUMMARY!A656</f>
        <v>195</v>
      </c>
      <c r="B655" s="17">
        <f>[1]SUMMARY!B656</f>
        <v>50</v>
      </c>
      <c r="C655" s="17">
        <f>[1]SUMMARY!C656</f>
        <v>15</v>
      </c>
      <c r="D655" s="25" t="str">
        <f>[1]SUMMARY!D656</f>
        <v>DURATURN</v>
      </c>
      <c r="E655" s="25" t="str">
        <f>[1]SUMMARY!E656</f>
        <v>MOZZO 4S+</v>
      </c>
      <c r="F655" s="20"/>
      <c r="G655" s="20">
        <v>44</v>
      </c>
      <c r="H655" s="20">
        <v>40</v>
      </c>
      <c r="I655" s="45">
        <f t="shared" si="5"/>
        <v>4</v>
      </c>
      <c r="J655" s="22">
        <f>[1]SUMMARY!N656</f>
        <v>1630.2</v>
      </c>
      <c r="K655" s="23">
        <f t="shared" si="6"/>
        <v>6520.8</v>
      </c>
      <c r="L655" s="8"/>
      <c r="M655" s="8"/>
    </row>
    <row r="656" spans="1:13" x14ac:dyDescent="0.2">
      <c r="A656" s="17" t="str">
        <f>[1]SUMMARY!A657</f>
        <v>185</v>
      </c>
      <c r="B656" s="17">
        <f>[1]SUMMARY!B657</f>
        <v>55</v>
      </c>
      <c r="C656" s="17">
        <f>[1]SUMMARY!C657</f>
        <v>15</v>
      </c>
      <c r="D656" s="25" t="str">
        <f>[1]SUMMARY!D657</f>
        <v>DURATURN</v>
      </c>
      <c r="E656" s="25" t="str">
        <f>[1]SUMMARY!E657</f>
        <v>MOZZO 4S</v>
      </c>
      <c r="F656" s="20"/>
      <c r="G656" s="20">
        <v>79</v>
      </c>
      <c r="H656" s="20">
        <v>78</v>
      </c>
      <c r="I656" s="45">
        <f t="shared" si="5"/>
        <v>1</v>
      </c>
      <c r="J656" s="22">
        <f>[1]SUMMARY!N657</f>
        <v>1653</v>
      </c>
      <c r="K656" s="23">
        <f t="shared" si="6"/>
        <v>1653</v>
      </c>
      <c r="L656" s="8"/>
      <c r="M656" s="8"/>
    </row>
    <row r="657" spans="1:13" x14ac:dyDescent="0.2">
      <c r="A657" s="17" t="str">
        <f>[1]SUMMARY!A658</f>
        <v>195</v>
      </c>
      <c r="B657" s="17">
        <f>[1]SUMMARY!B658</f>
        <v>55</v>
      </c>
      <c r="C657" s="17">
        <f>[1]SUMMARY!C658</f>
        <v>15</v>
      </c>
      <c r="D657" s="25" t="str">
        <f>[1]SUMMARY!D658</f>
        <v>DURATURN</v>
      </c>
      <c r="E657" s="25" t="str">
        <f>[1]SUMMARY!E658</f>
        <v>MOZZO 4S+</v>
      </c>
      <c r="F657" s="20"/>
      <c r="G657" s="20">
        <v>171</v>
      </c>
      <c r="H657" s="20">
        <v>171</v>
      </c>
      <c r="I657" s="30">
        <f t="shared" si="5"/>
        <v>0</v>
      </c>
      <c r="J657" s="22">
        <f>[1]SUMMARY!N658</f>
        <v>1664.4</v>
      </c>
      <c r="K657" s="23">
        <f t="shared" si="6"/>
        <v>0</v>
      </c>
      <c r="L657" s="8"/>
      <c r="M657" s="8"/>
    </row>
    <row r="658" spans="1:13" x14ac:dyDescent="0.2">
      <c r="A658" s="17" t="str">
        <f>[1]SUMMARY!A659</f>
        <v>195</v>
      </c>
      <c r="B658" s="17">
        <f>[1]SUMMARY!B659</f>
        <v>55</v>
      </c>
      <c r="C658" s="17">
        <f>[1]SUMMARY!C659</f>
        <v>15</v>
      </c>
      <c r="D658" s="25" t="str">
        <f>[1]SUMMARY!D659</f>
        <v>DURATURN</v>
      </c>
      <c r="E658" s="25" t="str">
        <f>[1]SUMMARY!E659</f>
        <v>MOZZO ECO D3</v>
      </c>
      <c r="F658" s="20"/>
      <c r="G658" s="20">
        <v>4</v>
      </c>
      <c r="H658" s="20"/>
      <c r="I658" s="30">
        <f t="shared" si="5"/>
        <v>4</v>
      </c>
      <c r="J658" s="22">
        <f>[1]SUMMARY!N659</f>
        <v>1606</v>
      </c>
      <c r="K658" s="23">
        <f t="shared" si="6"/>
        <v>6424</v>
      </c>
      <c r="L658" s="8"/>
      <c r="M658" s="8"/>
    </row>
    <row r="659" spans="1:13" x14ac:dyDescent="0.2">
      <c r="A659" s="17" t="str">
        <f>[1]SUMMARY!A660</f>
        <v>185</v>
      </c>
      <c r="B659" s="17">
        <f>[1]SUMMARY!B660</f>
        <v>60</v>
      </c>
      <c r="C659" s="17">
        <f>[1]SUMMARY!C660</f>
        <v>15</v>
      </c>
      <c r="D659" s="25" t="str">
        <f>[1]SUMMARY!D660</f>
        <v>DURATURN</v>
      </c>
      <c r="E659" s="25" t="str">
        <f>[1]SUMMARY!E660</f>
        <v>MOZZO 4S</v>
      </c>
      <c r="F659" s="20"/>
      <c r="G659" s="20">
        <v>76</v>
      </c>
      <c r="H659" s="20">
        <v>76</v>
      </c>
      <c r="I659" s="45">
        <f t="shared" si="5"/>
        <v>0</v>
      </c>
      <c r="J659" s="22">
        <f>[1]SUMMARY!N660</f>
        <v>1653</v>
      </c>
      <c r="K659" s="23">
        <f t="shared" si="6"/>
        <v>0</v>
      </c>
      <c r="L659" s="8"/>
      <c r="M659" s="8"/>
    </row>
    <row r="660" spans="1:13" x14ac:dyDescent="0.2">
      <c r="A660" s="17" t="str">
        <f>[1]SUMMARY!A661</f>
        <v>185</v>
      </c>
      <c r="B660" s="17">
        <f>[1]SUMMARY!B661</f>
        <v>60</v>
      </c>
      <c r="C660" s="17">
        <f>[1]SUMMARY!C661</f>
        <v>15</v>
      </c>
      <c r="D660" s="25" t="str">
        <f>[1]SUMMARY!D661</f>
        <v>DURATURN</v>
      </c>
      <c r="E660" s="25" t="str">
        <f>[1]SUMMARY!E661</f>
        <v>MOZZO ECO D3</v>
      </c>
      <c r="F660" s="20"/>
      <c r="G660" s="20">
        <v>12</v>
      </c>
      <c r="H660" s="20">
        <v>4</v>
      </c>
      <c r="I660" s="45">
        <f t="shared" si="5"/>
        <v>8</v>
      </c>
      <c r="J660" s="22">
        <f>[1]SUMMARY!N661</f>
        <v>1595</v>
      </c>
      <c r="K660" s="23">
        <f t="shared" si="6"/>
        <v>12760</v>
      </c>
      <c r="L660" s="8"/>
      <c r="M660" s="8"/>
    </row>
    <row r="661" spans="1:13" x14ac:dyDescent="0.2">
      <c r="A661" s="17" t="str">
        <f>[1]SUMMARY!A662</f>
        <v>195</v>
      </c>
      <c r="B661" s="17">
        <f>[1]SUMMARY!B662</f>
        <v>60</v>
      </c>
      <c r="C661" s="17">
        <f>[1]SUMMARY!C662</f>
        <v>15</v>
      </c>
      <c r="D661" s="25" t="str">
        <f>[1]SUMMARY!D662</f>
        <v>DURATURN</v>
      </c>
      <c r="E661" s="25" t="str">
        <f>[1]SUMMARY!E662</f>
        <v>MOZZO 4S+</v>
      </c>
      <c r="F661" s="20"/>
      <c r="G661" s="20">
        <v>36</v>
      </c>
      <c r="H661" s="20">
        <v>36</v>
      </c>
      <c r="I661" s="30">
        <f t="shared" si="5"/>
        <v>0</v>
      </c>
      <c r="J661" s="22">
        <f>[1]SUMMARY!N662</f>
        <v>1705</v>
      </c>
      <c r="K661" s="23">
        <f t="shared" si="6"/>
        <v>0</v>
      </c>
      <c r="L661" s="8"/>
      <c r="M661" s="8"/>
    </row>
    <row r="662" spans="1:13" x14ac:dyDescent="0.2">
      <c r="A662" s="17" t="str">
        <f>[1]SUMMARY!A663</f>
        <v>175</v>
      </c>
      <c r="B662" s="17">
        <f>[1]SUMMARY!B663</f>
        <v>65</v>
      </c>
      <c r="C662" s="17">
        <f>[1]SUMMARY!C663</f>
        <v>15</v>
      </c>
      <c r="D662" s="25" t="str">
        <f>[1]SUMMARY!D663</f>
        <v>DURATURN</v>
      </c>
      <c r="E662" s="25" t="str">
        <f>[1]SUMMARY!E663</f>
        <v>MOZZO 4S</v>
      </c>
      <c r="F662" s="20"/>
      <c r="G662" s="20">
        <v>31</v>
      </c>
      <c r="H662" s="20">
        <v>27</v>
      </c>
      <c r="I662" s="45">
        <f t="shared" si="5"/>
        <v>4</v>
      </c>
      <c r="J662" s="22">
        <f>[1]SUMMARY!N663</f>
        <v>1567.5</v>
      </c>
      <c r="K662" s="23">
        <f t="shared" si="6"/>
        <v>6270</v>
      </c>
      <c r="L662" s="8"/>
      <c r="M662" s="8"/>
    </row>
    <row r="663" spans="1:13" x14ac:dyDescent="0.2">
      <c r="A663" s="17" t="str">
        <f>[1]SUMMARY!A664</f>
        <v>185</v>
      </c>
      <c r="B663" s="17">
        <f>[1]SUMMARY!B664</f>
        <v>65</v>
      </c>
      <c r="C663" s="17">
        <f>[1]SUMMARY!C664</f>
        <v>15</v>
      </c>
      <c r="D663" s="25" t="str">
        <f>[1]SUMMARY!D664</f>
        <v>DURATURN</v>
      </c>
      <c r="E663" s="25" t="str">
        <f>[1]SUMMARY!E664</f>
        <v>MOZZO 4S</v>
      </c>
      <c r="F663" s="20"/>
      <c r="G663" s="20">
        <v>71</v>
      </c>
      <c r="H663" s="20">
        <v>67</v>
      </c>
      <c r="I663" s="45">
        <f t="shared" si="5"/>
        <v>4</v>
      </c>
      <c r="J663" s="22">
        <f>[1]SUMMARY!N664</f>
        <v>1710</v>
      </c>
      <c r="K663" s="23">
        <f t="shared" si="6"/>
        <v>6840</v>
      </c>
      <c r="L663" s="8"/>
      <c r="M663" s="8"/>
    </row>
    <row r="664" spans="1:13" x14ac:dyDescent="0.2">
      <c r="A664" s="17" t="str">
        <f>[1]SUMMARY!A665</f>
        <v>185</v>
      </c>
      <c r="B664" s="17">
        <f>[1]SUMMARY!B665</f>
        <v>65</v>
      </c>
      <c r="C664" s="17">
        <f>[1]SUMMARY!C665</f>
        <v>15</v>
      </c>
      <c r="D664" s="25" t="str">
        <f>[1]SUMMARY!D665</f>
        <v>DURATURN</v>
      </c>
      <c r="E664" s="25" t="str">
        <f>[1]SUMMARY!E665</f>
        <v>MOZZO TOURING</v>
      </c>
      <c r="F664" s="20"/>
      <c r="G664" s="20">
        <v>8</v>
      </c>
      <c r="H664" s="20">
        <v>8</v>
      </c>
      <c r="I664" s="30">
        <f t="shared" si="5"/>
        <v>0</v>
      </c>
      <c r="J664" s="22">
        <f>[1]SUMMARY!N665</f>
        <v>1650</v>
      </c>
      <c r="K664" s="23">
        <f t="shared" si="6"/>
        <v>0</v>
      </c>
      <c r="L664" s="8"/>
      <c r="M664" s="8"/>
    </row>
    <row r="665" spans="1:13" x14ac:dyDescent="0.2">
      <c r="A665" s="17" t="str">
        <f>[1]SUMMARY!A666</f>
        <v>195</v>
      </c>
      <c r="B665" s="17">
        <f>[1]SUMMARY!B666</f>
        <v>65</v>
      </c>
      <c r="C665" s="17">
        <f>[1]SUMMARY!C666</f>
        <v>15</v>
      </c>
      <c r="D665" s="25" t="str">
        <f>[1]SUMMARY!D666</f>
        <v>DURATURN</v>
      </c>
      <c r="E665" s="25" t="str">
        <f>[1]SUMMARY!E666</f>
        <v>MOZZO 4S</v>
      </c>
      <c r="F665" s="20"/>
      <c r="G665" s="20">
        <v>36</v>
      </c>
      <c r="H665" s="20">
        <v>36</v>
      </c>
      <c r="I665" s="30">
        <f t="shared" si="5"/>
        <v>0</v>
      </c>
      <c r="J665" s="22">
        <f>[1]SUMMARY!N666</f>
        <v>1824</v>
      </c>
      <c r="K665" s="23">
        <f t="shared" si="6"/>
        <v>0</v>
      </c>
      <c r="L665" s="8"/>
      <c r="M665" s="8"/>
    </row>
    <row r="666" spans="1:13" x14ac:dyDescent="0.2">
      <c r="A666" s="17" t="str">
        <f>[1]SUMMARY!A667</f>
        <v>195</v>
      </c>
      <c r="B666" s="17">
        <f>[1]SUMMARY!B667</f>
        <v>65</v>
      </c>
      <c r="C666" s="17">
        <f>[1]SUMMARY!C667</f>
        <v>15</v>
      </c>
      <c r="D666" s="25" t="str">
        <f>[1]SUMMARY!D667</f>
        <v>DURATURN</v>
      </c>
      <c r="E666" s="25" t="str">
        <f>[1]SUMMARY!E667</f>
        <v>MOZZO ECO D3</v>
      </c>
      <c r="F666" s="20"/>
      <c r="G666" s="20">
        <v>4</v>
      </c>
      <c r="H666" s="20"/>
      <c r="I666" s="45">
        <f t="shared" si="5"/>
        <v>4</v>
      </c>
      <c r="J666" s="22">
        <f>[1]SUMMARY!N667</f>
        <v>1760</v>
      </c>
      <c r="K666" s="23">
        <f t="shared" si="6"/>
        <v>7040</v>
      </c>
      <c r="L666" s="8"/>
      <c r="M666" s="8"/>
    </row>
    <row r="667" spans="1:13" x14ac:dyDescent="0.2">
      <c r="A667" s="17" t="str">
        <f>[1]SUMMARY!A668</f>
        <v>205</v>
      </c>
      <c r="B667" s="17">
        <f>[1]SUMMARY!B668</f>
        <v>65</v>
      </c>
      <c r="C667" s="17">
        <f>[1]SUMMARY!C668</f>
        <v>15</v>
      </c>
      <c r="D667" s="25" t="str">
        <f>[1]SUMMARY!D668</f>
        <v>DURATURN</v>
      </c>
      <c r="E667" s="25" t="str">
        <f>[1]SUMMARY!E668</f>
        <v>MOZZO 4S</v>
      </c>
      <c r="F667" s="20"/>
      <c r="G667" s="20">
        <v>59</v>
      </c>
      <c r="H667" s="20">
        <v>59</v>
      </c>
      <c r="I667" s="45">
        <f t="shared" si="5"/>
        <v>0</v>
      </c>
      <c r="J667" s="22">
        <f>[1]SUMMARY!N668</f>
        <v>2052</v>
      </c>
      <c r="K667" s="23">
        <f t="shared" si="6"/>
        <v>0</v>
      </c>
      <c r="L667" s="8"/>
      <c r="M667" s="8"/>
    </row>
    <row r="668" spans="1:13" x14ac:dyDescent="0.2">
      <c r="A668" s="17" t="str">
        <f>[1]SUMMARY!A669</f>
        <v>195</v>
      </c>
      <c r="B668" s="17">
        <f>[1]SUMMARY!B669</f>
        <v>70</v>
      </c>
      <c r="C668" s="17" t="str">
        <f>[1]SUMMARY!C669</f>
        <v>15C</v>
      </c>
      <c r="D668" s="25" t="str">
        <f>[1]SUMMARY!D669</f>
        <v>DURATURN</v>
      </c>
      <c r="E668" s="25" t="str">
        <f>[1]SUMMARY!E669</f>
        <v>TRAVIA VAN</v>
      </c>
      <c r="F668" s="20"/>
      <c r="G668" s="20">
        <v>4</v>
      </c>
      <c r="H668" s="20">
        <v>4</v>
      </c>
      <c r="I668" s="30">
        <f t="shared" si="5"/>
        <v>0</v>
      </c>
      <c r="J668" s="22">
        <f>[1]SUMMARY!N669</f>
        <v>2541</v>
      </c>
      <c r="K668" s="23">
        <f t="shared" si="6"/>
        <v>0</v>
      </c>
      <c r="L668" s="8"/>
      <c r="M668" s="8"/>
    </row>
    <row r="669" spans="1:13" x14ac:dyDescent="0.2">
      <c r="A669" s="17" t="str">
        <f>[1]SUMMARY!A670</f>
        <v>205</v>
      </c>
      <c r="B669" s="17">
        <f>[1]SUMMARY!B670</f>
        <v>70</v>
      </c>
      <c r="C669" s="17" t="str">
        <f>[1]SUMMARY!C670</f>
        <v>15C</v>
      </c>
      <c r="D669" s="25" t="str">
        <f>[1]SUMMARY!D670</f>
        <v>DURATURN</v>
      </c>
      <c r="E669" s="25" t="str">
        <f>[1]SUMMARY!E670</f>
        <v>TRAVIA VAN</v>
      </c>
      <c r="F669" s="20"/>
      <c r="G669" s="20">
        <v>77</v>
      </c>
      <c r="H669" s="20">
        <v>75</v>
      </c>
      <c r="I669" s="45">
        <f t="shared" si="5"/>
        <v>2</v>
      </c>
      <c r="J669" s="22">
        <f>[1]SUMMARY!N670</f>
        <v>2585</v>
      </c>
      <c r="K669" s="23">
        <f t="shared" si="6"/>
        <v>5170</v>
      </c>
      <c r="L669" s="8"/>
      <c r="M669" s="8"/>
    </row>
    <row r="670" spans="1:13" x14ac:dyDescent="0.2">
      <c r="A670" s="17" t="str">
        <f>[1]SUMMARY!A671</f>
        <v>205</v>
      </c>
      <c r="B670" s="17">
        <f>[1]SUMMARY!B671</f>
        <v>70</v>
      </c>
      <c r="C670" s="17" t="str">
        <f>[1]SUMMARY!C671</f>
        <v>15C</v>
      </c>
      <c r="D670" s="25" t="str">
        <f>[1]SUMMARY!D671</f>
        <v>DURATURN</v>
      </c>
      <c r="E670" s="25" t="str">
        <f>[1]SUMMARY!E671</f>
        <v>TRAVIA A/T</v>
      </c>
      <c r="F670" s="20"/>
      <c r="G670" s="20"/>
      <c r="H670" s="20"/>
      <c r="I670" s="30">
        <f t="shared" si="5"/>
        <v>0</v>
      </c>
      <c r="J670" s="22">
        <f>[1]SUMMARY!N671</f>
        <v>2585</v>
      </c>
      <c r="K670" s="23">
        <f t="shared" si="6"/>
        <v>0</v>
      </c>
      <c r="L670" s="8"/>
      <c r="M670" s="8"/>
    </row>
    <row r="671" spans="1:13" x14ac:dyDescent="0.2">
      <c r="A671" s="17" t="str">
        <f>[1]SUMMARY!A672</f>
        <v>215</v>
      </c>
      <c r="B671" s="17">
        <f>[1]SUMMARY!B672</f>
        <v>70</v>
      </c>
      <c r="C671" s="17" t="str">
        <f>[1]SUMMARY!C672</f>
        <v>15C</v>
      </c>
      <c r="D671" s="25" t="str">
        <f>[1]SUMMARY!D672</f>
        <v>DURATURN</v>
      </c>
      <c r="E671" s="25" t="str">
        <f>[1]SUMMARY!E672</f>
        <v>TRAVIA VAN</v>
      </c>
      <c r="F671" s="20"/>
      <c r="G671" s="20">
        <v>27</v>
      </c>
      <c r="H671" s="20">
        <v>23</v>
      </c>
      <c r="I671" s="45">
        <f t="shared" si="5"/>
        <v>4</v>
      </c>
      <c r="J671" s="22">
        <f>[1]SUMMARY!N672</f>
        <v>3021</v>
      </c>
      <c r="K671" s="23">
        <f t="shared" si="6"/>
        <v>12084</v>
      </c>
      <c r="L671" s="8"/>
      <c r="M671" s="8"/>
    </row>
    <row r="672" spans="1:13" x14ac:dyDescent="0.2">
      <c r="A672" s="17" t="str">
        <f>[1]SUMMARY!A673</f>
        <v>225</v>
      </c>
      <c r="B672" s="17">
        <f>[1]SUMMARY!B673</f>
        <v>70</v>
      </c>
      <c r="C672" s="17" t="str">
        <f>[1]SUMMARY!C673</f>
        <v>15C</v>
      </c>
      <c r="D672" s="25" t="str">
        <f>[1]SUMMARY!D673</f>
        <v>DURATURN</v>
      </c>
      <c r="E672" s="25" t="str">
        <f>[1]SUMMARY!E673</f>
        <v>TRAVIA VAN</v>
      </c>
      <c r="F672" s="20"/>
      <c r="G672" s="20">
        <v>54</v>
      </c>
      <c r="H672" s="20">
        <v>50</v>
      </c>
      <c r="I672" s="45">
        <f t="shared" si="5"/>
        <v>4</v>
      </c>
      <c r="J672" s="22">
        <f>[1]SUMMARY!N673</f>
        <v>3078</v>
      </c>
      <c r="K672" s="23">
        <f t="shared" si="6"/>
        <v>12312</v>
      </c>
      <c r="L672" s="8"/>
      <c r="M672" s="8"/>
    </row>
    <row r="673" spans="1:13" x14ac:dyDescent="0.2">
      <c r="A673" s="17" t="str">
        <f>[1]SUMMARY!A674</f>
        <v>195</v>
      </c>
      <c r="B673" s="17">
        <f>[1]SUMMARY!B674</f>
        <v>0</v>
      </c>
      <c r="C673" s="17" t="str">
        <f>[1]SUMMARY!C674</f>
        <v>15C</v>
      </c>
      <c r="D673" s="25" t="str">
        <f>[1]SUMMARY!D674</f>
        <v>DURATURN</v>
      </c>
      <c r="E673" s="25" t="str">
        <f>[1]SUMMARY!E674</f>
        <v>TRAVIA VAN</v>
      </c>
      <c r="F673" s="20"/>
      <c r="G673" s="20">
        <v>85</v>
      </c>
      <c r="H673" s="20">
        <v>81</v>
      </c>
      <c r="I673" s="30">
        <f t="shared" si="5"/>
        <v>4</v>
      </c>
      <c r="J673" s="22">
        <f>[1]SUMMARY!N674</f>
        <v>2644.8</v>
      </c>
      <c r="K673" s="23">
        <f t="shared" si="6"/>
        <v>10579.2</v>
      </c>
      <c r="L673" s="8"/>
      <c r="M673" s="8"/>
    </row>
    <row r="674" spans="1:13" x14ac:dyDescent="0.2">
      <c r="A674" s="17" t="str">
        <f>[1]SUMMARY!A675</f>
        <v>235</v>
      </c>
      <c r="B674" s="17">
        <f>[1]SUMMARY!B675</f>
        <v>75</v>
      </c>
      <c r="C674" s="17">
        <f>[1]SUMMARY!C675</f>
        <v>15</v>
      </c>
      <c r="D674" s="25" t="str">
        <f>[1]SUMMARY!D675</f>
        <v>DURATURN</v>
      </c>
      <c r="E674" s="25" t="str">
        <f>[1]SUMMARY!E675</f>
        <v>TRAVIA A/T</v>
      </c>
      <c r="F674" s="20"/>
      <c r="G674" s="20">
        <v>109</v>
      </c>
      <c r="H674" s="20">
        <v>105</v>
      </c>
      <c r="I674" s="45">
        <f t="shared" si="5"/>
        <v>4</v>
      </c>
      <c r="J674" s="22">
        <f>[1]SUMMARY!N675</f>
        <v>3391.5</v>
      </c>
      <c r="K674" s="23">
        <f t="shared" si="6"/>
        <v>13566</v>
      </c>
      <c r="L674" s="8"/>
      <c r="M674" s="8"/>
    </row>
    <row r="675" spans="1:13" x14ac:dyDescent="0.2">
      <c r="A675" s="17" t="str">
        <f>[1]SUMMARY!A676</f>
        <v>235</v>
      </c>
      <c r="B675" s="17">
        <f>[1]SUMMARY!B676</f>
        <v>75</v>
      </c>
      <c r="C675" s="17">
        <f>[1]SUMMARY!C676</f>
        <v>15</v>
      </c>
      <c r="D675" s="25" t="str">
        <f>[1]SUMMARY!D676</f>
        <v>DURATURN</v>
      </c>
      <c r="E675" s="25" t="str">
        <f>[1]SUMMARY!E676</f>
        <v>TRAVIA HT</v>
      </c>
      <c r="F675" s="20"/>
      <c r="G675" s="20">
        <v>6</v>
      </c>
      <c r="H675" s="20">
        <v>6</v>
      </c>
      <c r="I675" s="30">
        <f t="shared" si="5"/>
        <v>0</v>
      </c>
      <c r="J675" s="22">
        <f>[1]SUMMARY!N676</f>
        <v>3080</v>
      </c>
      <c r="K675" s="23">
        <f t="shared" si="6"/>
        <v>0</v>
      </c>
      <c r="L675" s="8"/>
      <c r="M675" s="8"/>
    </row>
    <row r="676" spans="1:13" x14ac:dyDescent="0.2">
      <c r="A676" s="17" t="str">
        <f>[1]SUMMARY!A677</f>
        <v>31</v>
      </c>
      <c r="B676" s="17">
        <f>[1]SUMMARY!B677</f>
        <v>10.5</v>
      </c>
      <c r="C676" s="17">
        <f>[1]SUMMARY!C677</f>
        <v>15</v>
      </c>
      <c r="D676" s="25" t="str">
        <f>[1]SUMMARY!D677</f>
        <v>DURATURN</v>
      </c>
      <c r="E676" s="25" t="str">
        <f>[1]SUMMARY!E677</f>
        <v>TRAVIA A/T</v>
      </c>
      <c r="F676" s="20"/>
      <c r="G676" s="20">
        <v>64</v>
      </c>
      <c r="H676" s="20">
        <v>60</v>
      </c>
      <c r="I676" s="30">
        <f t="shared" si="5"/>
        <v>4</v>
      </c>
      <c r="J676" s="22">
        <f>[1]SUMMARY!N677</f>
        <v>4565</v>
      </c>
      <c r="K676" s="23">
        <f t="shared" si="6"/>
        <v>18260</v>
      </c>
      <c r="L676" s="8"/>
      <c r="M676" s="8"/>
    </row>
    <row r="677" spans="1:13" x14ac:dyDescent="0.2">
      <c r="A677" s="17" t="str">
        <f>[1]SUMMARY!A678</f>
        <v>31</v>
      </c>
      <c r="B677" s="17">
        <f>[1]SUMMARY!B678</f>
        <v>10.5</v>
      </c>
      <c r="C677" s="17">
        <f>[1]SUMMARY!C678</f>
        <v>15</v>
      </c>
      <c r="D677" s="25" t="str">
        <f>[1]SUMMARY!D678</f>
        <v>DURATURN</v>
      </c>
      <c r="E677" s="25" t="str">
        <f>[1]SUMMARY!E678</f>
        <v>TRAVIS M/T</v>
      </c>
      <c r="F677" s="20"/>
      <c r="G677" s="20">
        <v>32</v>
      </c>
      <c r="H677" s="20">
        <v>28</v>
      </c>
      <c r="I677" s="45">
        <f t="shared" si="5"/>
        <v>4</v>
      </c>
      <c r="J677" s="22">
        <f>[1]SUMMARY!N678</f>
        <v>4840</v>
      </c>
      <c r="K677" s="23">
        <f t="shared" si="6"/>
        <v>19360</v>
      </c>
      <c r="L677" s="8"/>
      <c r="M677" s="8"/>
    </row>
    <row r="678" spans="1:13" x14ac:dyDescent="0.2">
      <c r="A678" s="17" t="str">
        <f>[1]SUMMARY!A679</f>
        <v>205</v>
      </c>
      <c r="B678" s="17">
        <f>[1]SUMMARY!B679</f>
        <v>45</v>
      </c>
      <c r="C678" s="17">
        <f>[1]SUMMARY!C679</f>
        <v>16</v>
      </c>
      <c r="D678" s="25" t="str">
        <f>[1]SUMMARY!D679</f>
        <v>DURATURN</v>
      </c>
      <c r="E678" s="25" t="str">
        <f>[1]SUMMARY!E679</f>
        <v>MOZZO 4S</v>
      </c>
      <c r="F678" s="20"/>
      <c r="G678" s="20">
        <v>14</v>
      </c>
      <c r="H678" s="20">
        <v>14</v>
      </c>
      <c r="I678" s="30">
        <f t="shared" si="5"/>
        <v>0</v>
      </c>
      <c r="J678" s="22">
        <f>[1]SUMMARY!N679</f>
        <v>1771</v>
      </c>
      <c r="K678" s="23">
        <f t="shared" si="6"/>
        <v>0</v>
      </c>
      <c r="L678" s="8"/>
      <c r="M678" s="8"/>
    </row>
    <row r="679" spans="1:13" x14ac:dyDescent="0.2">
      <c r="A679" s="17" t="str">
        <f>[1]SUMMARY!A680</f>
        <v>195</v>
      </c>
      <c r="B679" s="17">
        <f>[1]SUMMARY!B680</f>
        <v>55</v>
      </c>
      <c r="C679" s="17">
        <f>[1]SUMMARY!C680</f>
        <v>16</v>
      </c>
      <c r="D679" s="25" t="str">
        <f>[1]SUMMARY!D680</f>
        <v>DURATURN</v>
      </c>
      <c r="E679" s="25" t="str">
        <f>[1]SUMMARY!E680</f>
        <v>MOZZO 4ST</v>
      </c>
      <c r="F679" s="20"/>
      <c r="G679" s="20">
        <v>68</v>
      </c>
      <c r="H679" s="20">
        <v>64</v>
      </c>
      <c r="I679" s="30">
        <f t="shared" si="5"/>
        <v>4</v>
      </c>
      <c r="J679" s="22">
        <f>[1]SUMMARY!N680</f>
        <v>1938</v>
      </c>
      <c r="K679" s="23">
        <f t="shared" si="6"/>
        <v>7752</v>
      </c>
      <c r="L679" s="8"/>
      <c r="M679" s="8"/>
    </row>
    <row r="680" spans="1:13" x14ac:dyDescent="0.2">
      <c r="A680" s="17" t="str">
        <f>[1]SUMMARY!A681</f>
        <v>205</v>
      </c>
      <c r="B680" s="17">
        <f>[1]SUMMARY!B681</f>
        <v>55</v>
      </c>
      <c r="C680" s="17">
        <f>[1]SUMMARY!C681</f>
        <v>16</v>
      </c>
      <c r="D680" s="25" t="str">
        <f>[1]SUMMARY!D681</f>
        <v>DURATURN</v>
      </c>
      <c r="E680" s="25" t="str">
        <f>[1]SUMMARY!E681</f>
        <v>MOZZO 4S</v>
      </c>
      <c r="F680" s="20"/>
      <c r="G680" s="20">
        <v>66</v>
      </c>
      <c r="H680" s="20">
        <v>66</v>
      </c>
      <c r="I680" s="45">
        <f t="shared" si="5"/>
        <v>0</v>
      </c>
      <c r="J680" s="22">
        <f>[1]SUMMARY!N681</f>
        <v>2052</v>
      </c>
      <c r="K680" s="23">
        <f t="shared" si="6"/>
        <v>0</v>
      </c>
      <c r="L680" s="8"/>
      <c r="M680" s="8"/>
    </row>
    <row r="681" spans="1:13" x14ac:dyDescent="0.2">
      <c r="A681" s="17" t="str">
        <f>[1]SUMMARY!A682</f>
        <v>205</v>
      </c>
      <c r="B681" s="17">
        <f>[1]SUMMARY!B682</f>
        <v>55</v>
      </c>
      <c r="C681" s="17">
        <f>[1]SUMMARY!C682</f>
        <v>16</v>
      </c>
      <c r="D681" s="25" t="str">
        <f>[1]SUMMARY!D682</f>
        <v>DURATURN</v>
      </c>
      <c r="E681" s="25" t="str">
        <f>[1]SUMMARY!E682</f>
        <v>MOZZO ECO D3</v>
      </c>
      <c r="F681" s="20"/>
      <c r="G681" s="20"/>
      <c r="H681" s="20"/>
      <c r="I681" s="30">
        <f t="shared" si="5"/>
        <v>0</v>
      </c>
      <c r="J681" s="22">
        <f>[1]SUMMARY!N682</f>
        <v>1980</v>
      </c>
      <c r="K681" s="23">
        <f t="shared" si="6"/>
        <v>0</v>
      </c>
      <c r="L681" s="8"/>
      <c r="M681" s="8"/>
    </row>
    <row r="682" spans="1:13" x14ac:dyDescent="0.2">
      <c r="A682" s="17" t="str">
        <f>[1]SUMMARY!A683</f>
        <v>195</v>
      </c>
      <c r="B682" s="17">
        <f>[1]SUMMARY!B683</f>
        <v>60</v>
      </c>
      <c r="C682" s="17">
        <f>[1]SUMMARY!C683</f>
        <v>16</v>
      </c>
      <c r="D682" s="25" t="str">
        <f>[1]SUMMARY!D683</f>
        <v>DURATURN</v>
      </c>
      <c r="E682" s="25" t="str">
        <f>[1]SUMMARY!E683</f>
        <v>MOZZO S360</v>
      </c>
      <c r="F682" s="20"/>
      <c r="G682" s="20">
        <v>42</v>
      </c>
      <c r="H682" s="20">
        <v>38</v>
      </c>
      <c r="I682" s="30">
        <f t="shared" si="5"/>
        <v>4</v>
      </c>
      <c r="J682" s="22">
        <f>[1]SUMMARY!N683</f>
        <v>1991</v>
      </c>
      <c r="K682" s="23">
        <f t="shared" si="6"/>
        <v>7964</v>
      </c>
      <c r="L682" s="8"/>
      <c r="M682" s="8"/>
    </row>
    <row r="683" spans="1:13" x14ac:dyDescent="0.2">
      <c r="A683" s="17" t="str">
        <f>[1]SUMMARY!A684</f>
        <v>205</v>
      </c>
      <c r="B683" s="17">
        <f>[1]SUMMARY!B684</f>
        <v>60</v>
      </c>
      <c r="C683" s="17">
        <f>[1]SUMMARY!C684</f>
        <v>16</v>
      </c>
      <c r="D683" s="25" t="str">
        <f>[1]SUMMARY!D684</f>
        <v>DURATURN</v>
      </c>
      <c r="E683" s="25" t="str">
        <f>[1]SUMMARY!E684</f>
        <v>MOZZO 4S</v>
      </c>
      <c r="F683" s="20"/>
      <c r="G683" s="20">
        <v>27</v>
      </c>
      <c r="H683" s="20">
        <v>27</v>
      </c>
      <c r="I683" s="30">
        <f t="shared" si="5"/>
        <v>0</v>
      </c>
      <c r="J683" s="22">
        <f>[1]SUMMARY!N684</f>
        <v>2223</v>
      </c>
      <c r="K683" s="23">
        <f t="shared" si="6"/>
        <v>0</v>
      </c>
      <c r="L683" s="8"/>
      <c r="M683" s="8"/>
    </row>
    <row r="684" spans="1:13" x14ac:dyDescent="0.2">
      <c r="A684" s="17" t="str">
        <f>[1]SUMMARY!A685</f>
        <v>205</v>
      </c>
      <c r="B684" s="17">
        <f>[1]SUMMARY!B685</f>
        <v>60</v>
      </c>
      <c r="C684" s="17">
        <f>[1]SUMMARY!C685</f>
        <v>16</v>
      </c>
      <c r="D684" s="25" t="str">
        <f>[1]SUMMARY!D685</f>
        <v>DURATURN</v>
      </c>
      <c r="E684" s="25" t="str">
        <f>[1]SUMMARY!E685</f>
        <v>MOZZO ECO D3</v>
      </c>
      <c r="F684" s="20"/>
      <c r="G684" s="20">
        <v>4</v>
      </c>
      <c r="H684" s="20">
        <v>2</v>
      </c>
      <c r="I684" s="45">
        <f t="shared" si="5"/>
        <v>2</v>
      </c>
      <c r="J684" s="22">
        <f>[1]SUMMARY!N685</f>
        <v>2145</v>
      </c>
      <c r="K684" s="23">
        <f t="shared" si="6"/>
        <v>4290</v>
      </c>
      <c r="L684" s="8"/>
      <c r="M684" s="8"/>
    </row>
    <row r="685" spans="1:13" x14ac:dyDescent="0.2">
      <c r="A685" s="17" t="str">
        <f>[1]SUMMARY!A686</f>
        <v>215</v>
      </c>
      <c r="B685" s="17">
        <f>[1]SUMMARY!B686</f>
        <v>60</v>
      </c>
      <c r="C685" s="17">
        <f>[1]SUMMARY!C686</f>
        <v>16</v>
      </c>
      <c r="D685" s="25" t="str">
        <f>[1]SUMMARY!D686</f>
        <v>DURATURN</v>
      </c>
      <c r="E685" s="25" t="str">
        <f>[1]SUMMARY!E686</f>
        <v>MOZZO 4S+</v>
      </c>
      <c r="F685" s="20"/>
      <c r="G685" s="20">
        <v>17</v>
      </c>
      <c r="H685" s="20">
        <v>15</v>
      </c>
      <c r="I685" s="45">
        <f t="shared" si="5"/>
        <v>2</v>
      </c>
      <c r="J685" s="22">
        <f>[1]SUMMARY!N686</f>
        <v>2282.5</v>
      </c>
      <c r="K685" s="23">
        <f t="shared" si="6"/>
        <v>4565</v>
      </c>
      <c r="L685" s="8"/>
      <c r="M685" s="8"/>
    </row>
    <row r="686" spans="1:13" x14ac:dyDescent="0.2">
      <c r="A686" s="17" t="str">
        <f>[1]SUMMARY!A687</f>
        <v>215</v>
      </c>
      <c r="B686" s="17">
        <f>[1]SUMMARY!B687</f>
        <v>60</v>
      </c>
      <c r="C686" s="17">
        <f>[1]SUMMARY!C687</f>
        <v>16</v>
      </c>
      <c r="D686" s="25" t="str">
        <f>[1]SUMMARY!D687</f>
        <v>DURATURN</v>
      </c>
      <c r="E686" s="25" t="str">
        <f>[1]SUMMARY!E687</f>
        <v>MOZZO ECO D3 99V</v>
      </c>
      <c r="F686" s="20"/>
      <c r="G686" s="20"/>
      <c r="H686" s="20"/>
      <c r="I686" s="45">
        <f t="shared" si="5"/>
        <v>0</v>
      </c>
      <c r="J686" s="22">
        <f>[1]SUMMARY!N687</f>
        <v>2282.5</v>
      </c>
      <c r="K686" s="23">
        <f t="shared" si="6"/>
        <v>0</v>
      </c>
      <c r="L686" s="8"/>
      <c r="M686" s="8"/>
    </row>
    <row r="687" spans="1:13" x14ac:dyDescent="0.2">
      <c r="A687" s="17" t="str">
        <f>[1]SUMMARY!A688</f>
        <v>205</v>
      </c>
      <c r="B687" s="17">
        <f>[1]SUMMARY!B688</f>
        <v>65</v>
      </c>
      <c r="C687" s="17">
        <f>[1]SUMMARY!C688</f>
        <v>16</v>
      </c>
      <c r="D687" s="25" t="str">
        <f>[1]SUMMARY!D688</f>
        <v>DURATURN</v>
      </c>
      <c r="E687" s="25" t="str">
        <f>[1]SUMMARY!E688</f>
        <v>MOZZO TOURING</v>
      </c>
      <c r="F687" s="20"/>
      <c r="G687" s="20">
        <v>74</v>
      </c>
      <c r="H687" s="20">
        <v>72</v>
      </c>
      <c r="I687" s="45">
        <f t="shared" si="5"/>
        <v>2</v>
      </c>
      <c r="J687" s="22">
        <f>[1]SUMMARY!N688</f>
        <v>2354.1</v>
      </c>
      <c r="K687" s="23">
        <f t="shared" si="6"/>
        <v>4708.2</v>
      </c>
      <c r="L687" s="8"/>
      <c r="M687" s="8"/>
    </row>
    <row r="688" spans="1:13" x14ac:dyDescent="0.2">
      <c r="A688" s="17" t="str">
        <f>[1]SUMMARY!A689</f>
        <v>215</v>
      </c>
      <c r="B688" s="17">
        <f>[1]SUMMARY!B689</f>
        <v>65</v>
      </c>
      <c r="C688" s="17">
        <f>[1]SUMMARY!C689</f>
        <v>16</v>
      </c>
      <c r="D688" s="25" t="str">
        <f>[1]SUMMARY!D689</f>
        <v>DURATURN</v>
      </c>
      <c r="E688" s="25" t="str">
        <f>[1]SUMMARY!E689</f>
        <v>MOZZO TOURING</v>
      </c>
      <c r="F688" s="20"/>
      <c r="G688" s="20">
        <v>50</v>
      </c>
      <c r="H688" s="20">
        <v>50</v>
      </c>
      <c r="I688" s="45">
        <f t="shared" si="5"/>
        <v>0</v>
      </c>
      <c r="J688" s="22">
        <f>[1]SUMMARY!N689</f>
        <v>2593.5</v>
      </c>
      <c r="K688" s="23">
        <f t="shared" si="6"/>
        <v>0</v>
      </c>
      <c r="L688" s="8"/>
      <c r="M688" s="8"/>
    </row>
    <row r="689" spans="1:13" x14ac:dyDescent="0.2">
      <c r="A689" s="17" t="str">
        <f>[1]SUMMARY!A690</f>
        <v>215</v>
      </c>
      <c r="B689" s="17">
        <f>[1]SUMMARY!B690</f>
        <v>65</v>
      </c>
      <c r="C689" s="17">
        <f>[1]SUMMARY!C690</f>
        <v>16</v>
      </c>
      <c r="D689" s="25" t="str">
        <f>[1]SUMMARY!D690</f>
        <v>DURATURN</v>
      </c>
      <c r="E689" s="25" t="str">
        <f>[1]SUMMARY!E690</f>
        <v>MOZZO ECO D3</v>
      </c>
      <c r="F689" s="20"/>
      <c r="G689" s="20">
        <v>4</v>
      </c>
      <c r="H689" s="20"/>
      <c r="I689" s="45">
        <f t="shared" si="5"/>
        <v>4</v>
      </c>
      <c r="J689" s="22">
        <f>[1]SUMMARY!N690</f>
        <v>2502.5</v>
      </c>
      <c r="K689" s="23">
        <f t="shared" si="6"/>
        <v>10010</v>
      </c>
      <c r="L689" s="8"/>
      <c r="M689" s="8"/>
    </row>
    <row r="690" spans="1:13" x14ac:dyDescent="0.2">
      <c r="A690" s="17" t="str">
        <f>[1]SUMMARY!A691</f>
        <v>215</v>
      </c>
      <c r="B690" s="17">
        <f>[1]SUMMARY!B691</f>
        <v>70</v>
      </c>
      <c r="C690" s="17">
        <f>[1]SUMMARY!C691</f>
        <v>16</v>
      </c>
      <c r="D690" s="25" t="str">
        <f>[1]SUMMARY!D691</f>
        <v>DURATURN</v>
      </c>
      <c r="E690" s="25" t="str">
        <f>[1]SUMMARY!E691</f>
        <v>TRAVIA A/T</v>
      </c>
      <c r="F690" s="20"/>
      <c r="G690" s="20">
        <v>57</v>
      </c>
      <c r="H690" s="20">
        <v>57</v>
      </c>
      <c r="I690" s="30">
        <f t="shared" si="5"/>
        <v>0</v>
      </c>
      <c r="J690" s="22">
        <f>[1]SUMMARY!N691</f>
        <v>3100.8</v>
      </c>
      <c r="K690" s="23">
        <f t="shared" si="6"/>
        <v>0</v>
      </c>
      <c r="L690" s="8"/>
      <c r="M690" s="8"/>
    </row>
    <row r="691" spans="1:13" x14ac:dyDescent="0.2">
      <c r="A691" s="17" t="str">
        <f>[1]SUMMARY!A692</f>
        <v>215</v>
      </c>
      <c r="B691" s="17">
        <f>[1]SUMMARY!B692</f>
        <v>70</v>
      </c>
      <c r="C691" s="17">
        <f>[1]SUMMARY!C692</f>
        <v>16</v>
      </c>
      <c r="D691" s="25" t="str">
        <f>[1]SUMMARY!D692</f>
        <v>DURATURN</v>
      </c>
      <c r="E691" s="25" t="str">
        <f>[1]SUMMARY!E692</f>
        <v>TRAVIA H/T</v>
      </c>
      <c r="F691" s="20"/>
      <c r="G691" s="20">
        <v>29</v>
      </c>
      <c r="H691" s="20">
        <v>29</v>
      </c>
      <c r="I691" s="45">
        <f t="shared" si="5"/>
        <v>0</v>
      </c>
      <c r="J691" s="22">
        <f>[1]SUMMARY!N692</f>
        <v>2722.5</v>
      </c>
      <c r="K691" s="23">
        <f t="shared" si="6"/>
        <v>0</v>
      </c>
      <c r="L691" s="8"/>
      <c r="M691" s="8"/>
    </row>
    <row r="692" spans="1:13" x14ac:dyDescent="0.2">
      <c r="A692" s="17" t="str">
        <f>[1]SUMMARY!A693</f>
        <v>225</v>
      </c>
      <c r="B692" s="17">
        <f>[1]SUMMARY!B693</f>
        <v>70</v>
      </c>
      <c r="C692" s="17">
        <f>[1]SUMMARY!C693</f>
        <v>16</v>
      </c>
      <c r="D692" s="25" t="str">
        <f>[1]SUMMARY!D693</f>
        <v>DURATURN</v>
      </c>
      <c r="E692" s="25" t="str">
        <f>[1]SUMMARY!E693</f>
        <v>TRAVIA H/T</v>
      </c>
      <c r="F692" s="20"/>
      <c r="G692" s="20">
        <v>8</v>
      </c>
      <c r="H692" s="20">
        <v>8</v>
      </c>
      <c r="I692" s="30">
        <f t="shared" si="5"/>
        <v>0</v>
      </c>
      <c r="J692" s="22">
        <f>[1]SUMMARY!N693</f>
        <v>2869.95</v>
      </c>
      <c r="K692" s="23">
        <f t="shared" si="6"/>
        <v>0</v>
      </c>
      <c r="L692" s="8"/>
      <c r="M692" s="8"/>
    </row>
    <row r="693" spans="1:13" x14ac:dyDescent="0.2">
      <c r="A693" s="17" t="str">
        <f>[1]SUMMARY!A694</f>
        <v>225</v>
      </c>
      <c r="B693" s="17">
        <f>[1]SUMMARY!B694</f>
        <v>70</v>
      </c>
      <c r="C693" s="17">
        <f>[1]SUMMARY!C694</f>
        <v>16</v>
      </c>
      <c r="D693" s="25" t="str">
        <f>[1]SUMMARY!D694</f>
        <v>DURATURN</v>
      </c>
      <c r="E693" s="25" t="str">
        <f>[1]SUMMARY!E694</f>
        <v>TRAVIA A/T</v>
      </c>
      <c r="F693" s="20"/>
      <c r="G693" s="20"/>
      <c r="H693" s="20"/>
      <c r="I693" s="30">
        <f t="shared" si="5"/>
        <v>0</v>
      </c>
      <c r="J693" s="22">
        <f>[1]SUMMARY!N694</f>
        <v>3080</v>
      </c>
      <c r="K693" s="23">
        <f t="shared" si="6"/>
        <v>0</v>
      </c>
      <c r="L693" s="8"/>
      <c r="M693" s="8"/>
    </row>
    <row r="694" spans="1:13" x14ac:dyDescent="0.2">
      <c r="A694" s="17">
        <f>[1]SUMMARY!A695</f>
        <v>245</v>
      </c>
      <c r="B694" s="17">
        <f>[1]SUMMARY!B695</f>
        <v>70</v>
      </c>
      <c r="C694" s="17">
        <f>[1]SUMMARY!C695</f>
        <v>16</v>
      </c>
      <c r="D694" s="25" t="str">
        <f>[1]SUMMARY!D695</f>
        <v>DURATURN</v>
      </c>
      <c r="E694" s="25" t="str">
        <f>[1]SUMMARY!E695</f>
        <v>TRAVIA H/T</v>
      </c>
      <c r="F694" s="20"/>
      <c r="G694" s="20">
        <v>23</v>
      </c>
      <c r="H694" s="20">
        <v>19</v>
      </c>
      <c r="I694" s="45">
        <f t="shared" si="5"/>
        <v>4</v>
      </c>
      <c r="J694" s="22">
        <f>[1]SUMMARY!N695</f>
        <v>3391.5</v>
      </c>
      <c r="K694" s="23">
        <f t="shared" si="6"/>
        <v>13566</v>
      </c>
      <c r="L694" s="8"/>
      <c r="M694" s="8"/>
    </row>
    <row r="695" spans="1:13" x14ac:dyDescent="0.2">
      <c r="A695" s="17" t="str">
        <f>[1]SUMMARY!A696</f>
        <v>245</v>
      </c>
      <c r="B695" s="17">
        <f>[1]SUMMARY!B696</f>
        <v>70</v>
      </c>
      <c r="C695" s="17">
        <f>[1]SUMMARY!C696</f>
        <v>16</v>
      </c>
      <c r="D695" s="25" t="str">
        <f>[1]SUMMARY!D696</f>
        <v>DURATURN</v>
      </c>
      <c r="E695" s="25" t="str">
        <f>[1]SUMMARY!E696</f>
        <v>TRAVIA A/T</v>
      </c>
      <c r="F695" s="20"/>
      <c r="G695" s="20">
        <v>8</v>
      </c>
      <c r="H695" s="20">
        <v>4</v>
      </c>
      <c r="I695" s="30">
        <f t="shared" si="5"/>
        <v>4</v>
      </c>
      <c r="J695" s="22">
        <f>[1]SUMMARY!N696</f>
        <v>3437.5</v>
      </c>
      <c r="K695" s="23">
        <f t="shared" si="6"/>
        <v>13750</v>
      </c>
      <c r="L695" s="8"/>
      <c r="M695" s="8"/>
    </row>
    <row r="696" spans="1:13" x14ac:dyDescent="0.2">
      <c r="A696" s="17" t="str">
        <f>[1]SUMMARY!A697</f>
        <v>235</v>
      </c>
      <c r="B696" s="17">
        <f>[1]SUMMARY!B697</f>
        <v>65</v>
      </c>
      <c r="C696" s="17" t="str">
        <f>[1]SUMMARY!C697</f>
        <v>16C</v>
      </c>
      <c r="D696" s="25" t="str">
        <f>[1]SUMMARY!D697</f>
        <v>DURATURN</v>
      </c>
      <c r="E696" s="25" t="str">
        <f>[1]SUMMARY!E697</f>
        <v>TRAVIA VAN</v>
      </c>
      <c r="F696" s="20"/>
      <c r="G696" s="20">
        <v>13</v>
      </c>
      <c r="H696" s="20">
        <v>13</v>
      </c>
      <c r="I696" s="30">
        <f t="shared" si="5"/>
        <v>0</v>
      </c>
      <c r="J696" s="22">
        <f>[1]SUMMARY!N697</f>
        <v>3190</v>
      </c>
      <c r="K696" s="23">
        <f t="shared" si="6"/>
        <v>0</v>
      </c>
      <c r="L696" s="8"/>
      <c r="M696" s="8"/>
    </row>
    <row r="697" spans="1:13" x14ac:dyDescent="0.2">
      <c r="A697" s="17" t="str">
        <f>[1]SUMMARY!A698</f>
        <v>265</v>
      </c>
      <c r="B697" s="17">
        <f>[1]SUMMARY!B698</f>
        <v>70</v>
      </c>
      <c r="C697" s="17">
        <f>[1]SUMMARY!C698</f>
        <v>16</v>
      </c>
      <c r="D697" s="25" t="str">
        <f>[1]SUMMARY!D698</f>
        <v>DURATURN</v>
      </c>
      <c r="E697" s="25" t="str">
        <f>[1]SUMMARY!E698</f>
        <v>TRAVIA A/T</v>
      </c>
      <c r="F697" s="20"/>
      <c r="G697" s="20">
        <v>55</v>
      </c>
      <c r="H697" s="20">
        <v>51</v>
      </c>
      <c r="I697" s="45">
        <f t="shared" si="5"/>
        <v>4</v>
      </c>
      <c r="J697" s="22">
        <f>[1]SUMMARY!N698</f>
        <v>3850</v>
      </c>
      <c r="K697" s="23">
        <f t="shared" si="6"/>
        <v>15400</v>
      </c>
      <c r="L697" s="8"/>
      <c r="M697" s="8"/>
    </row>
    <row r="698" spans="1:13" x14ac:dyDescent="0.2">
      <c r="A698" s="17" t="str">
        <f>[1]SUMMARY!A699</f>
        <v>265</v>
      </c>
      <c r="B698" s="17">
        <f>[1]SUMMARY!B699</f>
        <v>70</v>
      </c>
      <c r="C698" s="17">
        <f>[1]SUMMARY!C699</f>
        <v>16</v>
      </c>
      <c r="D698" s="25" t="str">
        <f>[1]SUMMARY!D699</f>
        <v>DURATURN</v>
      </c>
      <c r="E698" s="25" t="str">
        <f>[1]SUMMARY!E699</f>
        <v>TRAVIA H/T</v>
      </c>
      <c r="F698" s="20"/>
      <c r="G698" s="20">
        <v>8</v>
      </c>
      <c r="H698" s="20">
        <v>8</v>
      </c>
      <c r="I698" s="45">
        <f t="shared" si="5"/>
        <v>0</v>
      </c>
      <c r="J698" s="22">
        <f>[1]SUMMARY!N699</f>
        <v>3740</v>
      </c>
      <c r="K698" s="23">
        <f t="shared" si="6"/>
        <v>0</v>
      </c>
      <c r="L698" s="8"/>
      <c r="M698" s="8"/>
    </row>
    <row r="699" spans="1:13" x14ac:dyDescent="0.2">
      <c r="A699" s="17" t="str">
        <f>[1]SUMMARY!A700</f>
        <v>205</v>
      </c>
      <c r="B699" s="17">
        <f>[1]SUMMARY!B700</f>
        <v>40</v>
      </c>
      <c r="C699" s="17">
        <f>[1]SUMMARY!C700</f>
        <v>17</v>
      </c>
      <c r="D699" s="25" t="str">
        <f>[1]SUMMARY!D700</f>
        <v>DURATURN</v>
      </c>
      <c r="E699" s="25" t="str">
        <f>[1]SUMMARY!E700</f>
        <v>MOZZO 4S+</v>
      </c>
      <c r="F699" s="20"/>
      <c r="G699" s="20">
        <v>24</v>
      </c>
      <c r="H699" s="20">
        <v>20</v>
      </c>
      <c r="I699" s="45">
        <f t="shared" si="5"/>
        <v>4</v>
      </c>
      <c r="J699" s="22">
        <f>[1]SUMMARY!N700</f>
        <v>1881</v>
      </c>
      <c r="K699" s="23">
        <f t="shared" si="6"/>
        <v>7524</v>
      </c>
      <c r="L699" s="8"/>
      <c r="M699" s="8"/>
    </row>
    <row r="700" spans="1:13" x14ac:dyDescent="0.2">
      <c r="A700" s="17" t="str">
        <f>[1]SUMMARY!A701</f>
        <v>205</v>
      </c>
      <c r="B700" s="17">
        <f>[1]SUMMARY!B701</f>
        <v>45</v>
      </c>
      <c r="C700" s="17">
        <f>[1]SUMMARY!C701</f>
        <v>17</v>
      </c>
      <c r="D700" s="25" t="str">
        <f>[1]SUMMARY!D701</f>
        <v>DURATURN</v>
      </c>
      <c r="E700" s="25" t="str">
        <f>[1]SUMMARY!E701</f>
        <v>MOZZO 4 SEASON</v>
      </c>
      <c r="F700" s="20"/>
      <c r="G700" s="20">
        <v>38</v>
      </c>
      <c r="H700" s="20">
        <v>38</v>
      </c>
      <c r="I700" s="30">
        <f t="shared" si="5"/>
        <v>0</v>
      </c>
      <c r="J700" s="22">
        <f>[1]SUMMARY!N701</f>
        <v>2007.04</v>
      </c>
      <c r="K700" s="23">
        <f t="shared" si="6"/>
        <v>0</v>
      </c>
      <c r="L700" s="8"/>
      <c r="M700" s="8"/>
    </row>
    <row r="701" spans="1:13" x14ac:dyDescent="0.2">
      <c r="A701" s="17" t="str">
        <f>[1]SUMMARY!A702</f>
        <v>215</v>
      </c>
      <c r="B701" s="17">
        <f>[1]SUMMARY!B702</f>
        <v>45</v>
      </c>
      <c r="C701" s="17">
        <f>[1]SUMMARY!C702</f>
        <v>17</v>
      </c>
      <c r="D701" s="25" t="str">
        <f>[1]SUMMARY!D702</f>
        <v>DURATURN</v>
      </c>
      <c r="E701" s="25" t="str">
        <f>[1]SUMMARY!E702</f>
        <v>MOZZO SPORT</v>
      </c>
      <c r="F701" s="20"/>
      <c r="G701" s="20">
        <v>68</v>
      </c>
      <c r="H701" s="20">
        <v>64</v>
      </c>
      <c r="I701" s="45">
        <f t="shared" si="5"/>
        <v>4</v>
      </c>
      <c r="J701" s="22">
        <f>[1]SUMMARY!N702</f>
        <v>2090</v>
      </c>
      <c r="K701" s="23">
        <f t="shared" si="6"/>
        <v>8360</v>
      </c>
      <c r="L701" s="8"/>
      <c r="M701" s="8"/>
    </row>
    <row r="702" spans="1:13" x14ac:dyDescent="0.2">
      <c r="A702" s="17" t="str">
        <f>[1]SUMMARY!A703</f>
        <v>225</v>
      </c>
      <c r="B702" s="17">
        <f>[1]SUMMARY!B703</f>
        <v>45</v>
      </c>
      <c r="C702" s="17">
        <f>[1]SUMMARY!C703</f>
        <v>17</v>
      </c>
      <c r="D702" s="25" t="str">
        <f>[1]SUMMARY!D703</f>
        <v>DURATURN</v>
      </c>
      <c r="E702" s="25" t="str">
        <f>[1]SUMMARY!E703</f>
        <v>MOZZO SPORT</v>
      </c>
      <c r="F702" s="20"/>
      <c r="G702" s="20">
        <v>6</v>
      </c>
      <c r="H702" s="20">
        <v>6</v>
      </c>
      <c r="I702" s="30">
        <f t="shared" si="5"/>
        <v>0</v>
      </c>
      <c r="J702" s="22">
        <f>[1]SUMMARY!N703</f>
        <v>2255</v>
      </c>
      <c r="K702" s="23">
        <f t="shared" si="6"/>
        <v>0</v>
      </c>
      <c r="L702" s="8"/>
      <c r="M702" s="8"/>
    </row>
    <row r="703" spans="1:13" x14ac:dyDescent="0.2">
      <c r="A703" s="17" t="str">
        <f>[1]SUMMARY!A704</f>
        <v>245</v>
      </c>
      <c r="B703" s="17">
        <f>[1]SUMMARY!B704</f>
        <v>45</v>
      </c>
      <c r="C703" s="17">
        <f>[1]SUMMARY!C704</f>
        <v>17</v>
      </c>
      <c r="D703" s="25" t="str">
        <f>[1]SUMMARY!D704</f>
        <v>DURATURN</v>
      </c>
      <c r="E703" s="25" t="str">
        <f>[1]SUMMARY!E704</f>
        <v>MOZZO SPORT 99W</v>
      </c>
      <c r="F703" s="20"/>
      <c r="G703" s="20"/>
      <c r="H703" s="20"/>
      <c r="I703" s="30">
        <f t="shared" si="5"/>
        <v>0</v>
      </c>
      <c r="J703" s="22">
        <f>[1]SUMMARY!N704</f>
        <v>2887.5</v>
      </c>
      <c r="K703" s="23">
        <f t="shared" si="6"/>
        <v>0</v>
      </c>
      <c r="L703" s="8"/>
      <c r="M703" s="8"/>
    </row>
    <row r="704" spans="1:13" x14ac:dyDescent="0.2">
      <c r="A704" s="17" t="str">
        <f>[1]SUMMARY!A705</f>
        <v>205</v>
      </c>
      <c r="B704" s="17">
        <f>[1]SUMMARY!B705</f>
        <v>50</v>
      </c>
      <c r="C704" s="17">
        <f>[1]SUMMARY!C705</f>
        <v>17</v>
      </c>
      <c r="D704" s="25" t="str">
        <f>[1]SUMMARY!D705</f>
        <v>DURATURN</v>
      </c>
      <c r="E704" s="25" t="str">
        <f>[1]SUMMARY!E705</f>
        <v>MOZZO SPORT</v>
      </c>
      <c r="F704" s="20"/>
      <c r="G704" s="20">
        <v>44</v>
      </c>
      <c r="H704" s="20">
        <v>40</v>
      </c>
      <c r="I704" s="45">
        <f t="shared" si="5"/>
        <v>4</v>
      </c>
      <c r="J704" s="22">
        <f>[1]SUMMARY!N705</f>
        <v>2280</v>
      </c>
      <c r="K704" s="23">
        <f t="shared" si="6"/>
        <v>9120</v>
      </c>
      <c r="L704" s="8"/>
      <c r="M704" s="8"/>
    </row>
    <row r="705" spans="1:13" x14ac:dyDescent="0.2">
      <c r="A705" s="17" t="str">
        <f>[1]SUMMARY!A706</f>
        <v>215</v>
      </c>
      <c r="B705" s="17">
        <f>[1]SUMMARY!B706</f>
        <v>50</v>
      </c>
      <c r="C705" s="17">
        <f>[1]SUMMARY!C706</f>
        <v>17</v>
      </c>
      <c r="D705" s="25" t="str">
        <f>[1]SUMMARY!D706</f>
        <v>DURATURN</v>
      </c>
      <c r="E705" s="25" t="str">
        <f>[1]SUMMARY!E706</f>
        <v>MOZZO TOURING</v>
      </c>
      <c r="F705" s="20"/>
      <c r="G705" s="20">
        <v>35</v>
      </c>
      <c r="H705" s="20">
        <v>32</v>
      </c>
      <c r="I705" s="45">
        <f t="shared" si="5"/>
        <v>3</v>
      </c>
      <c r="J705" s="22">
        <f>[1]SUMMARY!N706</f>
        <v>2451</v>
      </c>
      <c r="K705" s="23">
        <f t="shared" si="6"/>
        <v>7353</v>
      </c>
      <c r="L705" s="8"/>
      <c r="M705" s="8"/>
    </row>
    <row r="706" spans="1:13" x14ac:dyDescent="0.2">
      <c r="A706" s="17" t="str">
        <f>[1]SUMMARY!A707</f>
        <v>205</v>
      </c>
      <c r="B706" s="17">
        <f>[1]SUMMARY!B707</f>
        <v>55</v>
      </c>
      <c r="C706" s="17">
        <f>[1]SUMMARY!C707</f>
        <v>17</v>
      </c>
      <c r="D706" s="25" t="str">
        <f>[1]SUMMARY!D707</f>
        <v>DURATURN</v>
      </c>
      <c r="E706" s="25" t="str">
        <f>[1]SUMMARY!E707</f>
        <v>MOZZO S360</v>
      </c>
      <c r="F706" s="20"/>
      <c r="G706" s="20">
        <v>45</v>
      </c>
      <c r="H706" s="20">
        <v>45</v>
      </c>
      <c r="I706" s="45">
        <f t="shared" si="5"/>
        <v>0</v>
      </c>
      <c r="J706" s="22">
        <f>[1]SUMMARY!N707</f>
        <v>2479.5</v>
      </c>
      <c r="K706" s="23">
        <f t="shared" si="6"/>
        <v>0</v>
      </c>
      <c r="L706" s="8"/>
      <c r="M706" s="8"/>
    </row>
    <row r="707" spans="1:13" x14ac:dyDescent="0.2">
      <c r="A707" s="17" t="str">
        <f>[1]SUMMARY!A708</f>
        <v>215</v>
      </c>
      <c r="B707" s="17">
        <f>[1]SUMMARY!B708</f>
        <v>55</v>
      </c>
      <c r="C707" s="17">
        <f>[1]SUMMARY!C708</f>
        <v>17</v>
      </c>
      <c r="D707" s="25" t="str">
        <f>[1]SUMMARY!D708</f>
        <v>DURATURN</v>
      </c>
      <c r="E707" s="25" t="str">
        <f>[1]SUMMARY!E708</f>
        <v>MOZZO S360</v>
      </c>
      <c r="F707" s="20"/>
      <c r="G707" s="20">
        <v>48</v>
      </c>
      <c r="H707" s="20">
        <v>44</v>
      </c>
      <c r="I707" s="30">
        <f t="shared" si="5"/>
        <v>4</v>
      </c>
      <c r="J707" s="22">
        <f>[1]SUMMARY!N708</f>
        <v>2384.1799999999998</v>
      </c>
      <c r="K707" s="23">
        <f t="shared" si="6"/>
        <v>9536.7199999999993</v>
      </c>
      <c r="L707" s="8"/>
      <c r="M707" s="8"/>
    </row>
    <row r="708" spans="1:13" x14ac:dyDescent="0.2">
      <c r="A708" s="17" t="str">
        <f>[1]SUMMARY!A709</f>
        <v>225</v>
      </c>
      <c r="B708" s="17">
        <f>[1]SUMMARY!B709</f>
        <v>55</v>
      </c>
      <c r="C708" s="17">
        <f>[1]SUMMARY!C709</f>
        <v>17</v>
      </c>
      <c r="D708" s="25" t="str">
        <f>[1]SUMMARY!D709</f>
        <v>DURATURN</v>
      </c>
      <c r="E708" s="25" t="str">
        <f>[1]SUMMARY!E709</f>
        <v>MOZZO SPORT</v>
      </c>
      <c r="F708" s="20"/>
      <c r="G708" s="20">
        <v>14</v>
      </c>
      <c r="H708" s="20">
        <v>14</v>
      </c>
      <c r="I708" s="45">
        <f t="shared" si="5"/>
        <v>0</v>
      </c>
      <c r="J708" s="22">
        <f>[1]SUMMARY!N709</f>
        <v>2585</v>
      </c>
      <c r="K708" s="23">
        <f t="shared" si="6"/>
        <v>0</v>
      </c>
      <c r="L708" s="8"/>
      <c r="M708" s="8"/>
    </row>
    <row r="709" spans="1:13" x14ac:dyDescent="0.2">
      <c r="A709" s="17" t="str">
        <f>[1]SUMMARY!A710</f>
        <v>215</v>
      </c>
      <c r="B709" s="17">
        <f>[1]SUMMARY!B710</f>
        <v>60</v>
      </c>
      <c r="C709" s="17">
        <f>[1]SUMMARY!C710</f>
        <v>17</v>
      </c>
      <c r="D709" s="25" t="str">
        <f>[1]SUMMARY!D710</f>
        <v>DURATURN</v>
      </c>
      <c r="E709" s="25" t="str">
        <f>[1]SUMMARY!E710</f>
        <v>MOZZO S360</v>
      </c>
      <c r="F709" s="20"/>
      <c r="G709" s="20">
        <v>38</v>
      </c>
      <c r="H709" s="20">
        <v>34</v>
      </c>
      <c r="I709" s="45">
        <f t="shared" si="5"/>
        <v>4</v>
      </c>
      <c r="J709" s="22">
        <f>[1]SUMMARY!N710</f>
        <v>2707.5</v>
      </c>
      <c r="K709" s="23">
        <f t="shared" si="6"/>
        <v>10830</v>
      </c>
      <c r="L709" s="8"/>
      <c r="M709" s="8"/>
    </row>
    <row r="710" spans="1:13" x14ac:dyDescent="0.2">
      <c r="A710" s="17" t="str">
        <f>[1]SUMMARY!A711</f>
        <v>215</v>
      </c>
      <c r="B710" s="17">
        <f>[1]SUMMARY!B711</f>
        <v>60</v>
      </c>
      <c r="C710" s="17">
        <f>[1]SUMMARY!C711</f>
        <v>17</v>
      </c>
      <c r="D710" s="25" t="str">
        <f>[1]SUMMARY!D711</f>
        <v>DURATURN</v>
      </c>
      <c r="E710" s="25" t="str">
        <f>[1]SUMMARY!E711</f>
        <v>TRAVIA H/T</v>
      </c>
      <c r="F710" s="20"/>
      <c r="G710" s="20"/>
      <c r="H710" s="20"/>
      <c r="I710" s="30">
        <f t="shared" si="5"/>
        <v>0</v>
      </c>
      <c r="J710" s="22">
        <f>[1]SUMMARY!N711</f>
        <v>2481.88</v>
      </c>
      <c r="K710" s="23">
        <f t="shared" si="6"/>
        <v>0</v>
      </c>
      <c r="L710" s="8"/>
      <c r="M710" s="8"/>
    </row>
    <row r="711" spans="1:13" x14ac:dyDescent="0.2">
      <c r="A711" s="17" t="str">
        <f>[1]SUMMARY!A712</f>
        <v>225</v>
      </c>
      <c r="B711" s="17">
        <f>[1]SUMMARY!B712</f>
        <v>60</v>
      </c>
      <c r="C711" s="17">
        <f>[1]SUMMARY!C712</f>
        <v>17</v>
      </c>
      <c r="D711" s="25" t="str">
        <f>[1]SUMMARY!D712</f>
        <v>DURATURN</v>
      </c>
      <c r="E711" s="25" t="str">
        <f>[1]SUMMARY!E712</f>
        <v>MOZZO STX</v>
      </c>
      <c r="F711" s="20"/>
      <c r="G711" s="20">
        <v>54</v>
      </c>
      <c r="H711" s="20">
        <v>50</v>
      </c>
      <c r="I711" s="45">
        <f t="shared" si="5"/>
        <v>4</v>
      </c>
      <c r="J711" s="22">
        <f>[1]SUMMARY!N712</f>
        <v>2838.6</v>
      </c>
      <c r="K711" s="23">
        <f t="shared" si="6"/>
        <v>11354.4</v>
      </c>
      <c r="L711" s="8"/>
      <c r="M711" s="8"/>
    </row>
    <row r="712" spans="1:13" x14ac:dyDescent="0.2">
      <c r="A712" s="17" t="str">
        <f>[1]SUMMARY!A713</f>
        <v>225</v>
      </c>
      <c r="B712" s="17">
        <f>[1]SUMMARY!B713</f>
        <v>65</v>
      </c>
      <c r="C712" s="17">
        <f>[1]SUMMARY!C713</f>
        <v>17</v>
      </c>
      <c r="D712" s="25" t="str">
        <f>[1]SUMMARY!D713</f>
        <v>DURATURN</v>
      </c>
      <c r="E712" s="25" t="str">
        <f>[1]SUMMARY!E713</f>
        <v>MOZZO STX</v>
      </c>
      <c r="F712" s="20"/>
      <c r="G712" s="20">
        <v>47</v>
      </c>
      <c r="H712" s="20">
        <v>47</v>
      </c>
      <c r="I712" s="45">
        <f t="shared" si="5"/>
        <v>0</v>
      </c>
      <c r="J712" s="22">
        <f>[1]SUMMARY!N713</f>
        <v>2935.5</v>
      </c>
      <c r="K712" s="23">
        <f t="shared" si="6"/>
        <v>0</v>
      </c>
      <c r="L712" s="8"/>
      <c r="M712" s="8"/>
    </row>
    <row r="713" spans="1:13" x14ac:dyDescent="0.2">
      <c r="A713" s="17" t="str">
        <f>[1]SUMMARY!A714</f>
        <v>235</v>
      </c>
      <c r="B713" s="17">
        <f>[1]SUMMARY!B714</f>
        <v>65</v>
      </c>
      <c r="C713" s="17">
        <f>[1]SUMMARY!C714</f>
        <v>17</v>
      </c>
      <c r="D713" s="25" t="str">
        <f>[1]SUMMARY!D714</f>
        <v>DURATURN</v>
      </c>
      <c r="E713" s="25" t="str">
        <f>[1]SUMMARY!E714</f>
        <v>TRAVIA A/T OWL</v>
      </c>
      <c r="F713" s="20"/>
      <c r="G713" s="20">
        <v>4</v>
      </c>
      <c r="H713" s="20">
        <v>4</v>
      </c>
      <c r="I713" s="45">
        <f t="shared" si="5"/>
        <v>0</v>
      </c>
      <c r="J713" s="22">
        <f>[1]SUMMARY!N714</f>
        <v>3355</v>
      </c>
      <c r="K713" s="23">
        <f t="shared" si="6"/>
        <v>0</v>
      </c>
      <c r="L713" s="8"/>
      <c r="M713" s="8"/>
    </row>
    <row r="714" spans="1:13" x14ac:dyDescent="0.2">
      <c r="A714" s="17" t="str">
        <f>[1]SUMMARY!A715</f>
        <v>265</v>
      </c>
      <c r="B714" s="17">
        <f>[1]SUMMARY!B715</f>
        <v>65</v>
      </c>
      <c r="C714" s="17">
        <f>[1]SUMMARY!C715</f>
        <v>17</v>
      </c>
      <c r="D714" s="25" t="str">
        <f>[1]SUMMARY!D715</f>
        <v>DURATURN</v>
      </c>
      <c r="E714" s="25" t="str">
        <f>[1]SUMMARY!E715</f>
        <v>TRAVIA A/T</v>
      </c>
      <c r="F714" s="20"/>
      <c r="G714" s="20">
        <v>150</v>
      </c>
      <c r="H714" s="20">
        <v>146</v>
      </c>
      <c r="I714" s="30">
        <f t="shared" si="5"/>
        <v>4</v>
      </c>
      <c r="J714" s="22">
        <f>[1]SUMMARY!N715</f>
        <v>3877.5</v>
      </c>
      <c r="K714" s="23">
        <f t="shared" si="6"/>
        <v>15510</v>
      </c>
      <c r="L714" s="8"/>
      <c r="M714" s="8"/>
    </row>
    <row r="715" spans="1:13" x14ac:dyDescent="0.2">
      <c r="A715" s="17" t="str">
        <f>[1]SUMMARY!A716</f>
        <v>265</v>
      </c>
      <c r="B715" s="17">
        <f>[1]SUMMARY!B716</f>
        <v>65</v>
      </c>
      <c r="C715" s="17">
        <f>[1]SUMMARY!C716</f>
        <v>17</v>
      </c>
      <c r="D715" s="25" t="str">
        <f>[1]SUMMARY!D716</f>
        <v>DURATURN</v>
      </c>
      <c r="E715" s="25" t="str">
        <f>[1]SUMMARY!E716</f>
        <v>TRAVIA H/T</v>
      </c>
      <c r="F715" s="20"/>
      <c r="G715" s="20">
        <v>30</v>
      </c>
      <c r="H715" s="20">
        <v>30</v>
      </c>
      <c r="I715" s="30">
        <f t="shared" si="5"/>
        <v>0</v>
      </c>
      <c r="J715" s="22">
        <f>[1]SUMMARY!N716</f>
        <v>3767</v>
      </c>
      <c r="K715" s="23">
        <f t="shared" si="6"/>
        <v>0</v>
      </c>
      <c r="L715" s="8"/>
      <c r="M715" s="8"/>
    </row>
    <row r="716" spans="1:13" x14ac:dyDescent="0.2">
      <c r="A716" s="17" t="str">
        <f>[1]SUMMARY!A717</f>
        <v>265</v>
      </c>
      <c r="B716" s="17">
        <f>[1]SUMMARY!B717</f>
        <v>70</v>
      </c>
      <c r="C716" s="17">
        <f>[1]SUMMARY!C717</f>
        <v>17</v>
      </c>
      <c r="D716" s="25" t="str">
        <f>[1]SUMMARY!D717</f>
        <v>DURATURN</v>
      </c>
      <c r="E716" s="25" t="str">
        <f>[1]SUMMARY!E717</f>
        <v>TRAVIA M/T</v>
      </c>
      <c r="F716" s="20"/>
      <c r="G716" s="20">
        <v>42</v>
      </c>
      <c r="H716" s="20">
        <v>40</v>
      </c>
      <c r="I716" s="30">
        <f t="shared" si="5"/>
        <v>2</v>
      </c>
      <c r="J716" s="22">
        <f>[1]SUMMARY!N717</f>
        <v>5445</v>
      </c>
      <c r="K716" s="23">
        <f t="shared" si="6"/>
        <v>10890</v>
      </c>
      <c r="L716" s="8"/>
      <c r="M716" s="8"/>
    </row>
    <row r="717" spans="1:13" x14ac:dyDescent="0.2">
      <c r="A717" s="17" t="str">
        <f>[1]SUMMARY!A718</f>
        <v>225</v>
      </c>
      <c r="B717" s="17">
        <f>[1]SUMMARY!B718</f>
        <v>45</v>
      </c>
      <c r="C717" s="17">
        <f>[1]SUMMARY!C718</f>
        <v>18</v>
      </c>
      <c r="D717" s="25" t="str">
        <f>[1]SUMMARY!D718</f>
        <v>DURATURN</v>
      </c>
      <c r="E717" s="25" t="str">
        <f>[1]SUMMARY!E718</f>
        <v>MOZZO SPORT</v>
      </c>
      <c r="F717" s="20"/>
      <c r="G717" s="20">
        <v>35</v>
      </c>
      <c r="H717" s="20">
        <v>35</v>
      </c>
      <c r="I717" s="45">
        <f t="shared" si="5"/>
        <v>0</v>
      </c>
      <c r="J717" s="22">
        <f>[1]SUMMARY!N718</f>
        <v>2679</v>
      </c>
      <c r="K717" s="23">
        <f t="shared" si="6"/>
        <v>0</v>
      </c>
      <c r="L717" s="8"/>
      <c r="M717" s="8"/>
    </row>
    <row r="718" spans="1:13" x14ac:dyDescent="0.2">
      <c r="A718" s="17" t="str">
        <f>[1]SUMMARY!A719</f>
        <v>245</v>
      </c>
      <c r="B718" s="17">
        <f>[1]SUMMARY!B719</f>
        <v>45</v>
      </c>
      <c r="C718" s="17">
        <f>[1]SUMMARY!C719</f>
        <v>18</v>
      </c>
      <c r="D718" s="25" t="str">
        <f>[1]SUMMARY!D719</f>
        <v>DURATURN</v>
      </c>
      <c r="E718" s="25" t="str">
        <f>[1]SUMMARY!E719</f>
        <v>MOZZO SPORT</v>
      </c>
      <c r="F718" s="20"/>
      <c r="G718" s="20">
        <v>4</v>
      </c>
      <c r="H718" s="20">
        <v>4</v>
      </c>
      <c r="I718" s="30">
        <f t="shared" ref="I718:I972" si="8">F718+G718-H718</f>
        <v>0</v>
      </c>
      <c r="J718" s="22">
        <f>[1]SUMMARY!N719</f>
        <v>3025</v>
      </c>
      <c r="K718" s="23">
        <f t="shared" si="6"/>
        <v>0</v>
      </c>
      <c r="L718" s="8"/>
      <c r="M718" s="8"/>
    </row>
    <row r="719" spans="1:13" x14ac:dyDescent="0.2">
      <c r="A719" s="17" t="str">
        <f>[1]SUMMARY!A720</f>
        <v>255</v>
      </c>
      <c r="B719" s="17">
        <f>[1]SUMMARY!B720</f>
        <v>45</v>
      </c>
      <c r="C719" s="17">
        <f>[1]SUMMARY!C720</f>
        <v>18</v>
      </c>
      <c r="D719" s="25" t="str">
        <f>[1]SUMMARY!D720</f>
        <v>DURATURN</v>
      </c>
      <c r="E719" s="25" t="str">
        <f>[1]SUMMARY!E720</f>
        <v>MOZZO SPORT 103W</v>
      </c>
      <c r="F719" s="20"/>
      <c r="G719" s="20"/>
      <c r="H719" s="20"/>
      <c r="I719" s="30">
        <f t="shared" si="8"/>
        <v>0</v>
      </c>
      <c r="J719" s="22">
        <f>[1]SUMMARY!N720</f>
        <v>3217.5</v>
      </c>
      <c r="K719" s="23">
        <f t="shared" si="6"/>
        <v>0</v>
      </c>
      <c r="L719" s="8"/>
      <c r="M719" s="8"/>
    </row>
    <row r="720" spans="1:13" x14ac:dyDescent="0.2">
      <c r="A720" s="17" t="str">
        <f>[1]SUMMARY!A721</f>
        <v>225</v>
      </c>
      <c r="B720" s="17">
        <f>[1]SUMMARY!B721</f>
        <v>50</v>
      </c>
      <c r="C720" s="17">
        <f>[1]SUMMARY!C721</f>
        <v>18</v>
      </c>
      <c r="D720" s="25" t="str">
        <f>[1]SUMMARY!D721</f>
        <v>DURATURN</v>
      </c>
      <c r="E720" s="25" t="str">
        <f>[1]SUMMARY!E721</f>
        <v>MOZZO SPORT</v>
      </c>
      <c r="F720" s="20"/>
      <c r="G720" s="20">
        <v>2</v>
      </c>
      <c r="H720" s="20">
        <v>2</v>
      </c>
      <c r="I720" s="30">
        <f t="shared" si="8"/>
        <v>0</v>
      </c>
      <c r="J720" s="22">
        <f>[1]SUMMARY!N721</f>
        <v>2926</v>
      </c>
      <c r="K720" s="23">
        <f t="shared" si="6"/>
        <v>0</v>
      </c>
      <c r="L720" s="8"/>
      <c r="M720" s="8"/>
    </row>
    <row r="721" spans="1:13" x14ac:dyDescent="0.2">
      <c r="A721" s="17" t="str">
        <f>[1]SUMMARY!A722</f>
        <v>235</v>
      </c>
      <c r="B721" s="17">
        <f>[1]SUMMARY!B722</f>
        <v>50</v>
      </c>
      <c r="C721" s="17">
        <f>[1]SUMMARY!C722</f>
        <v>18</v>
      </c>
      <c r="D721" s="25" t="str">
        <f>[1]SUMMARY!D722</f>
        <v>DURATURN</v>
      </c>
      <c r="E721" s="25" t="str">
        <f>[1]SUMMARY!E722</f>
        <v>MOZZO SPORT</v>
      </c>
      <c r="F721" s="20"/>
      <c r="G721" s="20">
        <v>45</v>
      </c>
      <c r="H721" s="20">
        <v>41</v>
      </c>
      <c r="I721" s="45">
        <f t="shared" si="8"/>
        <v>4</v>
      </c>
      <c r="J721" s="22">
        <f>[1]SUMMARY!N722</f>
        <v>3306</v>
      </c>
      <c r="K721" s="23">
        <f t="shared" si="6"/>
        <v>13224</v>
      </c>
      <c r="L721" s="8"/>
      <c r="M721" s="8"/>
    </row>
    <row r="722" spans="1:13" x14ac:dyDescent="0.2">
      <c r="A722" s="17" t="str">
        <f>[1]SUMMARY!A723</f>
        <v>215</v>
      </c>
      <c r="B722" s="17">
        <f>[1]SUMMARY!B723</f>
        <v>55</v>
      </c>
      <c r="C722" s="17">
        <f>[1]SUMMARY!C723</f>
        <v>18</v>
      </c>
      <c r="D722" s="25" t="str">
        <f>[1]SUMMARY!D723</f>
        <v>DURATURN</v>
      </c>
      <c r="E722" s="25" t="str">
        <f>[1]SUMMARY!E723</f>
        <v>TRAVIA HT</v>
      </c>
      <c r="F722" s="20"/>
      <c r="G722" s="20">
        <v>7</v>
      </c>
      <c r="H722" s="20">
        <v>7</v>
      </c>
      <c r="I722" s="30">
        <f t="shared" si="8"/>
        <v>0</v>
      </c>
      <c r="J722" s="22">
        <f>[1]SUMMARY!N723</f>
        <v>2651</v>
      </c>
      <c r="K722" s="23">
        <f t="shared" si="6"/>
        <v>0</v>
      </c>
      <c r="L722" s="8"/>
      <c r="M722" s="8"/>
    </row>
    <row r="723" spans="1:13" x14ac:dyDescent="0.2">
      <c r="A723" s="17" t="str">
        <f>[1]SUMMARY!A724</f>
        <v>225</v>
      </c>
      <c r="B723" s="17">
        <f>[1]SUMMARY!B724</f>
        <v>55</v>
      </c>
      <c r="C723" s="17">
        <f>[1]SUMMARY!C724</f>
        <v>18</v>
      </c>
      <c r="D723" s="25" t="str">
        <f>[1]SUMMARY!D724</f>
        <v>DURATURN</v>
      </c>
      <c r="E723" s="25" t="str">
        <f>[1]SUMMARY!E724</f>
        <v>MOZZO S360</v>
      </c>
      <c r="F723" s="20"/>
      <c r="G723" s="20">
        <v>10</v>
      </c>
      <c r="H723" s="20">
        <v>10</v>
      </c>
      <c r="I723" s="30">
        <f t="shared" si="8"/>
        <v>0</v>
      </c>
      <c r="J723" s="22">
        <f>[1]SUMMARY!N724</f>
        <v>2750</v>
      </c>
      <c r="K723" s="23">
        <f t="shared" si="6"/>
        <v>0</v>
      </c>
      <c r="L723" s="8"/>
      <c r="M723" s="8"/>
    </row>
    <row r="724" spans="1:13" x14ac:dyDescent="0.2">
      <c r="A724" s="17" t="str">
        <f>[1]SUMMARY!A725</f>
        <v>235</v>
      </c>
      <c r="B724" s="17">
        <f>[1]SUMMARY!B725</f>
        <v>55</v>
      </c>
      <c r="C724" s="17">
        <f>[1]SUMMARY!C725</f>
        <v>18</v>
      </c>
      <c r="D724" s="25" t="str">
        <f>[1]SUMMARY!D725</f>
        <v>DURATURN</v>
      </c>
      <c r="E724" s="25" t="str">
        <f>[1]SUMMARY!E725</f>
        <v>MOZZO TOURING</v>
      </c>
      <c r="F724" s="20"/>
      <c r="G724" s="20">
        <v>14</v>
      </c>
      <c r="H724" s="20">
        <v>14</v>
      </c>
      <c r="I724" s="30">
        <f t="shared" si="8"/>
        <v>0</v>
      </c>
      <c r="J724" s="22">
        <f>[1]SUMMARY!N725</f>
        <v>3025</v>
      </c>
      <c r="K724" s="23">
        <f t="shared" si="6"/>
        <v>0</v>
      </c>
      <c r="L724" s="8"/>
      <c r="M724" s="8"/>
    </row>
    <row r="725" spans="1:13" x14ac:dyDescent="0.2">
      <c r="A725" s="17" t="str">
        <f>[1]SUMMARY!A726</f>
        <v>265</v>
      </c>
      <c r="B725" s="17">
        <f>[1]SUMMARY!B726</f>
        <v>60</v>
      </c>
      <c r="C725" s="17">
        <f>[1]SUMMARY!C726</f>
        <v>18</v>
      </c>
      <c r="D725" s="25" t="str">
        <f>[1]SUMMARY!D726</f>
        <v>DURATURN</v>
      </c>
      <c r="E725" s="25" t="str">
        <f>[1]SUMMARY!E726</f>
        <v>TRAVIA A/T</v>
      </c>
      <c r="F725" s="20"/>
      <c r="G725" s="20">
        <v>75</v>
      </c>
      <c r="H725" s="20">
        <v>71</v>
      </c>
      <c r="I725" s="45">
        <f t="shared" si="8"/>
        <v>4</v>
      </c>
      <c r="J725" s="22">
        <f>[1]SUMMARY!N726</f>
        <v>4275</v>
      </c>
      <c r="K725" s="23">
        <f t="shared" si="6"/>
        <v>17100</v>
      </c>
      <c r="L725" s="8"/>
      <c r="M725" s="8"/>
    </row>
    <row r="726" spans="1:13" x14ac:dyDescent="0.2">
      <c r="A726" s="17" t="str">
        <f>[1]SUMMARY!A727</f>
        <v>265</v>
      </c>
      <c r="B726" s="17">
        <f>[1]SUMMARY!B727</f>
        <v>60</v>
      </c>
      <c r="C726" s="17">
        <f>[1]SUMMARY!C727</f>
        <v>18</v>
      </c>
      <c r="D726" s="25" t="str">
        <f>[1]SUMMARY!D727</f>
        <v>DURATURN</v>
      </c>
      <c r="E726" s="25" t="str">
        <f>[1]SUMMARY!E727</f>
        <v>TRAVIA H/T</v>
      </c>
      <c r="F726" s="20"/>
      <c r="G726" s="20">
        <v>42</v>
      </c>
      <c r="H726" s="20">
        <v>42</v>
      </c>
      <c r="I726" s="30">
        <f t="shared" si="8"/>
        <v>0</v>
      </c>
      <c r="J726" s="22">
        <f>[1]SUMMARY!N727</f>
        <v>3520</v>
      </c>
      <c r="K726" s="23">
        <f t="shared" si="6"/>
        <v>0</v>
      </c>
      <c r="L726" s="8"/>
      <c r="M726" s="8"/>
    </row>
    <row r="727" spans="1:13" x14ac:dyDescent="0.2">
      <c r="A727" s="17" t="str">
        <f>[1]SUMMARY!A728</f>
        <v>225</v>
      </c>
      <c r="B727" s="17">
        <f>[1]SUMMARY!B728</f>
        <v>40</v>
      </c>
      <c r="C727" s="17">
        <f>[1]SUMMARY!C728</f>
        <v>19</v>
      </c>
      <c r="D727" s="25" t="str">
        <f>[1]SUMMARY!D728</f>
        <v>DURATURN</v>
      </c>
      <c r="E727" s="25" t="str">
        <f>[1]SUMMARY!E728</f>
        <v>MOZZO SPORT</v>
      </c>
      <c r="F727" s="20"/>
      <c r="G727" s="20"/>
      <c r="H727" s="20"/>
      <c r="I727" s="30">
        <f t="shared" si="8"/>
        <v>0</v>
      </c>
      <c r="J727" s="22">
        <f>[1]SUMMARY!N728</f>
        <v>2679</v>
      </c>
      <c r="K727" s="23">
        <f t="shared" si="6"/>
        <v>0</v>
      </c>
      <c r="L727" s="8"/>
      <c r="M727" s="8"/>
    </row>
    <row r="728" spans="1:13" x14ac:dyDescent="0.2">
      <c r="A728" s="17" t="str">
        <f>[1]SUMMARY!A729</f>
        <v>245</v>
      </c>
      <c r="B728" s="17">
        <f>[1]SUMMARY!B729</f>
        <v>40</v>
      </c>
      <c r="C728" s="17">
        <f>[1]SUMMARY!C729</f>
        <v>19</v>
      </c>
      <c r="D728" s="25" t="str">
        <f>[1]SUMMARY!D729</f>
        <v>DURATURN</v>
      </c>
      <c r="E728" s="25" t="str">
        <f>[1]SUMMARY!E729</f>
        <v>MOZZO SPORT</v>
      </c>
      <c r="F728" s="20"/>
      <c r="G728" s="20">
        <v>1</v>
      </c>
      <c r="H728" s="20">
        <v>1</v>
      </c>
      <c r="I728" s="30">
        <f t="shared" si="8"/>
        <v>0</v>
      </c>
      <c r="J728" s="22">
        <f>[1]SUMMARY!N729</f>
        <v>3047</v>
      </c>
      <c r="K728" s="23">
        <f t="shared" si="6"/>
        <v>0</v>
      </c>
      <c r="L728" s="8"/>
      <c r="M728" s="8"/>
    </row>
    <row r="729" spans="1:13" x14ac:dyDescent="0.2">
      <c r="A729" s="17" t="str">
        <f>[1]SUMMARY!A730</f>
        <v>255</v>
      </c>
      <c r="B729" s="17">
        <f>[1]SUMMARY!B730</f>
        <v>40</v>
      </c>
      <c r="C729" s="17">
        <f>[1]SUMMARY!C730</f>
        <v>19</v>
      </c>
      <c r="D729" s="25" t="str">
        <f>[1]SUMMARY!D730</f>
        <v>DURATURN</v>
      </c>
      <c r="E729" s="25" t="str">
        <f>[1]SUMMARY!E730</f>
        <v>MOZZO SPORT</v>
      </c>
      <c r="F729" s="20"/>
      <c r="G729" s="20"/>
      <c r="H729" s="20"/>
      <c r="I729" s="30">
        <f t="shared" si="8"/>
        <v>0</v>
      </c>
      <c r="J729" s="22">
        <f>[1]SUMMARY!N730</f>
        <v>3245</v>
      </c>
      <c r="K729" s="23">
        <f t="shared" si="6"/>
        <v>0</v>
      </c>
      <c r="L729" s="8"/>
      <c r="M729" s="8"/>
    </row>
    <row r="730" spans="1:13" x14ac:dyDescent="0.2">
      <c r="A730" s="17" t="str">
        <f>[1]SUMMARY!A731</f>
        <v>255</v>
      </c>
      <c r="B730" s="17">
        <f>[1]SUMMARY!B731</f>
        <v>45</v>
      </c>
      <c r="C730" s="17">
        <f>[1]SUMMARY!C731</f>
        <v>19</v>
      </c>
      <c r="D730" s="25" t="str">
        <f>[1]SUMMARY!D731</f>
        <v>DURATURN</v>
      </c>
      <c r="E730" s="25" t="str">
        <f>[1]SUMMARY!E731</f>
        <v>MOZZO SPORT</v>
      </c>
      <c r="F730" s="20"/>
      <c r="G730" s="20"/>
      <c r="H730" s="20"/>
      <c r="I730" s="30">
        <f t="shared" si="8"/>
        <v>0</v>
      </c>
      <c r="J730" s="22">
        <f>[1]SUMMARY!N731</f>
        <v>3355</v>
      </c>
      <c r="K730" s="23">
        <f t="shared" si="6"/>
        <v>0</v>
      </c>
      <c r="L730" s="8"/>
      <c r="M730" s="8"/>
    </row>
    <row r="731" spans="1:13" x14ac:dyDescent="0.2">
      <c r="A731" s="17" t="str">
        <f>[1]SUMMARY!A732</f>
        <v>235</v>
      </c>
      <c r="B731" s="17">
        <f>[1]SUMMARY!B732</f>
        <v>50</v>
      </c>
      <c r="C731" s="17">
        <f>[1]SUMMARY!C732</f>
        <v>19</v>
      </c>
      <c r="D731" s="25" t="str">
        <f>[1]SUMMARY!D732</f>
        <v>DURATURN</v>
      </c>
      <c r="E731" s="25" t="str">
        <f>[1]SUMMARY!E732</f>
        <v>XL MOZZO SPORT</v>
      </c>
      <c r="F731" s="20"/>
      <c r="G731" s="20"/>
      <c r="H731" s="20"/>
      <c r="I731" s="30">
        <f t="shared" si="8"/>
        <v>0</v>
      </c>
      <c r="J731" s="22">
        <f>[1]SUMMARY!N732</f>
        <v>3300</v>
      </c>
      <c r="K731" s="23">
        <f t="shared" si="6"/>
        <v>0</v>
      </c>
      <c r="L731" s="8"/>
      <c r="M731" s="8"/>
    </row>
    <row r="732" spans="1:13" x14ac:dyDescent="0.2">
      <c r="A732" s="17" t="str">
        <f>[1]SUMMARY!A733</f>
        <v>255</v>
      </c>
      <c r="B732" s="17">
        <f>[1]SUMMARY!B733</f>
        <v>55</v>
      </c>
      <c r="C732" s="17">
        <f>[1]SUMMARY!C733</f>
        <v>19</v>
      </c>
      <c r="D732" s="25" t="str">
        <f>[1]SUMMARY!D733</f>
        <v>DURATURN</v>
      </c>
      <c r="E732" s="25" t="str">
        <f>[1]SUMMARY!E733</f>
        <v>XL MOZZO SPORT</v>
      </c>
      <c r="F732" s="20"/>
      <c r="G732" s="20"/>
      <c r="H732" s="20"/>
      <c r="I732" s="30">
        <f t="shared" si="8"/>
        <v>0</v>
      </c>
      <c r="J732" s="22">
        <f>[1]SUMMARY!N733</f>
        <v>3822.5</v>
      </c>
      <c r="K732" s="23">
        <f t="shared" si="6"/>
        <v>0</v>
      </c>
      <c r="L732" s="8"/>
      <c r="M732" s="8"/>
    </row>
    <row r="733" spans="1:13" x14ac:dyDescent="0.2">
      <c r="A733" s="17" t="str">
        <f>[1]SUMMARY!A734</f>
        <v>275</v>
      </c>
      <c r="B733" s="17">
        <f>[1]SUMMARY!B734</f>
        <v>30</v>
      </c>
      <c r="C733" s="17">
        <f>[1]SUMMARY!C734</f>
        <v>20</v>
      </c>
      <c r="D733" s="25" t="str">
        <f>[1]SUMMARY!D734</f>
        <v>DURATURN</v>
      </c>
      <c r="E733" s="25" t="str">
        <f>[1]SUMMARY!E734</f>
        <v>MOZZO SPORT 97Y</v>
      </c>
      <c r="F733" s="20"/>
      <c r="G733" s="20"/>
      <c r="H733" s="20"/>
      <c r="I733" s="30">
        <f t="shared" si="8"/>
        <v>0</v>
      </c>
      <c r="J733" s="22">
        <f>[1]SUMMARY!N734</f>
        <v>2562.5</v>
      </c>
      <c r="K733" s="23">
        <f t="shared" si="6"/>
        <v>0</v>
      </c>
      <c r="L733" s="8"/>
      <c r="M733" s="8"/>
    </row>
    <row r="734" spans="1:13" x14ac:dyDescent="0.2">
      <c r="A734" s="17" t="str">
        <f>[1]SUMMARY!A735</f>
        <v>225</v>
      </c>
      <c r="B734" s="17">
        <f>[1]SUMMARY!B735</f>
        <v>35</v>
      </c>
      <c r="C734" s="17">
        <f>[1]SUMMARY!C735</f>
        <v>20</v>
      </c>
      <c r="D734" s="25" t="str">
        <f>[1]SUMMARY!D735</f>
        <v>DURATURN</v>
      </c>
      <c r="E734" s="25" t="str">
        <f>[1]SUMMARY!E735</f>
        <v>MOZZO SPORT 93Y</v>
      </c>
      <c r="F734" s="20"/>
      <c r="G734" s="20"/>
      <c r="H734" s="20"/>
      <c r="I734" s="30">
        <f t="shared" si="8"/>
        <v>0</v>
      </c>
      <c r="J734" s="22">
        <f>[1]SUMMARY!N735</f>
        <v>2736</v>
      </c>
      <c r="K734" s="23">
        <f t="shared" si="6"/>
        <v>0</v>
      </c>
      <c r="L734" s="8"/>
      <c r="M734" s="8"/>
    </row>
    <row r="735" spans="1:13" x14ac:dyDescent="0.2">
      <c r="A735" s="17" t="str">
        <f>[1]SUMMARY!A736</f>
        <v>245</v>
      </c>
      <c r="B735" s="17">
        <f>[1]SUMMARY!B736</f>
        <v>50</v>
      </c>
      <c r="C735" s="17">
        <f>[1]SUMMARY!C736</f>
        <v>20</v>
      </c>
      <c r="D735" s="25" t="str">
        <f>[1]SUMMARY!D736</f>
        <v>DURATURN</v>
      </c>
      <c r="E735" s="25" t="str">
        <f>[1]SUMMARY!E736</f>
        <v>MOZZO SPORT S2</v>
      </c>
      <c r="F735" s="20"/>
      <c r="G735" s="20"/>
      <c r="H735" s="20"/>
      <c r="I735" s="30">
        <f t="shared" si="8"/>
        <v>0</v>
      </c>
      <c r="J735" s="22">
        <f>[1]SUMMARY!N736</f>
        <v>3630</v>
      </c>
      <c r="K735" s="23">
        <f t="shared" si="6"/>
        <v>0</v>
      </c>
      <c r="L735" s="8"/>
      <c r="M735" s="8"/>
    </row>
    <row r="736" spans="1:13" x14ac:dyDescent="0.2">
      <c r="A736" s="17" t="str">
        <f>[1]SUMMARY!A737</f>
        <v>265</v>
      </c>
      <c r="B736" s="17">
        <f>[1]SUMMARY!B737</f>
        <v>50</v>
      </c>
      <c r="C736" s="17">
        <f>[1]SUMMARY!C737</f>
        <v>20</v>
      </c>
      <c r="D736" s="25" t="str">
        <f>[1]SUMMARY!D737</f>
        <v>DURATURN</v>
      </c>
      <c r="E736" s="25" t="str">
        <f>[1]SUMMARY!E737</f>
        <v>MOZZO STX</v>
      </c>
      <c r="F736" s="20"/>
      <c r="G736" s="20">
        <v>18</v>
      </c>
      <c r="H736" s="20">
        <v>18</v>
      </c>
      <c r="I736" s="30">
        <f t="shared" si="8"/>
        <v>0</v>
      </c>
      <c r="J736" s="22">
        <f>[1]SUMMARY!N737</f>
        <v>3876</v>
      </c>
      <c r="K736" s="23">
        <f t="shared" si="6"/>
        <v>0</v>
      </c>
      <c r="L736" s="8"/>
      <c r="M736" s="8"/>
    </row>
    <row r="737" spans="1:13" x14ac:dyDescent="0.2">
      <c r="A737" s="17" t="str">
        <f>[1]SUMMARY!A738</f>
        <v>265</v>
      </c>
      <c r="B737" s="17">
        <f>[1]SUMMARY!B738</f>
        <v>50</v>
      </c>
      <c r="C737" s="17">
        <f>[1]SUMMARY!C738</f>
        <v>20</v>
      </c>
      <c r="D737" s="25" t="str">
        <f>[1]SUMMARY!D738</f>
        <v>DURATURN</v>
      </c>
      <c r="E737" s="25" t="str">
        <f>[1]SUMMARY!E738</f>
        <v>TRAVIA A/T 2</v>
      </c>
      <c r="F737" s="20"/>
      <c r="G737" s="20">
        <v>52</v>
      </c>
      <c r="H737" s="20">
        <v>52</v>
      </c>
      <c r="I737" s="30">
        <f t="shared" si="8"/>
        <v>0</v>
      </c>
      <c r="J737" s="22">
        <f>[1]SUMMARY!N738</f>
        <v>4161</v>
      </c>
      <c r="K737" s="23">
        <f t="shared" si="6"/>
        <v>0</v>
      </c>
      <c r="L737" s="8"/>
      <c r="M737" s="8"/>
    </row>
    <row r="738" spans="1:13" x14ac:dyDescent="0.2">
      <c r="A738" s="17" t="str">
        <f>[1]SUMMARY!A739</f>
        <v>255</v>
      </c>
      <c r="B738" s="17">
        <f>[1]SUMMARY!B739</f>
        <v>50</v>
      </c>
      <c r="C738" s="17">
        <f>[1]SUMMARY!C739</f>
        <v>20</v>
      </c>
      <c r="D738" s="25" t="str">
        <f>[1]SUMMARY!D739</f>
        <v>DURATURN</v>
      </c>
      <c r="E738" s="25" t="str">
        <f>[1]SUMMARY!E739</f>
        <v>MOZZO SPORT</v>
      </c>
      <c r="F738" s="20"/>
      <c r="G738" s="20"/>
      <c r="H738" s="20"/>
      <c r="I738" s="30">
        <f t="shared" si="8"/>
        <v>0</v>
      </c>
      <c r="J738" s="22">
        <f>[1]SUMMARY!N739</f>
        <v>3819</v>
      </c>
      <c r="K738" s="23">
        <f t="shared" si="6"/>
        <v>0</v>
      </c>
      <c r="L738" s="8"/>
      <c r="M738" s="8"/>
    </row>
    <row r="739" spans="1:13" x14ac:dyDescent="0.2">
      <c r="A739" s="17" t="str">
        <f>[1]SUMMARY!A740</f>
        <v>275</v>
      </c>
      <c r="B739" s="17">
        <f>[1]SUMMARY!B740</f>
        <v>55</v>
      </c>
      <c r="C739" s="17">
        <f>[1]SUMMARY!C740</f>
        <v>20</v>
      </c>
      <c r="D739" s="25" t="str">
        <f>[1]SUMMARY!D740</f>
        <v>DURATURN</v>
      </c>
      <c r="E739" s="25" t="str">
        <f>[1]SUMMARY!E740</f>
        <v>MOZZO STX</v>
      </c>
      <c r="F739" s="20"/>
      <c r="G739" s="20">
        <v>15</v>
      </c>
      <c r="H739" s="20">
        <v>15</v>
      </c>
      <c r="I739" s="30">
        <f t="shared" si="8"/>
        <v>0</v>
      </c>
      <c r="J739" s="22">
        <f>[1]SUMMARY!N740</f>
        <v>4235</v>
      </c>
      <c r="K739" s="23">
        <f t="shared" si="6"/>
        <v>0</v>
      </c>
      <c r="L739" s="8"/>
      <c r="M739" s="8"/>
    </row>
    <row r="740" spans="1:13" x14ac:dyDescent="0.2">
      <c r="A740" s="17" t="str">
        <f>[1]SUMMARY!A741</f>
        <v>285</v>
      </c>
      <c r="B740" s="17">
        <f>[1]SUMMARY!B741</f>
        <v>50</v>
      </c>
      <c r="C740" s="17">
        <f>[1]SUMMARY!C741</f>
        <v>20</v>
      </c>
      <c r="D740" s="25" t="str">
        <f>[1]SUMMARY!D741</f>
        <v>DURATURN</v>
      </c>
      <c r="E740" s="25" t="str">
        <f>[1]SUMMARY!E741</f>
        <v>MOZZO STX</v>
      </c>
      <c r="F740" s="20"/>
      <c r="G740" s="20">
        <v>5</v>
      </c>
      <c r="H740" s="20">
        <v>5</v>
      </c>
      <c r="I740" s="30">
        <f t="shared" si="8"/>
        <v>0</v>
      </c>
      <c r="J740" s="22">
        <f>[1]SUMMARY!N741</f>
        <v>4262.5</v>
      </c>
      <c r="K740" s="23">
        <f t="shared" si="6"/>
        <v>0</v>
      </c>
      <c r="L740" s="8"/>
      <c r="M740" s="8"/>
    </row>
    <row r="741" spans="1:13" x14ac:dyDescent="0.2">
      <c r="A741" s="17" t="str">
        <f>[1]SUMMARY!A742</f>
        <v>285</v>
      </c>
      <c r="B741" s="17">
        <f>[1]SUMMARY!B742</f>
        <v>45</v>
      </c>
      <c r="C741" s="17">
        <f>[1]SUMMARY!C742</f>
        <v>22</v>
      </c>
      <c r="D741" s="25" t="str">
        <f>[1]SUMMARY!D742</f>
        <v>DURATURN</v>
      </c>
      <c r="E741" s="25" t="str">
        <f>[1]SUMMARY!E742</f>
        <v>MOZZO STX</v>
      </c>
      <c r="F741" s="20"/>
      <c r="G741" s="20">
        <v>10</v>
      </c>
      <c r="H741" s="20">
        <v>10</v>
      </c>
      <c r="I741" s="30">
        <f t="shared" si="8"/>
        <v>0</v>
      </c>
      <c r="J741" s="22">
        <f>[1]SUMMARY!N742</f>
        <v>4675</v>
      </c>
      <c r="K741" s="23">
        <f t="shared" si="6"/>
        <v>0</v>
      </c>
    </row>
    <row r="742" spans="1:13" x14ac:dyDescent="0.2">
      <c r="A742" s="17" t="str">
        <f>[1]SUMMARY!A743</f>
        <v>305</v>
      </c>
      <c r="B742" s="17">
        <f>[1]SUMMARY!B743</f>
        <v>45</v>
      </c>
      <c r="C742" s="17">
        <f>[1]SUMMARY!C743</f>
        <v>22</v>
      </c>
      <c r="D742" s="25" t="str">
        <f>[1]SUMMARY!D743</f>
        <v>DURATURN</v>
      </c>
      <c r="E742" s="25" t="str">
        <f>[1]SUMMARY!E743</f>
        <v>MOZZO STX HT</v>
      </c>
      <c r="F742" s="20"/>
      <c r="G742" s="20"/>
      <c r="H742" s="20"/>
      <c r="I742" s="30">
        <f t="shared" si="8"/>
        <v>0</v>
      </c>
      <c r="J742" s="22">
        <f>[1]SUMMARY!N743</f>
        <v>5035.95</v>
      </c>
      <c r="K742" s="23">
        <f t="shared" si="6"/>
        <v>0</v>
      </c>
      <c r="L742" s="28">
        <f>SUM(K638:K742)</f>
        <v>390977.72000000003</v>
      </c>
      <c r="M742" s="29" t="s">
        <v>31</v>
      </c>
    </row>
    <row r="743" spans="1:13" x14ac:dyDescent="0.2">
      <c r="A743" s="17" t="str">
        <f>[1]SUMMARY!A744</f>
        <v>235</v>
      </c>
      <c r="B743" s="17">
        <f>[1]SUMMARY!B744</f>
        <v>65</v>
      </c>
      <c r="C743" s="17" t="str">
        <f>[1]SUMMARY!C744</f>
        <v>16C</v>
      </c>
      <c r="D743" s="25" t="str">
        <f>[1]SUMMARY!D744</f>
        <v>FALKEN</v>
      </c>
      <c r="E743" s="25" t="str">
        <f>[1]SUMMARY!E744</f>
        <v>LINAM VAN01</v>
      </c>
      <c r="F743" s="20"/>
      <c r="G743" s="20"/>
      <c r="H743" s="20"/>
      <c r="I743" s="21">
        <f t="shared" si="8"/>
        <v>0</v>
      </c>
      <c r="J743" s="22">
        <f>[1]SUMMARY!N744</f>
        <v>8100</v>
      </c>
      <c r="K743" s="23">
        <f t="shared" si="6"/>
        <v>0</v>
      </c>
      <c r="L743" s="8"/>
      <c r="M743" s="8"/>
    </row>
    <row r="744" spans="1:13" x14ac:dyDescent="0.2">
      <c r="A744" s="17" t="str">
        <f>[1]SUMMARY!A745</f>
        <v>275</v>
      </c>
      <c r="B744" s="17">
        <f>[1]SUMMARY!B745</f>
        <v>70</v>
      </c>
      <c r="C744" s="17">
        <f>[1]SUMMARY!C745</f>
        <v>17</v>
      </c>
      <c r="D744" s="25" t="str">
        <f>[1]SUMMARY!D745</f>
        <v>FALKEN</v>
      </c>
      <c r="E744" s="25" t="str">
        <f>[1]SUMMARY!E745</f>
        <v>AT4W</v>
      </c>
      <c r="F744" s="20"/>
      <c r="G744" s="20"/>
      <c r="H744" s="20"/>
      <c r="I744" s="21">
        <f t="shared" si="8"/>
        <v>0</v>
      </c>
      <c r="J744" s="22">
        <f>[1]SUMMARY!N745</f>
        <v>14400</v>
      </c>
      <c r="K744" s="23">
        <f t="shared" si="6"/>
        <v>0</v>
      </c>
      <c r="L744" s="8"/>
      <c r="M744" s="8"/>
    </row>
    <row r="745" spans="1:13" x14ac:dyDescent="0.2">
      <c r="A745" s="17" t="str">
        <f>[1]SUMMARY!A746</f>
        <v>235</v>
      </c>
      <c r="B745" s="17">
        <f>[1]SUMMARY!B746</f>
        <v>50</v>
      </c>
      <c r="C745" s="17">
        <f>[1]SUMMARY!C746</f>
        <v>18</v>
      </c>
      <c r="D745" s="25" t="str">
        <f>[1]SUMMARY!D746</f>
        <v>FALKEN</v>
      </c>
      <c r="E745" s="25" t="str">
        <f>[1]SUMMARY!E746</f>
        <v>ZE310</v>
      </c>
      <c r="F745" s="20"/>
      <c r="G745" s="20"/>
      <c r="H745" s="20"/>
      <c r="I745" s="21">
        <f t="shared" si="8"/>
        <v>0</v>
      </c>
      <c r="J745" s="22">
        <f>[1]SUMMARY!N746</f>
        <v>8200</v>
      </c>
      <c r="K745" s="23">
        <f t="shared" si="6"/>
        <v>0</v>
      </c>
      <c r="L745" s="28">
        <f>SUM(K744:K745)</f>
        <v>0</v>
      </c>
      <c r="M745" s="29" t="s">
        <v>32</v>
      </c>
    </row>
    <row r="746" spans="1:13" x14ac:dyDescent="0.2">
      <c r="A746" s="17">
        <f>[1]SUMMARY!A747</f>
        <v>205</v>
      </c>
      <c r="B746" s="17">
        <f>[1]SUMMARY!B747</f>
        <v>70</v>
      </c>
      <c r="C746" s="17">
        <f>[1]SUMMARY!C747</f>
        <v>15</v>
      </c>
      <c r="D746" s="25" t="str">
        <f>[1]SUMMARY!D747</f>
        <v>FEDERAL</v>
      </c>
      <c r="E746" s="25" t="str">
        <f>[1]SUMMARY!E747</f>
        <v>COURAGIA A/T</v>
      </c>
      <c r="F746" s="20"/>
      <c r="G746" s="20"/>
      <c r="H746" s="20"/>
      <c r="I746" s="21">
        <f t="shared" si="8"/>
        <v>0</v>
      </c>
      <c r="J746" s="22">
        <f>[1]SUMMARY!N747</f>
        <v>3593.98</v>
      </c>
      <c r="K746" s="23">
        <f t="shared" si="6"/>
        <v>0</v>
      </c>
      <c r="L746" s="8"/>
      <c r="M746" s="8"/>
    </row>
    <row r="747" spans="1:13" x14ac:dyDescent="0.2">
      <c r="A747" s="17">
        <f>[1]SUMMARY!A748</f>
        <v>205</v>
      </c>
      <c r="B747" s="17">
        <f>[1]SUMMARY!B748</f>
        <v>70</v>
      </c>
      <c r="C747" s="17">
        <f>[1]SUMMARY!C748</f>
        <v>15</v>
      </c>
      <c r="D747" s="25" t="str">
        <f>[1]SUMMARY!D748</f>
        <v>FEDERAL</v>
      </c>
      <c r="E747" s="25" t="str">
        <f>[1]SUMMARY!E748</f>
        <v xml:space="preserve">ECOVAN </v>
      </c>
      <c r="F747" s="20"/>
      <c r="G747" s="20"/>
      <c r="H747" s="20"/>
      <c r="I747" s="21">
        <f t="shared" si="8"/>
        <v>0</v>
      </c>
      <c r="J747" s="22">
        <f>[1]SUMMARY!N748</f>
        <v>3338.77</v>
      </c>
      <c r="K747" s="23">
        <f t="shared" si="6"/>
        <v>0</v>
      </c>
      <c r="L747" s="8"/>
      <c r="M747" s="8"/>
    </row>
    <row r="748" spans="1:13" x14ac:dyDescent="0.2">
      <c r="A748" s="17" t="str">
        <f>[1]SUMMARY!A749</f>
        <v>205</v>
      </c>
      <c r="B748" s="17">
        <f>[1]SUMMARY!B749</f>
        <v>80</v>
      </c>
      <c r="C748" s="17">
        <f>[1]SUMMARY!C749</f>
        <v>16</v>
      </c>
      <c r="D748" s="25" t="str">
        <f>[1]SUMMARY!D749</f>
        <v>FEDERAL</v>
      </c>
      <c r="E748" s="25" t="str">
        <f>[1]SUMMARY!E749</f>
        <v>COURAGIA AT</v>
      </c>
      <c r="F748" s="20"/>
      <c r="G748" s="20"/>
      <c r="H748" s="20"/>
      <c r="I748" s="21">
        <f t="shared" si="8"/>
        <v>0</v>
      </c>
      <c r="J748" s="22">
        <f>[1]SUMMARY!N749</f>
        <v>4891</v>
      </c>
      <c r="K748" s="23">
        <f t="shared" si="6"/>
        <v>0</v>
      </c>
      <c r="L748" s="8"/>
      <c r="M748" s="8"/>
    </row>
    <row r="749" spans="1:13" x14ac:dyDescent="0.2">
      <c r="A749" s="17" t="str">
        <f>[1]SUMMARY!A750</f>
        <v>265</v>
      </c>
      <c r="B749" s="17">
        <f>[1]SUMMARY!B750</f>
        <v>70</v>
      </c>
      <c r="C749" s="17">
        <f>[1]SUMMARY!C750</f>
        <v>17</v>
      </c>
      <c r="D749" s="25" t="str">
        <f>[1]SUMMARY!D750</f>
        <v>FEDERAL</v>
      </c>
      <c r="E749" s="25" t="str">
        <f>[1]SUMMARY!E750</f>
        <v>COURAGIA XUV</v>
      </c>
      <c r="F749" s="20"/>
      <c r="G749" s="20"/>
      <c r="H749" s="20"/>
      <c r="I749" s="21">
        <f t="shared" si="8"/>
        <v>0</v>
      </c>
      <c r="J749" s="22">
        <f>[1]SUMMARY!N750</f>
        <v>6076.62</v>
      </c>
      <c r="K749" s="23">
        <f t="shared" si="6"/>
        <v>0</v>
      </c>
      <c r="L749" s="8"/>
      <c r="M749" s="8"/>
    </row>
    <row r="750" spans="1:13" x14ac:dyDescent="0.2">
      <c r="A750" s="17" t="str">
        <f>[1]SUMMARY!A751</f>
        <v>275</v>
      </c>
      <c r="B750" s="17">
        <f>[1]SUMMARY!B751</f>
        <v>55</v>
      </c>
      <c r="C750" s="17">
        <f>[1]SUMMARY!C751</f>
        <v>20</v>
      </c>
      <c r="D750" s="25" t="str">
        <f>[1]SUMMARY!D751</f>
        <v>FEDERAL</v>
      </c>
      <c r="E750" s="25" t="str">
        <f>[1]SUMMARY!E751</f>
        <v>COURAGIA F/X</v>
      </c>
      <c r="F750" s="20"/>
      <c r="G750" s="20"/>
      <c r="H750" s="20"/>
      <c r="I750" s="21">
        <f t="shared" si="8"/>
        <v>0</v>
      </c>
      <c r="J750" s="22">
        <f>[1]SUMMARY!N751</f>
        <v>6844.84</v>
      </c>
      <c r="K750" s="23">
        <f t="shared" si="6"/>
        <v>0</v>
      </c>
      <c r="L750" s="28">
        <f>SUM(K746:K750)</f>
        <v>0</v>
      </c>
      <c r="M750" s="29" t="s">
        <v>33</v>
      </c>
    </row>
    <row r="751" spans="1:13" x14ac:dyDescent="0.2">
      <c r="A751" s="17">
        <f>[1]SUMMARY!A752</f>
        <v>175</v>
      </c>
      <c r="B751" s="17">
        <f>[1]SUMMARY!B752</f>
        <v>65</v>
      </c>
      <c r="C751" s="17">
        <f>[1]SUMMARY!C752</f>
        <v>14</v>
      </c>
      <c r="D751" s="25" t="str">
        <f>[1]SUMMARY!D752</f>
        <v>FIRESTONE(THAI)</v>
      </c>
      <c r="E751" s="25" t="str">
        <f>[1]SUMMARY!E752</f>
        <v>FS100</v>
      </c>
      <c r="F751" s="20"/>
      <c r="G751" s="20">
        <v>36</v>
      </c>
      <c r="H751" s="20">
        <v>36</v>
      </c>
      <c r="I751" s="21">
        <f t="shared" si="8"/>
        <v>0</v>
      </c>
      <c r="J751" s="22">
        <f>[1]SUMMARY!N752</f>
        <v>2160</v>
      </c>
      <c r="K751" s="23">
        <f t="shared" si="6"/>
        <v>0</v>
      </c>
      <c r="L751" s="8"/>
      <c r="M751" s="8"/>
    </row>
    <row r="752" spans="1:13" x14ac:dyDescent="0.2">
      <c r="A752" s="17">
        <f>[1]SUMMARY!A753</f>
        <v>185</v>
      </c>
      <c r="B752" s="17">
        <f>[1]SUMMARY!B753</f>
        <v>0</v>
      </c>
      <c r="C752" s="17" t="str">
        <f>[1]SUMMARY!C753</f>
        <v>14C</v>
      </c>
      <c r="D752" s="25" t="str">
        <f>[1]SUMMARY!D753</f>
        <v>FIRESTONE(THAI)</v>
      </c>
      <c r="E752" s="25" t="str">
        <f>[1]SUMMARY!E753</f>
        <v>8PR CV4000</v>
      </c>
      <c r="F752" s="20"/>
      <c r="G752" s="20">
        <v>41</v>
      </c>
      <c r="H752" s="20">
        <v>41</v>
      </c>
      <c r="I752" s="21">
        <f t="shared" si="8"/>
        <v>0</v>
      </c>
      <c r="J752" s="22">
        <f>[1]SUMMARY!N753</f>
        <v>3440</v>
      </c>
      <c r="K752" s="23">
        <f t="shared" si="6"/>
        <v>0</v>
      </c>
      <c r="L752" s="8"/>
      <c r="M752" s="8"/>
    </row>
    <row r="753" spans="1:13" x14ac:dyDescent="0.2">
      <c r="A753" s="17">
        <f>[1]SUMMARY!A754</f>
        <v>185</v>
      </c>
      <c r="B753" s="17">
        <f>[1]SUMMARY!B754</f>
        <v>65</v>
      </c>
      <c r="C753" s="17">
        <f>[1]SUMMARY!C754</f>
        <v>14</v>
      </c>
      <c r="D753" s="25" t="str">
        <f>[1]SUMMARY!D754</f>
        <v>FIRESTONE(THAI)</v>
      </c>
      <c r="E753" s="25" t="str">
        <f>[1]SUMMARY!E754</f>
        <v>FS100</v>
      </c>
      <c r="F753" s="20"/>
      <c r="G753" s="20">
        <v>35</v>
      </c>
      <c r="H753" s="20">
        <v>35</v>
      </c>
      <c r="I753" s="21">
        <f t="shared" si="8"/>
        <v>0</v>
      </c>
      <c r="J753" s="22">
        <f>[1]SUMMARY!N754</f>
        <v>2945.62</v>
      </c>
      <c r="K753" s="23">
        <f t="shared" si="6"/>
        <v>0</v>
      </c>
      <c r="L753" s="8"/>
      <c r="M753" s="8"/>
    </row>
    <row r="754" spans="1:13" x14ac:dyDescent="0.2">
      <c r="A754" s="17">
        <f>[1]SUMMARY!A755</f>
        <v>185</v>
      </c>
      <c r="B754" s="17">
        <f>[1]SUMMARY!B755</f>
        <v>70</v>
      </c>
      <c r="C754" s="17">
        <f>[1]SUMMARY!C755</f>
        <v>14</v>
      </c>
      <c r="D754" s="25" t="str">
        <f>[1]SUMMARY!D755</f>
        <v>FIRESTONE(THAI)</v>
      </c>
      <c r="E754" s="25" t="str">
        <f>[1]SUMMARY!E755</f>
        <v>FS100</v>
      </c>
      <c r="F754" s="20"/>
      <c r="G754" s="20">
        <v>24</v>
      </c>
      <c r="H754" s="20">
        <v>24</v>
      </c>
      <c r="I754" s="21">
        <f t="shared" si="8"/>
        <v>0</v>
      </c>
      <c r="J754" s="22">
        <f>[1]SUMMARY!N755</f>
        <v>2763.96</v>
      </c>
      <c r="K754" s="23">
        <f t="shared" si="6"/>
        <v>0</v>
      </c>
      <c r="L754" s="8"/>
      <c r="M754" s="8"/>
    </row>
    <row r="755" spans="1:13" x14ac:dyDescent="0.2">
      <c r="A755" s="17">
        <f>[1]SUMMARY!A756</f>
        <v>185</v>
      </c>
      <c r="B755" s="17">
        <f>[1]SUMMARY!B756</f>
        <v>60</v>
      </c>
      <c r="C755" s="17">
        <f>[1]SUMMARY!C756</f>
        <v>15</v>
      </c>
      <c r="D755" s="25" t="str">
        <f>[1]SUMMARY!D756</f>
        <v>FIRESTONE(THAI)</v>
      </c>
      <c r="E755" s="25" t="str">
        <f>[1]SUMMARY!E756</f>
        <v>FS100</v>
      </c>
      <c r="F755" s="20"/>
      <c r="G755" s="20">
        <v>50</v>
      </c>
      <c r="H755" s="20">
        <v>50</v>
      </c>
      <c r="I755" s="21">
        <f t="shared" si="8"/>
        <v>0</v>
      </c>
      <c r="J755" s="22">
        <f>[1]SUMMARY!N756</f>
        <v>2637</v>
      </c>
      <c r="K755" s="23">
        <f t="shared" si="6"/>
        <v>0</v>
      </c>
      <c r="L755" s="8"/>
      <c r="M755" s="8"/>
    </row>
    <row r="756" spans="1:13" x14ac:dyDescent="0.2">
      <c r="A756" s="17">
        <f>[1]SUMMARY!A757</f>
        <v>195</v>
      </c>
      <c r="B756" s="17">
        <f>[1]SUMMARY!B757</f>
        <v>0</v>
      </c>
      <c r="C756" s="17" t="str">
        <f>[1]SUMMARY!C757</f>
        <v>15C</v>
      </c>
      <c r="D756" s="25" t="str">
        <f>[1]SUMMARY!D757</f>
        <v>FIRESTONE(THAI)</v>
      </c>
      <c r="E756" s="25" t="str">
        <f>[1]SUMMARY!E757</f>
        <v>8PR CV4000</v>
      </c>
      <c r="F756" s="20"/>
      <c r="G756" s="20"/>
      <c r="H756" s="20"/>
      <c r="I756" s="21">
        <f t="shared" si="8"/>
        <v>0</v>
      </c>
      <c r="J756" s="22">
        <f>[1]SUMMARY!N757</f>
        <v>3500</v>
      </c>
      <c r="K756" s="23">
        <f t="shared" si="6"/>
        <v>0</v>
      </c>
      <c r="L756" s="8"/>
      <c r="M756" s="8"/>
    </row>
    <row r="757" spans="1:13" x14ac:dyDescent="0.2">
      <c r="A757" s="17">
        <f>[1]SUMMARY!A758</f>
        <v>175</v>
      </c>
      <c r="B757" s="17">
        <f>[1]SUMMARY!B758</f>
        <v>65</v>
      </c>
      <c r="C757" s="17">
        <f>[1]SUMMARY!C758</f>
        <v>15</v>
      </c>
      <c r="D757" s="25" t="str">
        <f>[1]SUMMARY!D758</f>
        <v>FIRESTONE(THAI)</v>
      </c>
      <c r="E757" s="25" t="str">
        <f>[1]SUMMARY!E758</f>
        <v>FS100</v>
      </c>
      <c r="F757" s="20"/>
      <c r="G757" s="20">
        <v>3</v>
      </c>
      <c r="H757" s="20">
        <v>3</v>
      </c>
      <c r="I757" s="21">
        <f t="shared" si="8"/>
        <v>0</v>
      </c>
      <c r="J757" s="22">
        <f>[1]SUMMARY!N758</f>
        <v>2303</v>
      </c>
      <c r="K757" s="23">
        <f t="shared" si="6"/>
        <v>0</v>
      </c>
      <c r="L757" s="8"/>
      <c r="M757" s="8"/>
    </row>
    <row r="758" spans="1:13" x14ac:dyDescent="0.2">
      <c r="A758" s="17">
        <f>[1]SUMMARY!A759</f>
        <v>195</v>
      </c>
      <c r="B758" s="17">
        <f>[1]SUMMARY!B759</f>
        <v>65</v>
      </c>
      <c r="C758" s="17">
        <f>[1]SUMMARY!C759</f>
        <v>15</v>
      </c>
      <c r="D758" s="25" t="str">
        <f>[1]SUMMARY!D759</f>
        <v>FIRESTONE(THAI)</v>
      </c>
      <c r="E758" s="25" t="str">
        <f>[1]SUMMARY!E759</f>
        <v>FS100</v>
      </c>
      <c r="F758" s="20"/>
      <c r="G758" s="20">
        <v>22</v>
      </c>
      <c r="H758" s="20">
        <v>22</v>
      </c>
      <c r="I758" s="21">
        <f t="shared" si="8"/>
        <v>0</v>
      </c>
      <c r="J758" s="22">
        <f>[1]SUMMARY!N759</f>
        <v>3349.86</v>
      </c>
      <c r="K758" s="23">
        <f t="shared" si="6"/>
        <v>0</v>
      </c>
      <c r="L758" s="8"/>
      <c r="M758" s="8"/>
    </row>
    <row r="759" spans="1:13" x14ac:dyDescent="0.2">
      <c r="A759" s="17">
        <f>[1]SUMMARY!A760</f>
        <v>205</v>
      </c>
      <c r="B759" s="17">
        <f>[1]SUMMARY!B760</f>
        <v>65</v>
      </c>
      <c r="C759" s="17">
        <f>[1]SUMMARY!C760</f>
        <v>15</v>
      </c>
      <c r="D759" s="25" t="str">
        <f>[1]SUMMARY!D760</f>
        <v>FIRESTONE(THAI)</v>
      </c>
      <c r="E759" s="25" t="str">
        <f>[1]SUMMARY!E760</f>
        <v>FS100</v>
      </c>
      <c r="F759" s="20"/>
      <c r="G759" s="20">
        <v>24</v>
      </c>
      <c r="H759" s="20">
        <v>24</v>
      </c>
      <c r="I759" s="21">
        <f t="shared" si="8"/>
        <v>0</v>
      </c>
      <c r="J759" s="22">
        <f>[1]SUMMARY!N760</f>
        <v>3006</v>
      </c>
      <c r="K759" s="23">
        <f t="shared" si="6"/>
        <v>0</v>
      </c>
      <c r="L759" s="8"/>
      <c r="M759" s="8"/>
    </row>
    <row r="760" spans="1:13" x14ac:dyDescent="0.2">
      <c r="A760" s="17">
        <f>[1]SUMMARY!A761</f>
        <v>215</v>
      </c>
      <c r="B760" s="17">
        <f>[1]SUMMARY!B761</f>
        <v>70</v>
      </c>
      <c r="C760" s="17" t="str">
        <f>[1]SUMMARY!C761</f>
        <v>16C</v>
      </c>
      <c r="D760" s="25" t="str">
        <f>[1]SUMMARY!D761</f>
        <v>FIRESTONE(THAI)</v>
      </c>
      <c r="E760" s="25" t="str">
        <f>[1]SUMMARY!E761</f>
        <v>CV4000</v>
      </c>
      <c r="F760" s="20"/>
      <c r="G760" s="20">
        <v>30</v>
      </c>
      <c r="H760" s="20">
        <v>30</v>
      </c>
      <c r="I760" s="21">
        <f t="shared" si="8"/>
        <v>0</v>
      </c>
      <c r="J760" s="22">
        <f>[1]SUMMARY!N761</f>
        <v>5120</v>
      </c>
      <c r="K760" s="23">
        <f t="shared" si="6"/>
        <v>0</v>
      </c>
      <c r="L760" s="8"/>
      <c r="M760" s="8"/>
    </row>
    <row r="761" spans="1:13" x14ac:dyDescent="0.2">
      <c r="A761" s="17">
        <f>[1]SUMMARY!A762</f>
        <v>185</v>
      </c>
      <c r="B761" s="17">
        <f>[1]SUMMARY!B762</f>
        <v>55</v>
      </c>
      <c r="C761" s="17">
        <f>[1]SUMMARY!C762</f>
        <v>16</v>
      </c>
      <c r="D761" s="25" t="str">
        <f>[1]SUMMARY!D762</f>
        <v>FIRESTONE(THAI)</v>
      </c>
      <c r="E761" s="25" t="str">
        <f>[1]SUMMARY!E762</f>
        <v>FS100</v>
      </c>
      <c r="F761" s="20"/>
      <c r="G761" s="20">
        <v>22</v>
      </c>
      <c r="H761" s="20">
        <v>22</v>
      </c>
      <c r="I761" s="21">
        <f t="shared" si="8"/>
        <v>0</v>
      </c>
      <c r="J761" s="22">
        <f>[1]SUMMARY!N762</f>
        <v>2940</v>
      </c>
      <c r="K761" s="23">
        <f t="shared" si="6"/>
        <v>0</v>
      </c>
      <c r="L761" s="8"/>
      <c r="M761" s="8"/>
    </row>
    <row r="762" spans="1:13" x14ac:dyDescent="0.2">
      <c r="A762" s="17">
        <f>[1]SUMMARY!A763</f>
        <v>265</v>
      </c>
      <c r="B762" s="17">
        <f>[1]SUMMARY!B763</f>
        <v>60</v>
      </c>
      <c r="C762" s="17">
        <f>[1]SUMMARY!C763</f>
        <v>18</v>
      </c>
      <c r="D762" s="25" t="str">
        <f>[1]SUMMARY!D763</f>
        <v>FIRESTONE(INDO)</v>
      </c>
      <c r="E762" s="25" t="str">
        <f>[1]SUMMARY!E763</f>
        <v>DESTINATION LE02</v>
      </c>
      <c r="F762" s="20"/>
      <c r="G762" s="20">
        <v>13</v>
      </c>
      <c r="H762" s="20">
        <v>13</v>
      </c>
      <c r="I762" s="21">
        <f t="shared" si="8"/>
        <v>0</v>
      </c>
      <c r="J762" s="22">
        <f>[1]SUMMARY!N763</f>
        <v>7860.96</v>
      </c>
      <c r="K762" s="23">
        <f t="shared" si="6"/>
        <v>0</v>
      </c>
      <c r="L762" s="28">
        <f>SUM(K751:K762)</f>
        <v>0</v>
      </c>
      <c r="M762" s="29" t="s">
        <v>34</v>
      </c>
    </row>
    <row r="763" spans="1:13" x14ac:dyDescent="0.2">
      <c r="A763" s="17" t="str">
        <f>[1]SUMMARY!A764</f>
        <v>165</v>
      </c>
      <c r="B763" s="17">
        <f>[1]SUMMARY!B764</f>
        <v>65</v>
      </c>
      <c r="C763" s="17">
        <f>[1]SUMMARY!C764</f>
        <v>13</v>
      </c>
      <c r="D763" s="25" t="str">
        <f>[1]SUMMARY!D764</f>
        <v>FORCEUM(INDO)</v>
      </c>
      <c r="E763" s="25" t="str">
        <f>[1]SUMMARY!E764</f>
        <v>TRIDEKA</v>
      </c>
      <c r="F763" s="20"/>
      <c r="G763" s="20">
        <v>18</v>
      </c>
      <c r="H763" s="20">
        <v>18</v>
      </c>
      <c r="I763" s="21">
        <f t="shared" si="8"/>
        <v>0</v>
      </c>
      <c r="J763" s="22">
        <f>[1]SUMMARY!N764</f>
        <v>1730</v>
      </c>
      <c r="K763" s="23">
        <f t="shared" si="6"/>
        <v>0</v>
      </c>
      <c r="L763" s="8"/>
      <c r="M763" s="8"/>
    </row>
    <row r="764" spans="1:13" x14ac:dyDescent="0.2">
      <c r="A764" s="17" t="str">
        <f>[1]SUMMARY!A765</f>
        <v>165</v>
      </c>
      <c r="B764" s="17">
        <f>[1]SUMMARY!B765</f>
        <v>80</v>
      </c>
      <c r="C764" s="17">
        <f>[1]SUMMARY!C765</f>
        <v>13</v>
      </c>
      <c r="D764" s="25" t="str">
        <f>[1]SUMMARY!D765</f>
        <v>FORCEUM (INDO)</v>
      </c>
      <c r="E764" s="25" t="str">
        <f>[1]SUMMARY!E765</f>
        <v>ECOSA</v>
      </c>
      <c r="F764" s="20"/>
      <c r="G764" s="20">
        <v>4</v>
      </c>
      <c r="H764" s="20">
        <v>4</v>
      </c>
      <c r="I764" s="21">
        <f t="shared" si="8"/>
        <v>0</v>
      </c>
      <c r="J764" s="22">
        <f>[1]SUMMARY!N765</f>
        <v>1610</v>
      </c>
      <c r="K764" s="23">
        <f t="shared" si="6"/>
        <v>0</v>
      </c>
      <c r="L764" s="8"/>
      <c r="M764" s="8"/>
    </row>
    <row r="765" spans="1:13" x14ac:dyDescent="0.2">
      <c r="A765" s="17" t="str">
        <f>[1]SUMMARY!A766</f>
        <v>27</v>
      </c>
      <c r="B765" s="17">
        <f>[1]SUMMARY!B766</f>
        <v>8.5</v>
      </c>
      <c r="C765" s="17">
        <f>[1]SUMMARY!C766</f>
        <v>14</v>
      </c>
      <c r="D765" s="25" t="str">
        <f>[1]SUMMARY!D766</f>
        <v>FORCEUM (INDO)</v>
      </c>
      <c r="E765" s="25" t="str">
        <f>[1]SUMMARY!E766</f>
        <v>MT PLUS</v>
      </c>
      <c r="F765" s="20"/>
      <c r="G765" s="20"/>
      <c r="H765" s="20"/>
      <c r="I765" s="21">
        <f t="shared" si="8"/>
        <v>0</v>
      </c>
      <c r="J765" s="22">
        <f>[1]SUMMARY!N766</f>
        <v>4130</v>
      </c>
      <c r="K765" s="23">
        <f t="shared" si="6"/>
        <v>0</v>
      </c>
      <c r="L765" s="8"/>
      <c r="M765" s="8"/>
    </row>
    <row r="766" spans="1:13" x14ac:dyDescent="0.2">
      <c r="A766" s="17" t="str">
        <f>[1]SUMMARY!A767</f>
        <v>175</v>
      </c>
      <c r="B766" s="17">
        <f>[1]SUMMARY!B767</f>
        <v>65</v>
      </c>
      <c r="C766" s="17">
        <f>[1]SUMMARY!C767</f>
        <v>14</v>
      </c>
      <c r="D766" s="25" t="str">
        <f>[1]SUMMARY!D767</f>
        <v>FORCEUM (INDO)</v>
      </c>
      <c r="E766" s="25" t="str">
        <f>[1]SUMMARY!E767</f>
        <v>ECOSA</v>
      </c>
      <c r="F766" s="20"/>
      <c r="G766" s="20">
        <v>23</v>
      </c>
      <c r="H766" s="20">
        <v>23</v>
      </c>
      <c r="I766" s="21">
        <f t="shared" si="8"/>
        <v>0</v>
      </c>
      <c r="J766" s="22">
        <f>[1]SUMMARY!N767</f>
        <v>1970</v>
      </c>
      <c r="K766" s="23">
        <f t="shared" si="6"/>
        <v>0</v>
      </c>
      <c r="L766" s="8"/>
      <c r="M766" s="8"/>
    </row>
    <row r="767" spans="1:13" x14ac:dyDescent="0.2">
      <c r="A767" s="17" t="str">
        <f>[1]SUMMARY!A768</f>
        <v>185</v>
      </c>
      <c r="B767" s="17">
        <f>[1]SUMMARY!B768</f>
        <v>65</v>
      </c>
      <c r="C767" s="17">
        <f>[1]SUMMARY!C768</f>
        <v>14</v>
      </c>
      <c r="D767" s="25" t="str">
        <f>[1]SUMMARY!D768</f>
        <v>FORCEUM (INDO)</v>
      </c>
      <c r="E767" s="25" t="str">
        <f>[1]SUMMARY!E768</f>
        <v>TRIDEKA</v>
      </c>
      <c r="F767" s="20"/>
      <c r="G767" s="20">
        <v>14</v>
      </c>
      <c r="H767" s="20">
        <v>14</v>
      </c>
      <c r="I767" s="21">
        <f t="shared" si="8"/>
        <v>0</v>
      </c>
      <c r="J767" s="22">
        <f>[1]SUMMARY!N768</f>
        <v>1980</v>
      </c>
      <c r="K767" s="23">
        <f t="shared" si="6"/>
        <v>0</v>
      </c>
      <c r="L767" s="8"/>
      <c r="M767" s="8"/>
    </row>
    <row r="768" spans="1:13" x14ac:dyDescent="0.2">
      <c r="A768" s="17" t="str">
        <f>[1]SUMMARY!A769</f>
        <v>175</v>
      </c>
      <c r="B768" s="17">
        <f>[1]SUMMARY!B769</f>
        <v>70</v>
      </c>
      <c r="C768" s="17">
        <f>[1]SUMMARY!C769</f>
        <v>14</v>
      </c>
      <c r="D768" s="25" t="str">
        <f>[1]SUMMARY!D769</f>
        <v>FORCEUM (INDO)</v>
      </c>
      <c r="E768" s="25" t="str">
        <f>[1]SUMMARY!E769</f>
        <v>ECOSA</v>
      </c>
      <c r="F768" s="20"/>
      <c r="G768" s="20">
        <v>6</v>
      </c>
      <c r="H768" s="20">
        <v>6</v>
      </c>
      <c r="I768" s="21">
        <f t="shared" si="8"/>
        <v>0</v>
      </c>
      <c r="J768" s="22">
        <f>[1]SUMMARY!N769</f>
        <v>1880</v>
      </c>
      <c r="K768" s="23">
        <f t="shared" si="6"/>
        <v>0</v>
      </c>
      <c r="L768" s="8"/>
      <c r="M768" s="8"/>
    </row>
    <row r="769" spans="1:13" x14ac:dyDescent="0.2">
      <c r="A769" s="17" t="str">
        <f>[1]SUMMARY!A770</f>
        <v>185</v>
      </c>
      <c r="B769" s="17">
        <f>[1]SUMMARY!B770</f>
        <v>70</v>
      </c>
      <c r="C769" s="17">
        <f>[1]SUMMARY!C770</f>
        <v>14</v>
      </c>
      <c r="D769" s="25" t="str">
        <f>[1]SUMMARY!D770</f>
        <v>FORCEUM (INDO)</v>
      </c>
      <c r="E769" s="25" t="str">
        <f>[1]SUMMARY!E770</f>
        <v>ECOSA</v>
      </c>
      <c r="F769" s="20"/>
      <c r="G769" s="20">
        <v>15</v>
      </c>
      <c r="H769" s="20">
        <v>15</v>
      </c>
      <c r="I769" s="21">
        <f t="shared" si="8"/>
        <v>0</v>
      </c>
      <c r="J769" s="22">
        <f>[1]SUMMARY!N770</f>
        <v>2140</v>
      </c>
      <c r="K769" s="23">
        <f t="shared" si="6"/>
        <v>0</v>
      </c>
      <c r="L769" s="8"/>
      <c r="M769" s="8"/>
    </row>
    <row r="770" spans="1:13" x14ac:dyDescent="0.2">
      <c r="A770" s="17" t="str">
        <f>[1]SUMMARY!A771</f>
        <v>185</v>
      </c>
      <c r="B770" s="17">
        <f>[1]SUMMARY!B771</f>
        <v>0</v>
      </c>
      <c r="C770" s="17" t="str">
        <f>[1]SUMMARY!C771</f>
        <v>14C</v>
      </c>
      <c r="D770" s="25" t="str">
        <f>[1]SUMMARY!D771</f>
        <v>FORCEUM (INDO)</v>
      </c>
      <c r="E770" s="25" t="str">
        <f>[1]SUMMARY!E771</f>
        <v>ULTRA2</v>
      </c>
      <c r="F770" s="20"/>
      <c r="G770" s="20">
        <v>20</v>
      </c>
      <c r="H770" s="20">
        <v>20</v>
      </c>
      <c r="I770" s="21">
        <f t="shared" si="8"/>
        <v>0</v>
      </c>
      <c r="J770" s="22">
        <f>[1]SUMMARY!N771</f>
        <v>2480</v>
      </c>
      <c r="K770" s="23">
        <f t="shared" si="6"/>
        <v>0</v>
      </c>
      <c r="L770" s="8"/>
      <c r="M770" s="8"/>
    </row>
    <row r="771" spans="1:13" x14ac:dyDescent="0.2">
      <c r="A771" s="17" t="str">
        <f>[1]SUMMARY!A772</f>
        <v>195</v>
      </c>
      <c r="B771" s="17">
        <f>[1]SUMMARY!B772</f>
        <v>0</v>
      </c>
      <c r="C771" s="17" t="str">
        <f>[1]SUMMARY!C772</f>
        <v>14C</v>
      </c>
      <c r="D771" s="25" t="str">
        <f>[1]SUMMARY!D772</f>
        <v>FORCEUM (INDO)</v>
      </c>
      <c r="E771" s="25" t="str">
        <f>[1]SUMMARY!E772</f>
        <v>8PR DIGON LT</v>
      </c>
      <c r="F771" s="20"/>
      <c r="G771" s="20">
        <v>10</v>
      </c>
      <c r="H771" s="20">
        <v>10</v>
      </c>
      <c r="I771" s="21">
        <f t="shared" si="8"/>
        <v>0</v>
      </c>
      <c r="J771" s="22">
        <f>[1]SUMMARY!N772</f>
        <v>2850</v>
      </c>
      <c r="K771" s="23">
        <f t="shared" si="6"/>
        <v>0</v>
      </c>
      <c r="L771" s="8"/>
      <c r="M771" s="8"/>
    </row>
    <row r="772" spans="1:13" x14ac:dyDescent="0.2">
      <c r="A772" s="17" t="str">
        <f>[1]SUMMARY!A773</f>
        <v>31</v>
      </c>
      <c r="B772" s="17">
        <f>[1]SUMMARY!B773</f>
        <v>10.5</v>
      </c>
      <c r="C772" s="17">
        <f>[1]SUMMARY!C773</f>
        <v>15</v>
      </c>
      <c r="D772" s="25" t="str">
        <f>[1]SUMMARY!D773</f>
        <v>FORCEUM (INDO)</v>
      </c>
      <c r="E772" s="25" t="str">
        <f>[1]SUMMARY!E773</f>
        <v>ATZ-R</v>
      </c>
      <c r="F772" s="20"/>
      <c r="G772" s="20">
        <v>8</v>
      </c>
      <c r="H772" s="20">
        <v>8</v>
      </c>
      <c r="I772" s="21">
        <f t="shared" si="8"/>
        <v>0</v>
      </c>
      <c r="J772" s="22">
        <f>[1]SUMMARY!N773</f>
        <v>6200</v>
      </c>
      <c r="K772" s="23">
        <f t="shared" si="6"/>
        <v>0</v>
      </c>
      <c r="L772" s="8"/>
      <c r="M772" s="8"/>
    </row>
    <row r="773" spans="1:13" x14ac:dyDescent="0.2">
      <c r="A773" s="17" t="str">
        <f>[1]SUMMARY!A774</f>
        <v>195</v>
      </c>
      <c r="B773" s="17">
        <f>[1]SUMMARY!B774</f>
        <v>50</v>
      </c>
      <c r="C773" s="17">
        <f>[1]SUMMARY!C774</f>
        <v>15</v>
      </c>
      <c r="D773" s="25" t="str">
        <f>[1]SUMMARY!D774</f>
        <v>FORCEUM (INDO)</v>
      </c>
      <c r="E773" s="25" t="str">
        <f>[1]SUMMARY!E774</f>
        <v>HENA</v>
      </c>
      <c r="F773" s="20"/>
      <c r="G773" s="20">
        <v>38</v>
      </c>
      <c r="H773" s="20">
        <v>36</v>
      </c>
      <c r="I773" s="21">
        <f t="shared" si="8"/>
        <v>2</v>
      </c>
      <c r="J773" s="22">
        <f>[1]SUMMARY!N774</f>
        <v>1800</v>
      </c>
      <c r="K773" s="23">
        <f t="shared" si="6"/>
        <v>3600</v>
      </c>
      <c r="L773" s="8"/>
      <c r="M773" s="8"/>
    </row>
    <row r="774" spans="1:13" x14ac:dyDescent="0.2">
      <c r="A774" s="17" t="str">
        <f>[1]SUMMARY!A775</f>
        <v>185</v>
      </c>
      <c r="B774" s="17">
        <f>[1]SUMMARY!B775</f>
        <v>55</v>
      </c>
      <c r="C774" s="17">
        <f>[1]SUMMARY!C775</f>
        <v>15</v>
      </c>
      <c r="D774" s="25" t="str">
        <f>[1]SUMMARY!D775</f>
        <v>FORCEUM (INDO)</v>
      </c>
      <c r="E774" s="25" t="str">
        <f>[1]SUMMARY!E775</f>
        <v>D800</v>
      </c>
      <c r="F774" s="20"/>
      <c r="G774" s="20">
        <v>18</v>
      </c>
      <c r="H774" s="20">
        <v>18</v>
      </c>
      <c r="I774" s="21">
        <f t="shared" si="8"/>
        <v>0</v>
      </c>
      <c r="J774" s="22">
        <f>[1]SUMMARY!N775</f>
        <v>2305</v>
      </c>
      <c r="K774" s="23">
        <f t="shared" si="6"/>
        <v>0</v>
      </c>
      <c r="L774" s="8"/>
      <c r="M774" s="8"/>
    </row>
    <row r="775" spans="1:13" x14ac:dyDescent="0.2">
      <c r="A775" s="17" t="str">
        <f>[1]SUMMARY!A776</f>
        <v>195</v>
      </c>
      <c r="B775" s="17">
        <f>[1]SUMMARY!B776</f>
        <v>55</v>
      </c>
      <c r="C775" s="17">
        <f>[1]SUMMARY!C776</f>
        <v>15</v>
      </c>
      <c r="D775" s="25" t="str">
        <f>[1]SUMMARY!D776</f>
        <v>FORCEUM (INDO)</v>
      </c>
      <c r="E775" s="25" t="str">
        <f>[1]SUMMARY!E776</f>
        <v>XL ECOSA</v>
      </c>
      <c r="F775" s="20"/>
      <c r="G775" s="20">
        <v>49</v>
      </c>
      <c r="H775" s="20">
        <v>49</v>
      </c>
      <c r="I775" s="21">
        <f t="shared" si="8"/>
        <v>0</v>
      </c>
      <c r="J775" s="22">
        <f>[1]SUMMARY!N776</f>
        <v>2210</v>
      </c>
      <c r="K775" s="23">
        <f t="shared" si="6"/>
        <v>0</v>
      </c>
      <c r="L775" s="8"/>
      <c r="M775" s="8"/>
    </row>
    <row r="776" spans="1:13" x14ac:dyDescent="0.2">
      <c r="A776" s="17" t="str">
        <f>[1]SUMMARY!A777</f>
        <v>185</v>
      </c>
      <c r="B776" s="17">
        <f>[1]SUMMARY!B777</f>
        <v>60</v>
      </c>
      <c r="C776" s="17">
        <f>[1]SUMMARY!C777</f>
        <v>15</v>
      </c>
      <c r="D776" s="25" t="str">
        <f>[1]SUMMARY!D777</f>
        <v>FORCEUM (INDO)</v>
      </c>
      <c r="E776" s="25" t="str">
        <f>[1]SUMMARY!E777</f>
        <v>HENA</v>
      </c>
      <c r="F776" s="20"/>
      <c r="G776" s="20">
        <v>14</v>
      </c>
      <c r="H776" s="20">
        <v>14</v>
      </c>
      <c r="I776" s="21">
        <f t="shared" si="8"/>
        <v>0</v>
      </c>
      <c r="J776" s="22">
        <f>[1]SUMMARY!N777</f>
        <v>2120</v>
      </c>
      <c r="K776" s="23">
        <f t="shared" si="6"/>
        <v>0</v>
      </c>
      <c r="L776" s="8"/>
      <c r="M776" s="8"/>
    </row>
    <row r="777" spans="1:13" x14ac:dyDescent="0.2">
      <c r="A777" s="17" t="str">
        <f>[1]SUMMARY!A778</f>
        <v>185</v>
      </c>
      <c r="B777" s="17">
        <f>[1]SUMMARY!B778</f>
        <v>65</v>
      </c>
      <c r="C777" s="17">
        <f>[1]SUMMARY!C778</f>
        <v>15</v>
      </c>
      <c r="D777" s="25" t="str">
        <f>[1]SUMMARY!D778</f>
        <v>FORCEUM (INDO)</v>
      </c>
      <c r="E777" s="25" t="str">
        <f>[1]SUMMARY!E778</f>
        <v>ECOSA</v>
      </c>
      <c r="F777" s="20"/>
      <c r="G777" s="20">
        <v>40</v>
      </c>
      <c r="H777" s="20">
        <v>40</v>
      </c>
      <c r="I777" s="21">
        <f t="shared" si="8"/>
        <v>0</v>
      </c>
      <c r="J777" s="22">
        <f>[1]SUMMARY!N778</f>
        <v>2300</v>
      </c>
      <c r="K777" s="23">
        <f t="shared" si="6"/>
        <v>0</v>
      </c>
      <c r="L777" s="8"/>
      <c r="M777" s="8"/>
    </row>
    <row r="778" spans="1:13" x14ac:dyDescent="0.2">
      <c r="A778" s="17" t="str">
        <f>[1]SUMMARY!A779</f>
        <v>195</v>
      </c>
      <c r="B778" s="17">
        <f>[1]SUMMARY!B779</f>
        <v>60</v>
      </c>
      <c r="C778" s="17">
        <f>[1]SUMMARY!C779</f>
        <v>15</v>
      </c>
      <c r="D778" s="25" t="str">
        <f>[1]SUMMARY!D779</f>
        <v>FORCEUM (INDO)</v>
      </c>
      <c r="E778" s="25" t="str">
        <f>[1]SUMMARY!E779</f>
        <v>D600</v>
      </c>
      <c r="F778" s="20"/>
      <c r="G778" s="20">
        <v>15</v>
      </c>
      <c r="H778" s="20">
        <v>15</v>
      </c>
      <c r="I778" s="21">
        <f t="shared" si="8"/>
        <v>0</v>
      </c>
      <c r="J778" s="22">
        <f>[1]SUMMARY!N779</f>
        <v>2480</v>
      </c>
      <c r="K778" s="23">
        <f t="shared" si="6"/>
        <v>0</v>
      </c>
      <c r="L778" s="8"/>
      <c r="M778" s="8"/>
    </row>
    <row r="779" spans="1:13" x14ac:dyDescent="0.2">
      <c r="A779" s="17" t="str">
        <f>[1]SUMMARY!A780</f>
        <v>195</v>
      </c>
      <c r="B779" s="17">
        <f>[1]SUMMARY!B780</f>
        <v>65</v>
      </c>
      <c r="C779" s="17">
        <f>[1]SUMMARY!C780</f>
        <v>15</v>
      </c>
      <c r="D779" s="25" t="str">
        <f>[1]SUMMARY!D780</f>
        <v>FORCEUM (INDO)</v>
      </c>
      <c r="E779" s="25" t="str">
        <f>[1]SUMMARY!E780</f>
        <v>ECOSA</v>
      </c>
      <c r="F779" s="20"/>
      <c r="G779" s="20">
        <v>30</v>
      </c>
      <c r="H779" s="20">
        <v>30</v>
      </c>
      <c r="I779" s="21">
        <f t="shared" si="8"/>
        <v>0</v>
      </c>
      <c r="J779" s="22">
        <f>[1]SUMMARY!N780</f>
        <v>2500</v>
      </c>
      <c r="K779" s="23">
        <f t="shared" si="6"/>
        <v>0</v>
      </c>
      <c r="L779" s="8"/>
      <c r="M779" s="8"/>
    </row>
    <row r="780" spans="1:13" x14ac:dyDescent="0.2">
      <c r="A780" s="17" t="str">
        <f>[1]SUMMARY!A781</f>
        <v>205</v>
      </c>
      <c r="B780" s="17">
        <f>[1]SUMMARY!B781</f>
        <v>65</v>
      </c>
      <c r="C780" s="17">
        <f>[1]SUMMARY!C781</f>
        <v>15</v>
      </c>
      <c r="D780" s="25" t="str">
        <f>[1]SUMMARY!D781</f>
        <v>FORCEUM (INDO)</v>
      </c>
      <c r="E780" s="25" t="str">
        <f>[1]SUMMARY!E781</f>
        <v>ECOSA</v>
      </c>
      <c r="F780" s="20"/>
      <c r="G780" s="20">
        <v>18</v>
      </c>
      <c r="H780" s="20">
        <v>18</v>
      </c>
      <c r="I780" s="21">
        <f t="shared" si="8"/>
        <v>0</v>
      </c>
      <c r="J780" s="22">
        <f>[1]SUMMARY!N781</f>
        <v>2680</v>
      </c>
      <c r="K780" s="23">
        <f t="shared" si="6"/>
        <v>0</v>
      </c>
      <c r="L780" s="8"/>
      <c r="M780" s="8"/>
    </row>
    <row r="781" spans="1:13" x14ac:dyDescent="0.2">
      <c r="A781" s="17" t="str">
        <f>[1]SUMMARY!A782</f>
        <v>205</v>
      </c>
      <c r="B781" s="17">
        <f>[1]SUMMARY!B782</f>
        <v>70</v>
      </c>
      <c r="C781" s="17">
        <f>[1]SUMMARY!C782</f>
        <v>15</v>
      </c>
      <c r="D781" s="25" t="str">
        <f>[1]SUMMARY!D782</f>
        <v>FORCEUM (INDO)</v>
      </c>
      <c r="E781" s="25" t="str">
        <f>[1]SUMMARY!E782</f>
        <v xml:space="preserve">EXP 70 </v>
      </c>
      <c r="F781" s="20"/>
      <c r="G781" s="20">
        <v>20</v>
      </c>
      <c r="H781" s="20">
        <v>20</v>
      </c>
      <c r="I781" s="21">
        <f t="shared" si="8"/>
        <v>0</v>
      </c>
      <c r="J781" s="22">
        <f>[1]SUMMARY!N782</f>
        <v>3190</v>
      </c>
      <c r="K781" s="23">
        <f t="shared" si="6"/>
        <v>0</v>
      </c>
      <c r="L781" s="8"/>
      <c r="M781" s="8"/>
    </row>
    <row r="782" spans="1:13" x14ac:dyDescent="0.2">
      <c r="A782" s="17" t="str">
        <f>[1]SUMMARY!A783</f>
        <v>235</v>
      </c>
      <c r="B782" s="17">
        <f>[1]SUMMARY!B783</f>
        <v>70</v>
      </c>
      <c r="C782" s="17">
        <f>[1]SUMMARY!C783</f>
        <v>15</v>
      </c>
      <c r="D782" s="25" t="str">
        <f>[1]SUMMARY!D783</f>
        <v>FORCEUM (INDO)</v>
      </c>
      <c r="E782" s="25" t="str">
        <f>[1]SUMMARY!E783</f>
        <v>103S ATZ</v>
      </c>
      <c r="F782" s="20"/>
      <c r="G782" s="20">
        <v>8</v>
      </c>
      <c r="H782" s="20">
        <v>8</v>
      </c>
      <c r="I782" s="21">
        <f t="shared" si="8"/>
        <v>0</v>
      </c>
      <c r="J782" s="22">
        <f>[1]SUMMARY!N783</f>
        <v>4210</v>
      </c>
      <c r="K782" s="23">
        <f t="shared" si="6"/>
        <v>0</v>
      </c>
      <c r="L782" s="8"/>
      <c r="M782" s="8"/>
    </row>
    <row r="783" spans="1:13" x14ac:dyDescent="0.2">
      <c r="A783" s="17" t="str">
        <f>[1]SUMMARY!A784</f>
        <v>235</v>
      </c>
      <c r="B783" s="17">
        <f>[1]SUMMARY!B784</f>
        <v>75</v>
      </c>
      <c r="C783" s="17">
        <f>[1]SUMMARY!C784</f>
        <v>15</v>
      </c>
      <c r="D783" s="25" t="str">
        <f>[1]SUMMARY!D784</f>
        <v>FORCEUM (INDO)</v>
      </c>
      <c r="E783" s="25" t="str">
        <f>[1]SUMMARY!E784</f>
        <v>ATZ</v>
      </c>
      <c r="F783" s="20"/>
      <c r="G783" s="20">
        <v>8</v>
      </c>
      <c r="H783" s="20">
        <v>8</v>
      </c>
      <c r="I783" s="21">
        <f t="shared" si="8"/>
        <v>0</v>
      </c>
      <c r="J783" s="22">
        <f>[1]SUMMARY!N784</f>
        <v>4550</v>
      </c>
      <c r="K783" s="23">
        <f t="shared" si="6"/>
        <v>0</v>
      </c>
      <c r="L783" s="8"/>
      <c r="M783" s="8"/>
    </row>
    <row r="784" spans="1:13" x14ac:dyDescent="0.2">
      <c r="A784" s="17" t="str">
        <f>[1]SUMMARY!A785</f>
        <v>195</v>
      </c>
      <c r="B784" s="17">
        <f>[1]SUMMARY!B785</f>
        <v>0</v>
      </c>
      <c r="C784" s="17" t="str">
        <f>[1]SUMMARY!C785</f>
        <v>15C</v>
      </c>
      <c r="D784" s="25" t="str">
        <f>[1]SUMMARY!D785</f>
        <v>FORCEUM (INDO)</v>
      </c>
      <c r="E784" s="25" t="str">
        <f>[1]SUMMARY!E785</f>
        <v>DIGON</v>
      </c>
      <c r="F784" s="20"/>
      <c r="G784" s="20">
        <v>43</v>
      </c>
      <c r="H784" s="20">
        <v>43</v>
      </c>
      <c r="I784" s="21">
        <f t="shared" si="8"/>
        <v>0</v>
      </c>
      <c r="J784" s="22">
        <f>[1]SUMMARY!N785</f>
        <v>3130</v>
      </c>
      <c r="K784" s="23">
        <f t="shared" si="6"/>
        <v>0</v>
      </c>
      <c r="L784" s="8"/>
      <c r="M784" s="8"/>
    </row>
    <row r="785" spans="1:13" x14ac:dyDescent="0.2">
      <c r="A785" s="17" t="str">
        <f>[1]SUMMARY!A786</f>
        <v>195</v>
      </c>
      <c r="B785" s="17">
        <f>[1]SUMMARY!B786</f>
        <v>50</v>
      </c>
      <c r="C785" s="17">
        <f>[1]SUMMARY!C786</f>
        <v>16</v>
      </c>
      <c r="D785" s="25" t="str">
        <f>[1]SUMMARY!D786</f>
        <v>FORCEUM (INDO)</v>
      </c>
      <c r="E785" s="25" t="str">
        <f>[1]SUMMARY!E786</f>
        <v>XL OCTA</v>
      </c>
      <c r="F785" s="20"/>
      <c r="G785" s="20">
        <v>17</v>
      </c>
      <c r="H785" s="20">
        <v>17</v>
      </c>
      <c r="I785" s="21">
        <f t="shared" si="8"/>
        <v>0</v>
      </c>
      <c r="J785" s="22">
        <f>[1]SUMMARY!N786</f>
        <v>2630</v>
      </c>
      <c r="K785" s="23">
        <f t="shared" si="6"/>
        <v>0</v>
      </c>
      <c r="L785" s="8"/>
      <c r="M785" s="8"/>
    </row>
    <row r="786" spans="1:13" x14ac:dyDescent="0.2">
      <c r="A786" s="17" t="str">
        <f>[1]SUMMARY!A787</f>
        <v>185</v>
      </c>
      <c r="B786" s="17">
        <f>[1]SUMMARY!B787</f>
        <v>55</v>
      </c>
      <c r="C786" s="17">
        <f>[1]SUMMARY!C787</f>
        <v>16</v>
      </c>
      <c r="D786" s="25" t="str">
        <f>[1]SUMMARY!D787</f>
        <v>FORCEUM (INDO)</v>
      </c>
      <c r="E786" s="25" t="str">
        <f>[1]SUMMARY!E787</f>
        <v>HEXA-R</v>
      </c>
      <c r="F786" s="20"/>
      <c r="G786" s="20">
        <v>15</v>
      </c>
      <c r="H786" s="20">
        <v>15</v>
      </c>
      <c r="I786" s="21">
        <f t="shared" si="8"/>
        <v>0</v>
      </c>
      <c r="J786" s="22">
        <f>[1]SUMMARY!N787</f>
        <v>2640</v>
      </c>
      <c r="K786" s="23">
        <f t="shared" si="6"/>
        <v>0</v>
      </c>
      <c r="L786" s="8"/>
      <c r="M786" s="8"/>
    </row>
    <row r="787" spans="1:13" x14ac:dyDescent="0.2">
      <c r="A787" s="17" t="str">
        <f>[1]SUMMARY!A788</f>
        <v>195</v>
      </c>
      <c r="B787" s="17">
        <f>[1]SUMMARY!B788</f>
        <v>55</v>
      </c>
      <c r="C787" s="17">
        <f>[1]SUMMARY!C788</f>
        <v>16</v>
      </c>
      <c r="D787" s="25" t="str">
        <f>[1]SUMMARY!D788</f>
        <v>FORCEUM (INDO)</v>
      </c>
      <c r="E787" s="25" t="str">
        <f>[1]SUMMARY!E788</f>
        <v>XL OCTA</v>
      </c>
      <c r="F787" s="20"/>
      <c r="G787" s="20">
        <v>8</v>
      </c>
      <c r="H787" s="20">
        <v>8</v>
      </c>
      <c r="I787" s="21">
        <f t="shared" si="8"/>
        <v>0</v>
      </c>
      <c r="J787" s="22">
        <f>[1]SUMMARY!N788</f>
        <v>2630</v>
      </c>
      <c r="K787" s="23">
        <f t="shared" si="6"/>
        <v>0</v>
      </c>
      <c r="L787" s="8"/>
      <c r="M787" s="8"/>
    </row>
    <row r="788" spans="1:13" x14ac:dyDescent="0.2">
      <c r="A788" s="17" t="str">
        <f>[1]SUMMARY!A789</f>
        <v>205</v>
      </c>
      <c r="B788" s="17">
        <f>[1]SUMMARY!B789</f>
        <v>55</v>
      </c>
      <c r="C788" s="17">
        <f>[1]SUMMARY!C789</f>
        <v>16</v>
      </c>
      <c r="D788" s="25" t="str">
        <f>[1]SUMMARY!D789</f>
        <v>FORCEUM (INDO)</v>
      </c>
      <c r="E788" s="25" t="str">
        <f>[1]SUMMARY!E789</f>
        <v>OCTA</v>
      </c>
      <c r="F788" s="20"/>
      <c r="G788" s="20">
        <v>29</v>
      </c>
      <c r="H788" s="20">
        <v>29</v>
      </c>
      <c r="I788" s="21">
        <f t="shared" si="8"/>
        <v>0</v>
      </c>
      <c r="J788" s="22">
        <f>[1]SUMMARY!N789</f>
        <v>2730</v>
      </c>
      <c r="K788" s="23">
        <f t="shared" si="6"/>
        <v>0</v>
      </c>
      <c r="L788" s="8"/>
      <c r="M788" s="8"/>
    </row>
    <row r="789" spans="1:13" x14ac:dyDescent="0.2">
      <c r="A789" s="17" t="str">
        <f>[1]SUMMARY!A790</f>
        <v>195</v>
      </c>
      <c r="B789" s="17">
        <f>[1]SUMMARY!B790</f>
        <v>60</v>
      </c>
      <c r="C789" s="17">
        <f>[1]SUMMARY!C790</f>
        <v>16</v>
      </c>
      <c r="D789" s="25" t="str">
        <f>[1]SUMMARY!D790</f>
        <v>FORCEUM (INDO)</v>
      </c>
      <c r="E789" s="25" t="str">
        <f>[1]SUMMARY!E790</f>
        <v>ECOSA</v>
      </c>
      <c r="F789" s="20"/>
      <c r="G789" s="20">
        <v>28</v>
      </c>
      <c r="H789" s="20">
        <v>28</v>
      </c>
      <c r="I789" s="21">
        <f t="shared" si="8"/>
        <v>0</v>
      </c>
      <c r="J789" s="22">
        <f>[1]SUMMARY!N790</f>
        <v>2993.58</v>
      </c>
      <c r="K789" s="23">
        <f t="shared" si="6"/>
        <v>0</v>
      </c>
      <c r="L789" s="8"/>
      <c r="M789" s="8"/>
    </row>
    <row r="790" spans="1:13" x14ac:dyDescent="0.2">
      <c r="A790" s="17" t="str">
        <f>[1]SUMMARY!A791</f>
        <v>205</v>
      </c>
      <c r="B790" s="17">
        <f>[1]SUMMARY!B791</f>
        <v>60</v>
      </c>
      <c r="C790" s="17">
        <f>[1]SUMMARY!C791</f>
        <v>16</v>
      </c>
      <c r="D790" s="25" t="str">
        <f>[1]SUMMARY!D791</f>
        <v>FORCEUM (INDO)</v>
      </c>
      <c r="E790" s="25" t="str">
        <f>[1]SUMMARY!E791</f>
        <v>OCTA</v>
      </c>
      <c r="F790" s="20"/>
      <c r="G790" s="20">
        <v>36</v>
      </c>
      <c r="H790" s="20">
        <v>36</v>
      </c>
      <c r="I790" s="21">
        <f t="shared" si="8"/>
        <v>0</v>
      </c>
      <c r="J790" s="22">
        <f>[1]SUMMARY!N791</f>
        <v>2850</v>
      </c>
      <c r="K790" s="23">
        <f t="shared" si="6"/>
        <v>0</v>
      </c>
      <c r="L790" s="8"/>
      <c r="M790" s="8"/>
    </row>
    <row r="791" spans="1:13" x14ac:dyDescent="0.2">
      <c r="A791" s="17" t="str">
        <f>[1]SUMMARY!A792</f>
        <v>215</v>
      </c>
      <c r="B791" s="17">
        <f>[1]SUMMARY!B792</f>
        <v>60</v>
      </c>
      <c r="C791" s="17">
        <f>[1]SUMMARY!C792</f>
        <v>16</v>
      </c>
      <c r="D791" s="25" t="str">
        <f>[1]SUMMARY!D792</f>
        <v>FORCEUM (INDO)</v>
      </c>
      <c r="E791" s="25" t="str">
        <f>[1]SUMMARY!E792</f>
        <v>OCTA</v>
      </c>
      <c r="F791" s="20"/>
      <c r="G791" s="20">
        <v>8</v>
      </c>
      <c r="H791" s="20">
        <v>8</v>
      </c>
      <c r="I791" s="21">
        <f t="shared" si="8"/>
        <v>0</v>
      </c>
      <c r="J791" s="22">
        <f>[1]SUMMARY!N792</f>
        <v>3168.4</v>
      </c>
      <c r="K791" s="23">
        <f t="shared" si="6"/>
        <v>0</v>
      </c>
      <c r="L791" s="8"/>
      <c r="M791" s="8"/>
    </row>
    <row r="792" spans="1:13" x14ac:dyDescent="0.2">
      <c r="A792" s="17" t="str">
        <f>[1]SUMMARY!A793</f>
        <v>215</v>
      </c>
      <c r="B792" s="17">
        <f>[1]SUMMARY!B793</f>
        <v>70</v>
      </c>
      <c r="C792" s="17">
        <f>[1]SUMMARY!C793</f>
        <v>16</v>
      </c>
      <c r="D792" s="25" t="str">
        <f>[1]SUMMARY!D793</f>
        <v>FORCEUM (INDO)</v>
      </c>
      <c r="E792" s="25" t="str">
        <f>[1]SUMMARY!E793</f>
        <v>HEPTAGON HT</v>
      </c>
      <c r="F792" s="20"/>
      <c r="G792" s="20">
        <v>16</v>
      </c>
      <c r="H792" s="20">
        <v>16</v>
      </c>
      <c r="I792" s="21">
        <f t="shared" si="8"/>
        <v>0</v>
      </c>
      <c r="J792" s="22">
        <f>[1]SUMMARY!N793</f>
        <v>3698.03</v>
      </c>
      <c r="K792" s="23">
        <f t="shared" si="6"/>
        <v>0</v>
      </c>
      <c r="L792" s="8"/>
      <c r="M792" s="8"/>
    </row>
    <row r="793" spans="1:13" x14ac:dyDescent="0.2">
      <c r="A793" s="17" t="str">
        <f>[1]SUMMARY!A794</f>
        <v>265</v>
      </c>
      <c r="B793" s="17">
        <f>[1]SUMMARY!B794</f>
        <v>70</v>
      </c>
      <c r="C793" s="17">
        <f>[1]SUMMARY!C794</f>
        <v>16</v>
      </c>
      <c r="D793" s="25" t="str">
        <f>[1]SUMMARY!D794</f>
        <v>FORCEUM (INDO)</v>
      </c>
      <c r="E793" s="25" t="str">
        <f>[1]SUMMARY!E794</f>
        <v>XL PENTA</v>
      </c>
      <c r="F793" s="20"/>
      <c r="G793" s="20">
        <v>15</v>
      </c>
      <c r="H793" s="20">
        <v>15</v>
      </c>
      <c r="I793" s="21">
        <f t="shared" si="8"/>
        <v>0</v>
      </c>
      <c r="J793" s="22">
        <f>[1]SUMMARY!N794</f>
        <v>4980</v>
      </c>
      <c r="K793" s="23">
        <f t="shared" si="6"/>
        <v>0</v>
      </c>
      <c r="L793" s="8"/>
      <c r="M793" s="8"/>
    </row>
    <row r="794" spans="1:13" x14ac:dyDescent="0.2">
      <c r="A794" s="27" t="str">
        <f>[1]SUMMARY!A795</f>
        <v>265</v>
      </c>
      <c r="B794" s="17">
        <f>[1]SUMMARY!B795</f>
        <v>75</v>
      </c>
      <c r="C794" s="17">
        <f>[1]SUMMARY!C795</f>
        <v>16</v>
      </c>
      <c r="D794" s="25" t="str">
        <f>[1]SUMMARY!D795</f>
        <v>FORCEUM (INDO)</v>
      </c>
      <c r="E794" s="25" t="str">
        <f>[1]SUMMARY!E795</f>
        <v>MT-08 PLUS 10</v>
      </c>
      <c r="F794" s="20"/>
      <c r="G794" s="20"/>
      <c r="H794" s="20"/>
      <c r="I794" s="21">
        <f t="shared" si="8"/>
        <v>0</v>
      </c>
      <c r="J794" s="22">
        <f>[1]SUMMARY!N795</f>
        <v>5025.51</v>
      </c>
      <c r="K794" s="23">
        <f t="shared" si="6"/>
        <v>0</v>
      </c>
      <c r="L794" s="8"/>
      <c r="M794" s="8"/>
    </row>
    <row r="795" spans="1:13" x14ac:dyDescent="0.2">
      <c r="A795" s="17" t="str">
        <f>[1]SUMMARY!A796</f>
        <v>205</v>
      </c>
      <c r="B795" s="17">
        <f>[1]SUMMARY!B796</f>
        <v>40</v>
      </c>
      <c r="C795" s="17">
        <f>[1]SUMMARY!C796</f>
        <v>17</v>
      </c>
      <c r="D795" s="25" t="str">
        <f>[1]SUMMARY!D796</f>
        <v>FORCEUM (INDO)</v>
      </c>
      <c r="E795" s="25" t="str">
        <f>[1]SUMMARY!E796</f>
        <v>HENA</v>
      </c>
      <c r="F795" s="20"/>
      <c r="G795" s="20">
        <v>4</v>
      </c>
      <c r="H795" s="20">
        <v>4</v>
      </c>
      <c r="I795" s="21">
        <f t="shared" si="8"/>
        <v>0</v>
      </c>
      <c r="J795" s="22">
        <f>[1]SUMMARY!N796</f>
        <v>2900</v>
      </c>
      <c r="K795" s="23">
        <f t="shared" si="6"/>
        <v>0</v>
      </c>
      <c r="L795" s="8"/>
      <c r="M795" s="8"/>
    </row>
    <row r="796" spans="1:13" x14ac:dyDescent="0.2">
      <c r="A796" s="17" t="str">
        <f>[1]SUMMARY!A797</f>
        <v>205</v>
      </c>
      <c r="B796" s="17">
        <f>[1]SUMMARY!B797</f>
        <v>45</v>
      </c>
      <c r="C796" s="17">
        <f>[1]SUMMARY!C797</f>
        <v>17</v>
      </c>
      <c r="D796" s="25" t="str">
        <f>[1]SUMMARY!D797</f>
        <v>FORCEUM (INDO)</v>
      </c>
      <c r="E796" s="25" t="str">
        <f>[1]SUMMARY!E797</f>
        <v>OCTA</v>
      </c>
      <c r="F796" s="20"/>
      <c r="G796" s="20">
        <v>29</v>
      </c>
      <c r="H796" s="20">
        <v>29</v>
      </c>
      <c r="I796" s="21">
        <f t="shared" si="8"/>
        <v>0</v>
      </c>
      <c r="J796" s="22">
        <f>[1]SUMMARY!N797</f>
        <v>2770</v>
      </c>
      <c r="K796" s="23">
        <f t="shared" si="6"/>
        <v>0</v>
      </c>
      <c r="L796" s="8"/>
      <c r="M796" s="8"/>
    </row>
    <row r="797" spans="1:13" x14ac:dyDescent="0.2">
      <c r="A797" s="17" t="str">
        <f>[1]SUMMARY!A798</f>
        <v>215</v>
      </c>
      <c r="B797" s="17">
        <f>[1]SUMMARY!B798</f>
        <v>45</v>
      </c>
      <c r="C797" s="17">
        <f>[1]SUMMARY!C798</f>
        <v>17</v>
      </c>
      <c r="D797" s="25" t="str">
        <f>[1]SUMMARY!D798</f>
        <v>FORCEUM (INDO)</v>
      </c>
      <c r="E797" s="25" t="str">
        <f>[1]SUMMARY!E798</f>
        <v>HENA</v>
      </c>
      <c r="F797" s="20"/>
      <c r="G797" s="20">
        <v>24</v>
      </c>
      <c r="H797" s="20">
        <v>24</v>
      </c>
      <c r="I797" s="21">
        <f t="shared" si="8"/>
        <v>0</v>
      </c>
      <c r="J797" s="22">
        <f>[1]SUMMARY!N798</f>
        <v>3050</v>
      </c>
      <c r="K797" s="23">
        <f t="shared" si="6"/>
        <v>0</v>
      </c>
      <c r="L797" s="8"/>
      <c r="M797" s="8"/>
    </row>
    <row r="798" spans="1:13" x14ac:dyDescent="0.2">
      <c r="A798" s="17" t="str">
        <f>[1]SUMMARY!A799</f>
        <v>215</v>
      </c>
      <c r="B798" s="17">
        <f>[1]SUMMARY!B799</f>
        <v>50</v>
      </c>
      <c r="C798" s="17">
        <f>[1]SUMMARY!C799</f>
        <v>17</v>
      </c>
      <c r="D798" s="25" t="str">
        <f>[1]SUMMARY!D799</f>
        <v>FORCEUM (INDO)</v>
      </c>
      <c r="E798" s="25" t="str">
        <f>[1]SUMMARY!E799</f>
        <v>HENA</v>
      </c>
      <c r="F798" s="20"/>
      <c r="G798" s="20">
        <v>20</v>
      </c>
      <c r="H798" s="20">
        <v>20</v>
      </c>
      <c r="I798" s="21">
        <f t="shared" si="8"/>
        <v>0</v>
      </c>
      <c r="J798" s="22">
        <f>[1]SUMMARY!N799</f>
        <v>3640</v>
      </c>
      <c r="K798" s="23">
        <f t="shared" si="6"/>
        <v>0</v>
      </c>
      <c r="L798" s="8"/>
      <c r="M798" s="8"/>
    </row>
    <row r="799" spans="1:13" x14ac:dyDescent="0.2">
      <c r="A799" s="17" t="str">
        <f>[1]SUMMARY!A800</f>
        <v>215</v>
      </c>
      <c r="B799" s="17">
        <f>[1]SUMMARY!B800</f>
        <v>55</v>
      </c>
      <c r="C799" s="17">
        <f>[1]SUMMARY!C800</f>
        <v>17</v>
      </c>
      <c r="D799" s="25" t="str">
        <f>[1]SUMMARY!D800</f>
        <v>FORCEUM (INDO)</v>
      </c>
      <c r="E799" s="25" t="str">
        <f>[1]SUMMARY!E800</f>
        <v>OCTA</v>
      </c>
      <c r="F799" s="20"/>
      <c r="G799" s="20">
        <v>23</v>
      </c>
      <c r="H799" s="20">
        <v>23</v>
      </c>
      <c r="I799" s="21">
        <f t="shared" si="8"/>
        <v>0</v>
      </c>
      <c r="J799" s="22">
        <f>[1]SUMMARY!N800</f>
        <v>3320</v>
      </c>
      <c r="K799" s="23">
        <f t="shared" ref="K799:K1053" si="9">J799*I799</f>
        <v>0</v>
      </c>
      <c r="L799" s="8"/>
      <c r="M799" s="8"/>
    </row>
    <row r="800" spans="1:13" x14ac:dyDescent="0.2">
      <c r="A800" s="17" t="str">
        <f>[1]SUMMARY!A801</f>
        <v>225</v>
      </c>
      <c r="B800" s="17">
        <f>[1]SUMMARY!B801</f>
        <v>55</v>
      </c>
      <c r="C800" s="17">
        <f>[1]SUMMARY!C801</f>
        <v>17</v>
      </c>
      <c r="D800" s="25" t="str">
        <f>[1]SUMMARY!D801</f>
        <v>FORCEUM (INDO)</v>
      </c>
      <c r="E800" s="25" t="str">
        <f>[1]SUMMARY!E801</f>
        <v>XL OCTA</v>
      </c>
      <c r="F800" s="20"/>
      <c r="G800" s="20">
        <v>13</v>
      </c>
      <c r="H800" s="20">
        <v>13</v>
      </c>
      <c r="I800" s="21">
        <f t="shared" si="8"/>
        <v>0</v>
      </c>
      <c r="J800" s="22">
        <f>[1]SUMMARY!N801</f>
        <v>3900</v>
      </c>
      <c r="K800" s="23">
        <f t="shared" si="9"/>
        <v>0</v>
      </c>
      <c r="L800" s="8"/>
      <c r="M800" s="8"/>
    </row>
    <row r="801" spans="1:13" x14ac:dyDescent="0.2">
      <c r="A801" s="17" t="str">
        <f>[1]SUMMARY!A802</f>
        <v>215</v>
      </c>
      <c r="B801" s="17">
        <f>[1]SUMMARY!B802</f>
        <v>60</v>
      </c>
      <c r="C801" s="17">
        <f>[1]SUMMARY!C802</f>
        <v>17</v>
      </c>
      <c r="D801" s="25" t="str">
        <f>[1]SUMMARY!D802</f>
        <v>FORCEUM (INDO)</v>
      </c>
      <c r="E801" s="25" t="str">
        <f>[1]SUMMARY!E802</f>
        <v>HEPTAGON</v>
      </c>
      <c r="F801" s="20"/>
      <c r="G801" s="20">
        <v>4</v>
      </c>
      <c r="H801" s="20">
        <v>4</v>
      </c>
      <c r="I801" s="21">
        <f t="shared" si="8"/>
        <v>0</v>
      </c>
      <c r="J801" s="22">
        <f>[1]SUMMARY!N802</f>
        <v>4520</v>
      </c>
      <c r="K801" s="23">
        <f t="shared" si="9"/>
        <v>0</v>
      </c>
      <c r="L801" s="8"/>
      <c r="M801" s="8"/>
    </row>
    <row r="802" spans="1:13" x14ac:dyDescent="0.2">
      <c r="A802" s="17" t="str">
        <f>[1]SUMMARY!A803</f>
        <v>225</v>
      </c>
      <c r="B802" s="17">
        <f>[1]SUMMARY!B803</f>
        <v>65</v>
      </c>
      <c r="C802" s="17">
        <f>[1]SUMMARY!C803</f>
        <v>17</v>
      </c>
      <c r="D802" s="25" t="str">
        <f>[1]SUMMARY!D803</f>
        <v>FORCEUM (INDO)</v>
      </c>
      <c r="E802" s="25" t="str">
        <f>[1]SUMMARY!E803</f>
        <v>XL PENTA</v>
      </c>
      <c r="F802" s="20"/>
      <c r="G802" s="20">
        <v>6</v>
      </c>
      <c r="H802" s="20">
        <v>6</v>
      </c>
      <c r="I802" s="21">
        <f t="shared" si="8"/>
        <v>0</v>
      </c>
      <c r="J802" s="22">
        <f>[1]SUMMARY!N803</f>
        <v>4650</v>
      </c>
      <c r="K802" s="23">
        <f t="shared" si="9"/>
        <v>0</v>
      </c>
      <c r="L802" s="8"/>
      <c r="M802" s="8"/>
    </row>
    <row r="803" spans="1:13" x14ac:dyDescent="0.2">
      <c r="A803" s="17" t="str">
        <f>[1]SUMMARY!A804</f>
        <v>265</v>
      </c>
      <c r="B803" s="17">
        <f>[1]SUMMARY!B804</f>
        <v>65</v>
      </c>
      <c r="C803" s="17">
        <f>[1]SUMMARY!C804</f>
        <v>17</v>
      </c>
      <c r="D803" s="25" t="str">
        <f>[1]SUMMARY!D804</f>
        <v>FORCEUM (INDO)</v>
      </c>
      <c r="E803" s="25" t="str">
        <f>[1]SUMMARY!E804</f>
        <v>112T ATZ-R</v>
      </c>
      <c r="F803" s="20"/>
      <c r="G803" s="20">
        <v>4</v>
      </c>
      <c r="H803" s="20">
        <v>4</v>
      </c>
      <c r="I803" s="21">
        <f t="shared" si="8"/>
        <v>0</v>
      </c>
      <c r="J803" s="22">
        <f>[1]SUMMARY!N804</f>
        <v>6730</v>
      </c>
      <c r="K803" s="23">
        <f t="shared" si="9"/>
        <v>0</v>
      </c>
      <c r="L803" s="8"/>
      <c r="M803" s="8"/>
    </row>
    <row r="804" spans="1:13" x14ac:dyDescent="0.2">
      <c r="A804" s="17" t="str">
        <f>[1]SUMMARY!A805</f>
        <v>265</v>
      </c>
      <c r="B804" s="17">
        <f>[1]SUMMARY!B805</f>
        <v>65</v>
      </c>
      <c r="C804" s="17">
        <f>[1]SUMMARY!C805</f>
        <v>17</v>
      </c>
      <c r="D804" s="25" t="str">
        <f>[1]SUMMARY!D805</f>
        <v>FORCEUM (INDO)</v>
      </c>
      <c r="E804" s="25" t="str">
        <f>[1]SUMMARY!E805</f>
        <v>PENTA</v>
      </c>
      <c r="F804" s="20"/>
      <c r="G804" s="20">
        <v>16</v>
      </c>
      <c r="H804" s="20">
        <v>16</v>
      </c>
      <c r="I804" s="21">
        <f t="shared" si="8"/>
        <v>0</v>
      </c>
      <c r="J804" s="22">
        <f>[1]SUMMARY!N805</f>
        <v>5070</v>
      </c>
      <c r="K804" s="23">
        <f t="shared" si="9"/>
        <v>0</v>
      </c>
      <c r="L804" s="8"/>
      <c r="M804" s="8"/>
    </row>
    <row r="805" spans="1:13" x14ac:dyDescent="0.2">
      <c r="A805" s="27" t="str">
        <f>[1]SUMMARY!A806</f>
        <v>265</v>
      </c>
      <c r="B805" s="17">
        <f>[1]SUMMARY!B806</f>
        <v>70</v>
      </c>
      <c r="C805" s="17">
        <f>[1]SUMMARY!C806</f>
        <v>17</v>
      </c>
      <c r="D805" s="25" t="str">
        <f>[1]SUMMARY!D806</f>
        <v>FORCEUM (INDO)</v>
      </c>
      <c r="E805" s="25" t="str">
        <f>[1]SUMMARY!E806</f>
        <v>MT-08</v>
      </c>
      <c r="F805" s="20"/>
      <c r="G805" s="20"/>
      <c r="H805" s="20"/>
      <c r="I805" s="21">
        <f t="shared" si="8"/>
        <v>0</v>
      </c>
      <c r="J805" s="22">
        <f>[1]SUMMARY!N806</f>
        <v>7729.41</v>
      </c>
      <c r="K805" s="23">
        <f t="shared" si="9"/>
        <v>0</v>
      </c>
      <c r="L805" s="8"/>
      <c r="M805" s="8"/>
    </row>
    <row r="806" spans="1:13" x14ac:dyDescent="0.2">
      <c r="A806" s="17" t="str">
        <f>[1]SUMMARY!A807</f>
        <v>225</v>
      </c>
      <c r="B806" s="17">
        <f>[1]SUMMARY!B807</f>
        <v>40</v>
      </c>
      <c r="C806" s="17">
        <f>[1]SUMMARY!C807</f>
        <v>18</v>
      </c>
      <c r="D806" s="25" t="str">
        <f>[1]SUMMARY!D807</f>
        <v>FORCEUM (INDO)</v>
      </c>
      <c r="E806" s="25" t="str">
        <f>[1]SUMMARY!E807</f>
        <v>OCTA</v>
      </c>
      <c r="F806" s="20"/>
      <c r="G806" s="20">
        <v>22</v>
      </c>
      <c r="H806" s="20">
        <v>22</v>
      </c>
      <c r="I806" s="21">
        <f t="shared" si="8"/>
        <v>0</v>
      </c>
      <c r="J806" s="22">
        <f>[1]SUMMARY!N807</f>
        <v>3650</v>
      </c>
      <c r="K806" s="23">
        <f t="shared" si="9"/>
        <v>0</v>
      </c>
      <c r="L806" s="8"/>
      <c r="M806" s="8"/>
    </row>
    <row r="807" spans="1:13" x14ac:dyDescent="0.2">
      <c r="A807" s="17" t="str">
        <f>[1]SUMMARY!A808</f>
        <v>235</v>
      </c>
      <c r="B807" s="17">
        <f>[1]SUMMARY!B808</f>
        <v>40</v>
      </c>
      <c r="C807" s="17">
        <f>[1]SUMMARY!C808</f>
        <v>18</v>
      </c>
      <c r="D807" s="25" t="str">
        <f>[1]SUMMARY!D808</f>
        <v>FORCEUM (INDO)</v>
      </c>
      <c r="E807" s="25" t="str">
        <f>[1]SUMMARY!E808</f>
        <v>HEXA-R</v>
      </c>
      <c r="F807" s="20"/>
      <c r="G807" s="20">
        <v>4</v>
      </c>
      <c r="H807" s="20">
        <v>4</v>
      </c>
      <c r="I807" s="21">
        <f t="shared" si="8"/>
        <v>0</v>
      </c>
      <c r="J807" s="22">
        <f>[1]SUMMARY!N808</f>
        <v>3630</v>
      </c>
      <c r="K807" s="23">
        <f t="shared" si="9"/>
        <v>0</v>
      </c>
      <c r="L807" s="8"/>
      <c r="M807" s="8"/>
    </row>
    <row r="808" spans="1:13" x14ac:dyDescent="0.2">
      <c r="A808" s="17" t="str">
        <f>[1]SUMMARY!A809</f>
        <v>235</v>
      </c>
      <c r="B808" s="17">
        <f>[1]SUMMARY!B809</f>
        <v>50</v>
      </c>
      <c r="C808" s="17">
        <f>[1]SUMMARY!C809</f>
        <v>18</v>
      </c>
      <c r="D808" s="25" t="str">
        <f>[1]SUMMARY!D809</f>
        <v>FORCEUM (INDO)</v>
      </c>
      <c r="E808" s="25" t="str">
        <f>[1]SUMMARY!E809</f>
        <v>OCTA</v>
      </c>
      <c r="F808" s="20"/>
      <c r="G808" s="20">
        <v>10</v>
      </c>
      <c r="H808" s="20">
        <v>10</v>
      </c>
      <c r="I808" s="21">
        <f t="shared" si="8"/>
        <v>0</v>
      </c>
      <c r="J808" s="22">
        <f>[1]SUMMARY!N809</f>
        <v>3810</v>
      </c>
      <c r="K808" s="23">
        <f t="shared" si="9"/>
        <v>0</v>
      </c>
      <c r="L808" s="8"/>
      <c r="M808" s="8"/>
    </row>
    <row r="809" spans="1:13" x14ac:dyDescent="0.2">
      <c r="A809" s="17" t="str">
        <f>[1]SUMMARY!A810</f>
        <v>235</v>
      </c>
      <c r="B809" s="17">
        <f>[1]SUMMARY!B810</f>
        <v>55</v>
      </c>
      <c r="C809" s="17">
        <f>[1]SUMMARY!C810</f>
        <v>18</v>
      </c>
      <c r="D809" s="25" t="str">
        <f>[1]SUMMARY!D810</f>
        <v>FORCEUM (INDO)</v>
      </c>
      <c r="E809" s="25" t="str">
        <f>[1]SUMMARY!E810</f>
        <v>HEPTAGON</v>
      </c>
      <c r="F809" s="20"/>
      <c r="G809" s="20">
        <v>6</v>
      </c>
      <c r="H809" s="20">
        <v>6</v>
      </c>
      <c r="I809" s="21">
        <f t="shared" si="8"/>
        <v>0</v>
      </c>
      <c r="J809" s="22">
        <f>[1]SUMMARY!N810</f>
        <v>5099.09</v>
      </c>
      <c r="K809" s="23">
        <f t="shared" si="9"/>
        <v>0</v>
      </c>
      <c r="L809" s="8"/>
      <c r="M809" s="8"/>
    </row>
    <row r="810" spans="1:13" x14ac:dyDescent="0.2">
      <c r="A810" s="17" t="str">
        <f>[1]SUMMARY!A811</f>
        <v>235</v>
      </c>
      <c r="B810" s="17">
        <f>[1]SUMMARY!B811</f>
        <v>60</v>
      </c>
      <c r="C810" s="17">
        <f>[1]SUMMARY!C811</f>
        <v>18</v>
      </c>
      <c r="D810" s="25" t="str">
        <f>[1]SUMMARY!D811</f>
        <v>FORCEUM (INDO)</v>
      </c>
      <c r="E810" s="25" t="str">
        <f>[1]SUMMARY!E811</f>
        <v>PENTA</v>
      </c>
      <c r="F810" s="20"/>
      <c r="G810" s="20">
        <v>12</v>
      </c>
      <c r="H810" s="20">
        <v>12</v>
      </c>
      <c r="I810" s="21">
        <f t="shared" si="8"/>
        <v>0</v>
      </c>
      <c r="J810" s="22">
        <f>[1]SUMMARY!N811</f>
        <v>5340</v>
      </c>
      <c r="K810" s="23">
        <f t="shared" si="9"/>
        <v>0</v>
      </c>
      <c r="L810" s="8"/>
      <c r="M810" s="8"/>
    </row>
    <row r="811" spans="1:13" x14ac:dyDescent="0.2">
      <c r="A811" s="17" t="str">
        <f>[1]SUMMARY!A812</f>
        <v>265</v>
      </c>
      <c r="B811" s="17">
        <f>[1]SUMMARY!B812</f>
        <v>60</v>
      </c>
      <c r="C811" s="17">
        <f>[1]SUMMARY!C812</f>
        <v>18</v>
      </c>
      <c r="D811" s="25" t="str">
        <f>[1]SUMMARY!D812</f>
        <v>FORCEUM (INDO)</v>
      </c>
      <c r="E811" s="25" t="str">
        <f>[1]SUMMARY!E812</f>
        <v>PENTA</v>
      </c>
      <c r="F811" s="20"/>
      <c r="G811" s="20">
        <v>18</v>
      </c>
      <c r="H811" s="20">
        <v>18</v>
      </c>
      <c r="I811" s="21">
        <f t="shared" si="8"/>
        <v>0</v>
      </c>
      <c r="J811" s="22">
        <f>[1]SUMMARY!N812</f>
        <v>6070</v>
      </c>
      <c r="K811" s="23">
        <f t="shared" si="9"/>
        <v>0</v>
      </c>
      <c r="L811" s="8"/>
      <c r="M811" s="8"/>
    </row>
    <row r="812" spans="1:13" x14ac:dyDescent="0.2">
      <c r="A812" s="17" t="str">
        <f>[1]SUMMARY!A813</f>
        <v>265</v>
      </c>
      <c r="B812" s="17">
        <f>[1]SUMMARY!B813</f>
        <v>60</v>
      </c>
      <c r="C812" s="17">
        <f>[1]SUMMARY!C813</f>
        <v>18</v>
      </c>
      <c r="D812" s="25" t="str">
        <f>[1]SUMMARY!D813</f>
        <v>FORCEUM (INDO)</v>
      </c>
      <c r="E812" s="25" t="str">
        <f>[1]SUMMARY!E813</f>
        <v>110H ATZ-R</v>
      </c>
      <c r="F812" s="20"/>
      <c r="G812" s="20">
        <v>12</v>
      </c>
      <c r="H812" s="20">
        <v>12</v>
      </c>
      <c r="I812" s="21">
        <f t="shared" si="8"/>
        <v>0</v>
      </c>
      <c r="J812" s="22">
        <f>[1]SUMMARY!N813</f>
        <v>7660.57</v>
      </c>
      <c r="K812" s="23">
        <f t="shared" si="9"/>
        <v>0</v>
      </c>
      <c r="L812" s="8"/>
      <c r="M812" s="8"/>
    </row>
    <row r="813" spans="1:13" x14ac:dyDescent="0.2">
      <c r="A813" s="17" t="str">
        <f>[1]SUMMARY!A814</f>
        <v>265</v>
      </c>
      <c r="B813" s="17">
        <f>[1]SUMMARY!B814</f>
        <v>50</v>
      </c>
      <c r="C813" s="17">
        <f>[1]SUMMARY!C814</f>
        <v>20</v>
      </c>
      <c r="D813" s="25" t="str">
        <f>[1]SUMMARY!D814</f>
        <v>FORCEUM (INDO)</v>
      </c>
      <c r="E813" s="25" t="str">
        <f>[1]SUMMARY!E814</f>
        <v>PENTA</v>
      </c>
      <c r="F813" s="20"/>
      <c r="G813" s="20">
        <v>48</v>
      </c>
      <c r="H813" s="20">
        <v>48</v>
      </c>
      <c r="I813" s="21">
        <f t="shared" si="8"/>
        <v>0</v>
      </c>
      <c r="J813" s="22">
        <f>[1]SUMMARY!N814</f>
        <v>5561.71</v>
      </c>
      <c r="K813" s="23">
        <f t="shared" si="9"/>
        <v>0</v>
      </c>
      <c r="L813" s="8"/>
      <c r="M813" s="8"/>
    </row>
    <row r="814" spans="1:13" x14ac:dyDescent="0.2">
      <c r="A814" s="17" t="str">
        <f>[1]SUMMARY!A815</f>
        <v>275</v>
      </c>
      <c r="B814" s="17">
        <f>[1]SUMMARY!B815</f>
        <v>55</v>
      </c>
      <c r="C814" s="17">
        <f>[1]SUMMARY!C815</f>
        <v>20</v>
      </c>
      <c r="D814" s="25" t="str">
        <f>[1]SUMMARY!D815</f>
        <v>FORCEUM (INDO)</v>
      </c>
      <c r="E814" s="25" t="str">
        <f>[1]SUMMARY!E815</f>
        <v>PENTA</v>
      </c>
      <c r="F814" s="20"/>
      <c r="G814" s="20">
        <v>5</v>
      </c>
      <c r="H814" s="20">
        <v>5</v>
      </c>
      <c r="I814" s="21">
        <f t="shared" si="8"/>
        <v>0</v>
      </c>
      <c r="J814" s="22">
        <f>[1]SUMMARY!N815</f>
        <v>6300</v>
      </c>
      <c r="K814" s="23">
        <f t="shared" si="9"/>
        <v>0</v>
      </c>
      <c r="L814" s="28">
        <f>SUM(K763:K814)</f>
        <v>3600</v>
      </c>
      <c r="M814" s="29" t="s">
        <v>35</v>
      </c>
    </row>
    <row r="815" spans="1:13" x14ac:dyDescent="0.2">
      <c r="A815" s="17" t="str">
        <f>[1]SUMMARY!A816</f>
        <v>155</v>
      </c>
      <c r="B815" s="17">
        <f>[1]SUMMARY!B816</f>
        <v>0</v>
      </c>
      <c r="C815" s="17">
        <f>[1]SUMMARY!C816</f>
        <v>12</v>
      </c>
      <c r="D815" s="25" t="str">
        <f>[1]SUMMARY!D816</f>
        <v xml:space="preserve">GAJAH TUNGGAL </v>
      </c>
      <c r="E815" s="25" t="str">
        <f>[1]SUMMARY!E816</f>
        <v>MAXMILER PRO</v>
      </c>
      <c r="F815" s="20"/>
      <c r="G815" s="20"/>
      <c r="H815" s="20"/>
      <c r="I815" s="21">
        <f t="shared" si="8"/>
        <v>0</v>
      </c>
      <c r="J815" s="22">
        <f>[1]SUMMARY!N816</f>
        <v>2700</v>
      </c>
      <c r="K815" s="23">
        <f t="shared" si="9"/>
        <v>0</v>
      </c>
      <c r="L815" s="8"/>
      <c r="M815" s="8"/>
    </row>
    <row r="816" spans="1:13" x14ac:dyDescent="0.2">
      <c r="A816" s="17" t="str">
        <f>[1]SUMMARY!A817</f>
        <v>175</v>
      </c>
      <c r="B816" s="17">
        <f>[1]SUMMARY!B817</f>
        <v>0</v>
      </c>
      <c r="C816" s="17">
        <f>[1]SUMMARY!C817</f>
        <v>13</v>
      </c>
      <c r="D816" s="25" t="str">
        <f>[1]SUMMARY!D817</f>
        <v xml:space="preserve">GAJAH TUNGGAL </v>
      </c>
      <c r="E816" s="25" t="str">
        <f>[1]SUMMARY!E817</f>
        <v>MAXMILLER</v>
      </c>
      <c r="F816" s="20"/>
      <c r="G816" s="20"/>
      <c r="H816" s="20"/>
      <c r="I816" s="21">
        <f t="shared" si="8"/>
        <v>0</v>
      </c>
      <c r="J816" s="22">
        <f>[1]SUMMARY!N817</f>
        <v>3500</v>
      </c>
      <c r="K816" s="23">
        <f t="shared" si="9"/>
        <v>0</v>
      </c>
      <c r="L816" s="8"/>
      <c r="M816" s="8"/>
    </row>
    <row r="817" spans="1:13" x14ac:dyDescent="0.2">
      <c r="A817" s="17" t="str">
        <f>[1]SUMMARY!A818</f>
        <v>175</v>
      </c>
      <c r="B817" s="17">
        <f>[1]SUMMARY!B818</f>
        <v>0</v>
      </c>
      <c r="C817" s="17">
        <f>[1]SUMMARY!C818</f>
        <v>14</v>
      </c>
      <c r="D817" s="25" t="str">
        <f>[1]SUMMARY!D818</f>
        <v xml:space="preserve">GAJAH TUNGGAL </v>
      </c>
      <c r="E817" s="25" t="str">
        <f>[1]SUMMARY!E818</f>
        <v>MAXMILLER PRO</v>
      </c>
      <c r="F817" s="20"/>
      <c r="G817" s="20">
        <v>42</v>
      </c>
      <c r="H817" s="20">
        <v>42</v>
      </c>
      <c r="I817" s="21">
        <f t="shared" si="8"/>
        <v>0</v>
      </c>
      <c r="J817" s="22">
        <f>[1]SUMMARY!N818</f>
        <v>3420</v>
      </c>
      <c r="K817" s="23">
        <f t="shared" si="9"/>
        <v>0</v>
      </c>
      <c r="L817" s="8"/>
      <c r="M817" s="8"/>
    </row>
    <row r="818" spans="1:13" x14ac:dyDescent="0.2">
      <c r="A818" s="17" t="str">
        <f>[1]SUMMARY!A819</f>
        <v>195</v>
      </c>
      <c r="B818" s="17">
        <f>[1]SUMMARY!B819</f>
        <v>0</v>
      </c>
      <c r="C818" s="17" t="str">
        <f>[1]SUMMARY!C819</f>
        <v>14C</v>
      </c>
      <c r="D818" s="25" t="str">
        <f>[1]SUMMARY!D819</f>
        <v xml:space="preserve">GAJAH TUNGGAL </v>
      </c>
      <c r="E818" s="25" t="str">
        <f>[1]SUMMARY!E819</f>
        <v>MAXMILER PRO</v>
      </c>
      <c r="F818" s="20"/>
      <c r="G818" s="20"/>
      <c r="H818" s="20"/>
      <c r="I818" s="21">
        <f t="shared" si="8"/>
        <v>0</v>
      </c>
      <c r="J818" s="22">
        <f>[1]SUMMARY!N819</f>
        <v>4100</v>
      </c>
      <c r="K818" s="23">
        <f t="shared" si="9"/>
        <v>0</v>
      </c>
      <c r="L818" s="8"/>
      <c r="M818" s="8"/>
    </row>
    <row r="819" spans="1:13" x14ac:dyDescent="0.2">
      <c r="A819" s="17" t="str">
        <f>[1]SUMMARY!A820</f>
        <v>31</v>
      </c>
      <c r="B819" s="17">
        <f>[1]SUMMARY!B820</f>
        <v>10.5</v>
      </c>
      <c r="C819" s="17">
        <f>[1]SUMMARY!C820</f>
        <v>15</v>
      </c>
      <c r="D819" s="25" t="str">
        <f>[1]SUMMARY!D820</f>
        <v xml:space="preserve">GAJAH TUNGGAL </v>
      </c>
      <c r="E819" s="25" t="str">
        <f>[1]SUMMARY!E820</f>
        <v>SAVERO AT PLUS</v>
      </c>
      <c r="F819" s="20"/>
      <c r="G819" s="20"/>
      <c r="H819" s="20"/>
      <c r="I819" s="21">
        <f t="shared" si="8"/>
        <v>0</v>
      </c>
      <c r="J819" s="22">
        <f>[1]SUMMARY!N820</f>
        <v>6424</v>
      </c>
      <c r="K819" s="23">
        <f t="shared" si="9"/>
        <v>0</v>
      </c>
      <c r="L819" s="8"/>
      <c r="M819" s="8"/>
    </row>
    <row r="820" spans="1:13" x14ac:dyDescent="0.2">
      <c r="A820" s="17" t="str">
        <f>[1]SUMMARY!A821</f>
        <v>225</v>
      </c>
      <c r="B820" s="17">
        <f>[1]SUMMARY!B821</f>
        <v>70</v>
      </c>
      <c r="C820" s="17">
        <f>[1]SUMMARY!C821</f>
        <v>15</v>
      </c>
      <c r="D820" s="25" t="str">
        <f>[1]SUMMARY!D821</f>
        <v xml:space="preserve">GAJAH TUNGGAL </v>
      </c>
      <c r="E820" s="25" t="str">
        <f>[1]SUMMARY!E821</f>
        <v>MAXMILER  PRO</v>
      </c>
      <c r="F820" s="20"/>
      <c r="G820" s="20"/>
      <c r="H820" s="20"/>
      <c r="I820" s="21">
        <f t="shared" si="8"/>
        <v>0</v>
      </c>
      <c r="J820" s="22">
        <f>[1]SUMMARY!N821</f>
        <v>5415</v>
      </c>
      <c r="K820" s="23">
        <f t="shared" si="9"/>
        <v>0</v>
      </c>
      <c r="L820" s="8"/>
      <c r="M820" s="8"/>
    </row>
    <row r="821" spans="1:13" x14ac:dyDescent="0.2">
      <c r="A821" s="27" t="str">
        <f>[1]SUMMARY!A822</f>
        <v>205</v>
      </c>
      <c r="B821" s="17">
        <f>[1]SUMMARY!B822</f>
        <v>45</v>
      </c>
      <c r="C821" s="17">
        <f>[1]SUMMARY!C822</f>
        <v>16</v>
      </c>
      <c r="D821" s="25" t="str">
        <f>[1]SUMMARY!D822</f>
        <v xml:space="preserve">GAJAH TUNGGAL </v>
      </c>
      <c r="E821" s="25" t="str">
        <f>[1]SUMMARY!E822</f>
        <v>CHAMPIRO HPX</v>
      </c>
      <c r="F821" s="20"/>
      <c r="G821" s="20"/>
      <c r="H821" s="20"/>
      <c r="I821" s="21">
        <f t="shared" si="8"/>
        <v>0</v>
      </c>
      <c r="J821" s="22">
        <f>[1]SUMMARY!N822</f>
        <v>3720</v>
      </c>
      <c r="K821" s="23">
        <f t="shared" si="9"/>
        <v>0</v>
      </c>
      <c r="L821" s="8"/>
      <c r="M821" s="8"/>
    </row>
    <row r="822" spans="1:13" x14ac:dyDescent="0.2">
      <c r="A822" s="17" t="str">
        <f>[1]SUMMARY!A823</f>
        <v>215</v>
      </c>
      <c r="B822" s="17">
        <f>[1]SUMMARY!B823</f>
        <v>50</v>
      </c>
      <c r="C822" s="17">
        <f>[1]SUMMARY!C823</f>
        <v>16</v>
      </c>
      <c r="D822" s="25" t="str">
        <f>[1]SUMMARY!D823</f>
        <v xml:space="preserve">GAJAH TUNGGAL </v>
      </c>
      <c r="E822" s="25" t="str">
        <f>[1]SUMMARY!E823</f>
        <v>CHAMPIRO GTX PRO</v>
      </c>
      <c r="F822" s="20"/>
      <c r="G822" s="20"/>
      <c r="H822" s="20"/>
      <c r="I822" s="21">
        <f t="shared" si="8"/>
        <v>0</v>
      </c>
      <c r="J822" s="22">
        <f>[1]SUMMARY!N823</f>
        <v>3995</v>
      </c>
      <c r="K822" s="23">
        <f t="shared" si="9"/>
        <v>0</v>
      </c>
      <c r="L822" s="8"/>
      <c r="M822" s="8"/>
    </row>
    <row r="823" spans="1:13" x14ac:dyDescent="0.2">
      <c r="A823" s="17" t="str">
        <f>[1]SUMMARY!A824</f>
        <v>205</v>
      </c>
      <c r="B823" s="17">
        <f>[1]SUMMARY!B824</f>
        <v>50</v>
      </c>
      <c r="C823" s="17">
        <f>[1]SUMMARY!C824</f>
        <v>16</v>
      </c>
      <c r="D823" s="25" t="str">
        <f>[1]SUMMARY!D824</f>
        <v xml:space="preserve">GAJAH TUNGGAL </v>
      </c>
      <c r="E823" s="25" t="str">
        <f>[1]SUMMARY!E824</f>
        <v>GTX PRO</v>
      </c>
      <c r="F823" s="20"/>
      <c r="G823" s="20"/>
      <c r="H823" s="20"/>
      <c r="I823" s="21">
        <f t="shared" si="8"/>
        <v>0</v>
      </c>
      <c r="J823" s="22">
        <f>[1]SUMMARY!N824</f>
        <v>5000</v>
      </c>
      <c r="K823" s="23">
        <f t="shared" si="9"/>
        <v>0</v>
      </c>
      <c r="L823" s="8"/>
      <c r="M823" s="8"/>
    </row>
    <row r="824" spans="1:13" x14ac:dyDescent="0.2">
      <c r="A824" s="17" t="str">
        <f>[1]SUMMARY!A825</f>
        <v>215</v>
      </c>
      <c r="B824" s="17">
        <f>[1]SUMMARY!B825</f>
        <v>65</v>
      </c>
      <c r="C824" s="17">
        <f>[1]SUMMARY!C825</f>
        <v>16</v>
      </c>
      <c r="D824" s="25" t="str">
        <f>[1]SUMMARY!D825</f>
        <v xml:space="preserve">GAJAH TUNGGAL </v>
      </c>
      <c r="E824" s="25" t="str">
        <f>[1]SUMMARY!E825</f>
        <v>MAXIMILER PRO GT</v>
      </c>
      <c r="F824" s="20"/>
      <c r="G824" s="20"/>
      <c r="H824" s="20"/>
      <c r="I824" s="21">
        <f t="shared" si="8"/>
        <v>0</v>
      </c>
      <c r="J824" s="22">
        <f>[1]SUMMARY!N825</f>
        <v>5568</v>
      </c>
      <c r="K824" s="23">
        <f t="shared" si="9"/>
        <v>0</v>
      </c>
      <c r="L824" s="8"/>
      <c r="M824" s="8"/>
    </row>
    <row r="825" spans="1:13" x14ac:dyDescent="0.2">
      <c r="A825" s="17" t="str">
        <f>[1]SUMMARY!A826</f>
        <v>215</v>
      </c>
      <c r="B825" s="17">
        <f>[1]SUMMARY!B826</f>
        <v>70</v>
      </c>
      <c r="C825" s="17" t="str">
        <f>[1]SUMMARY!C826</f>
        <v>16C</v>
      </c>
      <c r="D825" s="25" t="str">
        <f>[1]SUMMARY!D826</f>
        <v xml:space="preserve">GAJAH TUNGGAL </v>
      </c>
      <c r="E825" s="25" t="str">
        <f>[1]SUMMARY!E826</f>
        <v>MAXMILER PRO</v>
      </c>
      <c r="F825" s="20"/>
      <c r="G825" s="20"/>
      <c r="H825" s="20"/>
      <c r="I825" s="21">
        <f t="shared" si="8"/>
        <v>0</v>
      </c>
      <c r="J825" s="22">
        <f>[1]SUMMARY!N826</f>
        <v>5000</v>
      </c>
      <c r="K825" s="23">
        <f t="shared" si="9"/>
        <v>0</v>
      </c>
      <c r="L825" s="8"/>
      <c r="M825" s="8"/>
    </row>
    <row r="826" spans="1:13" x14ac:dyDescent="0.2">
      <c r="A826" s="17">
        <f>[1]SUMMARY!A827</f>
        <v>275</v>
      </c>
      <c r="B826" s="17">
        <f>[1]SUMMARY!B827</f>
        <v>70</v>
      </c>
      <c r="C826" s="17">
        <f>[1]SUMMARY!C827</f>
        <v>16</v>
      </c>
      <c r="D826" s="25" t="str">
        <f>[1]SUMMARY!D827</f>
        <v xml:space="preserve">GAJAH TUNGGAL </v>
      </c>
      <c r="E826" s="25" t="str">
        <f>[1]SUMMARY!E827</f>
        <v>SAVERO AT PLUS</v>
      </c>
      <c r="F826" s="20"/>
      <c r="G826" s="20">
        <v>1</v>
      </c>
      <c r="H826" s="20">
        <v>1</v>
      </c>
      <c r="I826" s="21">
        <f t="shared" si="8"/>
        <v>0</v>
      </c>
      <c r="J826" s="22">
        <f>[1]SUMMARY!N827</f>
        <v>6030</v>
      </c>
      <c r="K826" s="23">
        <f t="shared" si="9"/>
        <v>0</v>
      </c>
      <c r="L826" s="8"/>
      <c r="M826" s="8"/>
    </row>
    <row r="827" spans="1:13" x14ac:dyDescent="0.2">
      <c r="A827" s="17" t="str">
        <f>[1]SUMMARY!A828</f>
        <v>225</v>
      </c>
      <c r="B827" s="17">
        <f>[1]SUMMARY!B828</f>
        <v>75</v>
      </c>
      <c r="C827" s="17">
        <f>[1]SUMMARY!C828</f>
        <v>16</v>
      </c>
      <c r="D827" s="25" t="str">
        <f>[1]SUMMARY!D828</f>
        <v xml:space="preserve">GAJAH TUNGGAL </v>
      </c>
      <c r="E827" s="25" t="str">
        <f>[1]SUMMARY!E828</f>
        <v>MAXMILER PRO</v>
      </c>
      <c r="F827" s="20"/>
      <c r="G827" s="20"/>
      <c r="H827" s="20"/>
      <c r="I827" s="21">
        <f t="shared" si="8"/>
        <v>0</v>
      </c>
      <c r="J827" s="22">
        <f>[1]SUMMARY!N828</f>
        <v>5310</v>
      </c>
      <c r="K827" s="23">
        <f t="shared" si="9"/>
        <v>0</v>
      </c>
      <c r="L827" s="35"/>
      <c r="M827" s="35"/>
    </row>
    <row r="828" spans="1:13" x14ac:dyDescent="0.2">
      <c r="A828" s="17" t="str">
        <f>[1]SUMMARY!A829</f>
        <v>265</v>
      </c>
      <c r="B828" s="17">
        <f>[1]SUMMARY!B829</f>
        <v>65</v>
      </c>
      <c r="C828" s="17">
        <f>[1]SUMMARY!C829</f>
        <v>17</v>
      </c>
      <c r="D828" s="25" t="str">
        <f>[1]SUMMARY!D829</f>
        <v xml:space="preserve">GAJAH TUNGGAL </v>
      </c>
      <c r="E828" s="25" t="str">
        <f>[1]SUMMARY!E829</f>
        <v>SAVERO AT PLUS</v>
      </c>
      <c r="F828" s="20"/>
      <c r="G828" s="20"/>
      <c r="H828" s="20"/>
      <c r="I828" s="21">
        <f t="shared" si="8"/>
        <v>0</v>
      </c>
      <c r="J828" s="22">
        <f>[1]SUMMARY!N829</f>
        <v>6655</v>
      </c>
      <c r="K828" s="23">
        <f t="shared" si="9"/>
        <v>0</v>
      </c>
    </row>
    <row r="829" spans="1:13" x14ac:dyDescent="0.2">
      <c r="A829" s="17" t="str">
        <f>[1]SUMMARY!A830</f>
        <v>245</v>
      </c>
      <c r="B829" s="17">
        <f>[1]SUMMARY!B830</f>
        <v>40</v>
      </c>
      <c r="C829" s="17">
        <f>[1]SUMMARY!C830</f>
        <v>18</v>
      </c>
      <c r="D829" s="25" t="str">
        <f>[1]SUMMARY!D830</f>
        <v xml:space="preserve">GAJAH TUNGGAL </v>
      </c>
      <c r="E829" s="25" t="str">
        <f>[1]SUMMARY!E830</f>
        <v>CHAMPIRO SX2</v>
      </c>
      <c r="F829" s="20"/>
      <c r="G829" s="20"/>
      <c r="H829" s="20"/>
      <c r="I829" s="21">
        <f t="shared" si="8"/>
        <v>0</v>
      </c>
      <c r="J829" s="22">
        <f>[1]SUMMARY!N830</f>
        <v>7010</v>
      </c>
      <c r="K829" s="23">
        <f t="shared" si="9"/>
        <v>0</v>
      </c>
      <c r="L829" s="28">
        <f>SUM(K815:K829)</f>
        <v>0</v>
      </c>
      <c r="M829" s="29" t="s">
        <v>36</v>
      </c>
    </row>
    <row r="830" spans="1:13" x14ac:dyDescent="0.2">
      <c r="A830" s="27" t="str">
        <f>[1]SUMMARY!A831</f>
        <v>215</v>
      </c>
      <c r="B830" s="17">
        <f>[1]SUMMARY!B831</f>
        <v>45</v>
      </c>
      <c r="C830" s="17">
        <f>[1]SUMMARY!C831</f>
        <v>17</v>
      </c>
      <c r="D830" s="25" t="str">
        <f>[1]SUMMARY!D831</f>
        <v>GOODRIDE</v>
      </c>
      <c r="E830" s="25" t="str">
        <f>[1]SUMMARY!E831</f>
        <v>SU308/SA57</v>
      </c>
      <c r="F830" s="20"/>
      <c r="G830" s="20"/>
      <c r="H830" s="20"/>
      <c r="I830" s="21">
        <f t="shared" si="8"/>
        <v>0</v>
      </c>
      <c r="J830" s="22">
        <f>[1]SUMMARY!N831</f>
        <v>2560</v>
      </c>
      <c r="K830" s="23">
        <f t="shared" si="9"/>
        <v>0</v>
      </c>
      <c r="L830" s="28">
        <f>SUM(K830)</f>
        <v>0</v>
      </c>
      <c r="M830" s="29" t="s">
        <v>37</v>
      </c>
    </row>
    <row r="831" spans="1:13" x14ac:dyDescent="0.2">
      <c r="A831" s="17" t="str">
        <f>[1]SUMMARY!A832</f>
        <v>155</v>
      </c>
      <c r="B831" s="17">
        <f>[1]SUMMARY!B832</f>
        <v>80</v>
      </c>
      <c r="C831" s="17">
        <f>[1]SUMMARY!C832</f>
        <v>12</v>
      </c>
      <c r="D831" s="25" t="str">
        <f>[1]SUMMARY!D832</f>
        <v>GOODYEAR</v>
      </c>
      <c r="E831" s="25" t="str">
        <f>[1]SUMMARY!E832</f>
        <v>DURAPLUS</v>
      </c>
      <c r="F831" s="20"/>
      <c r="G831" s="20">
        <v>20</v>
      </c>
      <c r="H831" s="20">
        <v>20</v>
      </c>
      <c r="I831" s="30">
        <f t="shared" si="8"/>
        <v>0</v>
      </c>
      <c r="J831" s="22">
        <f>[1]SUMMARY!N832</f>
        <v>2399.1999999999998</v>
      </c>
      <c r="K831" s="23">
        <f t="shared" si="9"/>
        <v>0</v>
      </c>
      <c r="L831" s="8"/>
      <c r="M831" s="8"/>
    </row>
    <row r="832" spans="1:13" x14ac:dyDescent="0.2">
      <c r="A832" s="17">
        <f>[1]SUMMARY!A833</f>
        <v>185</v>
      </c>
      <c r="B832" s="17">
        <f>[1]SUMMARY!B833</f>
        <v>70</v>
      </c>
      <c r="C832" s="17">
        <f>[1]SUMMARY!C833</f>
        <v>13</v>
      </c>
      <c r="D832" s="25" t="str">
        <f>[1]SUMMARY!D833</f>
        <v>GOODYEAR</v>
      </c>
      <c r="E832" s="25" t="str">
        <f>[1]SUMMARY!E832</f>
        <v>DURAPLUS</v>
      </c>
      <c r="F832" s="20"/>
      <c r="G832" s="20">
        <v>7</v>
      </c>
      <c r="H832" s="20">
        <v>7</v>
      </c>
      <c r="I832" s="30">
        <f t="shared" si="8"/>
        <v>0</v>
      </c>
      <c r="J832" s="22">
        <f>[1]SUMMARY!N833</f>
        <v>3330</v>
      </c>
      <c r="K832" s="23">
        <f t="shared" si="9"/>
        <v>0</v>
      </c>
      <c r="L832" s="8"/>
      <c r="M832" s="8"/>
    </row>
    <row r="833" spans="1:13" x14ac:dyDescent="0.2">
      <c r="A833" s="17" t="str">
        <f>[1]SUMMARY!A834</f>
        <v>165</v>
      </c>
      <c r="B833" s="17">
        <f>[1]SUMMARY!B834</f>
        <v>80</v>
      </c>
      <c r="C833" s="17">
        <f>[1]SUMMARY!C834</f>
        <v>13</v>
      </c>
      <c r="D833" s="25" t="str">
        <f>[1]SUMMARY!D834</f>
        <v>GOODYEAR</v>
      </c>
      <c r="E833" s="25" t="str">
        <f>[1]SUMMARY!E834</f>
        <v>DURAPLUS</v>
      </c>
      <c r="F833" s="20"/>
      <c r="G833" s="20">
        <v>42</v>
      </c>
      <c r="H833" s="20">
        <v>42</v>
      </c>
      <c r="I833" s="30">
        <f t="shared" si="8"/>
        <v>0</v>
      </c>
      <c r="J833" s="22">
        <f>[1]SUMMARY!N834</f>
        <v>2992</v>
      </c>
      <c r="K833" s="23">
        <f t="shared" si="9"/>
        <v>0</v>
      </c>
      <c r="L833" s="8"/>
      <c r="M833" s="8" t="s">
        <v>38</v>
      </c>
    </row>
    <row r="834" spans="1:13" x14ac:dyDescent="0.2">
      <c r="A834" s="17" t="str">
        <f>[1]SUMMARY!A835</f>
        <v>175</v>
      </c>
      <c r="B834" s="17">
        <f>[1]SUMMARY!B835</f>
        <v>0</v>
      </c>
      <c r="C834" s="17">
        <f>[1]SUMMARY!C835</f>
        <v>13</v>
      </c>
      <c r="D834" s="25" t="str">
        <f>[1]SUMMARY!D835</f>
        <v>GOODYEAR</v>
      </c>
      <c r="E834" s="25" t="str">
        <f>[1]SUMMARY!E835</f>
        <v>WRANGLER DT</v>
      </c>
      <c r="F834" s="21"/>
      <c r="G834" s="21">
        <v>4</v>
      </c>
      <c r="H834" s="21">
        <v>4</v>
      </c>
      <c r="I834" s="30">
        <f t="shared" si="8"/>
        <v>0</v>
      </c>
      <c r="J834" s="22">
        <f>[1]SUMMARY!N835</f>
        <v>4000</v>
      </c>
      <c r="K834" s="23">
        <f t="shared" si="9"/>
        <v>0</v>
      </c>
      <c r="L834" s="8"/>
      <c r="M834" s="8"/>
    </row>
    <row r="835" spans="1:13" x14ac:dyDescent="0.2">
      <c r="A835" s="46">
        <f>[1]SUMMARY!A836</f>
        <v>175</v>
      </c>
      <c r="B835" s="46">
        <f>[1]SUMMARY!B836</f>
        <v>65</v>
      </c>
      <c r="C835" s="46">
        <f>[1]SUMMARY!C836</f>
        <v>14</v>
      </c>
      <c r="D835" s="47" t="str">
        <f>[1]SUMMARY!D836</f>
        <v>GOODYEAR</v>
      </c>
      <c r="E835" s="47" t="str">
        <f>[1]SUMMARY!E836</f>
        <v>ASSURANCE DURAPLUS 2</v>
      </c>
      <c r="F835" s="48"/>
      <c r="G835" s="48">
        <v>456</v>
      </c>
      <c r="H835" s="49">
        <v>456</v>
      </c>
      <c r="I835" s="36">
        <f t="shared" si="8"/>
        <v>0</v>
      </c>
      <c r="J835" s="22">
        <f>[1]SUMMARY!N836</f>
        <v>3196</v>
      </c>
      <c r="K835" s="50">
        <f t="shared" si="9"/>
        <v>0</v>
      </c>
      <c r="L835" s="8"/>
      <c r="M835" s="8"/>
    </row>
    <row r="836" spans="1:13" x14ac:dyDescent="0.2">
      <c r="A836" s="17" t="str">
        <f>[1]SUMMARY!A837</f>
        <v>185</v>
      </c>
      <c r="B836" s="17">
        <f>[1]SUMMARY!B837</f>
        <v>65</v>
      </c>
      <c r="C836" s="17">
        <f>[1]SUMMARY!C837</f>
        <v>14</v>
      </c>
      <c r="D836" s="25" t="str">
        <f>[1]SUMMARY!D837</f>
        <v>GOODYEAR</v>
      </c>
      <c r="E836" s="25" t="str">
        <f>[1]SUMMARY!E837</f>
        <v>ASSURANCE DURAPLUS</v>
      </c>
      <c r="F836" s="30"/>
      <c r="G836" s="30"/>
      <c r="H836" s="30"/>
      <c r="I836" s="30">
        <f t="shared" si="8"/>
        <v>0</v>
      </c>
      <c r="J836" s="22">
        <f>[1]SUMMARY!N837</f>
        <v>2625</v>
      </c>
      <c r="K836" s="23">
        <f t="shared" si="9"/>
        <v>0</v>
      </c>
      <c r="L836" s="8"/>
      <c r="M836" s="8"/>
    </row>
    <row r="837" spans="1:13" x14ac:dyDescent="0.2">
      <c r="A837" s="51" t="str">
        <f>[1]SUMMARY!A838</f>
        <v>185</v>
      </c>
      <c r="B837" s="52">
        <f>[1]SUMMARY!B838</f>
        <v>65</v>
      </c>
      <c r="C837" s="52">
        <f>[1]SUMMARY!C838</f>
        <v>14</v>
      </c>
      <c r="D837" s="39" t="str">
        <f>[1]SUMMARY!D838</f>
        <v>GOODYEAR</v>
      </c>
      <c r="E837" s="39" t="str">
        <f>[1]SUMMARY!E838</f>
        <v>ASSURANCE DURAPLUS 2</v>
      </c>
      <c r="F837" s="21"/>
      <c r="G837" s="21">
        <v>66</v>
      </c>
      <c r="H837" s="21">
        <v>62</v>
      </c>
      <c r="I837" s="36">
        <f t="shared" si="8"/>
        <v>4</v>
      </c>
      <c r="J837" s="53">
        <f>[1]SUMMARY!N838</f>
        <v>4105.5</v>
      </c>
      <c r="K837" s="54">
        <f t="shared" si="9"/>
        <v>16422</v>
      </c>
      <c r="L837" s="8"/>
      <c r="M837" s="8"/>
    </row>
    <row r="838" spans="1:13" x14ac:dyDescent="0.2">
      <c r="A838" s="52" t="str">
        <f>[1]SUMMARY!A839</f>
        <v>185</v>
      </c>
      <c r="B838" s="52">
        <f>[1]SUMMARY!B839</f>
        <v>65</v>
      </c>
      <c r="C838" s="52">
        <f>[1]SUMMARY!C839</f>
        <v>14</v>
      </c>
      <c r="D838" s="39" t="str">
        <f>[1]SUMMARY!D839</f>
        <v>GOODYEAR</v>
      </c>
      <c r="E838" s="39" t="str">
        <f>[1]SUMMARY!E839</f>
        <v>EAGLE NCT3</v>
      </c>
      <c r="F838" s="21"/>
      <c r="G838" s="21">
        <v>4</v>
      </c>
      <c r="H838" s="21">
        <v>4</v>
      </c>
      <c r="I838" s="30">
        <f t="shared" si="8"/>
        <v>0</v>
      </c>
      <c r="J838" s="53">
        <f>[1]SUMMARY!N839</f>
        <v>3210.89</v>
      </c>
      <c r="K838" s="54">
        <f t="shared" si="9"/>
        <v>0</v>
      </c>
      <c r="L838" s="8"/>
      <c r="M838" s="8"/>
    </row>
    <row r="839" spans="1:13" x14ac:dyDescent="0.2">
      <c r="A839" s="52" t="str">
        <f>[1]SUMMARY!A840</f>
        <v>175</v>
      </c>
      <c r="B839" s="52">
        <f>[1]SUMMARY!B840</f>
        <v>70</v>
      </c>
      <c r="C839" s="52">
        <f>[1]SUMMARY!C840</f>
        <v>14</v>
      </c>
      <c r="D839" s="39" t="str">
        <f>[1]SUMMARY!D840</f>
        <v>GOODYEAR</v>
      </c>
      <c r="E839" s="39" t="str">
        <f>[1]SUMMARY!E840</f>
        <v>ASSURANCE DURAPLUS 2</v>
      </c>
      <c r="F839" s="21"/>
      <c r="G839" s="21">
        <v>60</v>
      </c>
      <c r="H839" s="21">
        <v>54</v>
      </c>
      <c r="I839" s="36">
        <f t="shared" si="8"/>
        <v>6</v>
      </c>
      <c r="J839" s="53">
        <f>[1]SUMMARY!N840</f>
        <v>3180</v>
      </c>
      <c r="K839" s="54">
        <f t="shared" si="9"/>
        <v>19080</v>
      </c>
      <c r="L839" s="8"/>
      <c r="M839" s="8"/>
    </row>
    <row r="840" spans="1:13" x14ac:dyDescent="0.2">
      <c r="A840" s="52">
        <f>[1]SUMMARY!A841</f>
        <v>185</v>
      </c>
      <c r="B840" s="52">
        <f>[1]SUMMARY!B841</f>
        <v>70</v>
      </c>
      <c r="C840" s="52">
        <f>[1]SUMMARY!C841</f>
        <v>14</v>
      </c>
      <c r="D840" s="39" t="str">
        <f>[1]SUMMARY!D841</f>
        <v>GOODYEAR</v>
      </c>
      <c r="E840" s="39" t="str">
        <f>[1]SUMMARY!E841</f>
        <v>DURAPLUS</v>
      </c>
      <c r="F840" s="21"/>
      <c r="G840" s="21"/>
      <c r="H840" s="21"/>
      <c r="I840" s="30">
        <f t="shared" si="8"/>
        <v>0</v>
      </c>
      <c r="J840" s="53">
        <f>[1]SUMMARY!N841</f>
        <v>2761.99</v>
      </c>
      <c r="K840" s="54">
        <f t="shared" si="9"/>
        <v>0</v>
      </c>
      <c r="L840" s="8"/>
      <c r="M840" s="8"/>
    </row>
    <row r="841" spans="1:13" x14ac:dyDescent="0.2">
      <c r="A841" s="52">
        <f>[1]SUMMARY!A842</f>
        <v>185</v>
      </c>
      <c r="B841" s="52">
        <f>[1]SUMMARY!B842</f>
        <v>80</v>
      </c>
      <c r="C841" s="52">
        <f>[1]SUMMARY!C842</f>
        <v>14</v>
      </c>
      <c r="D841" s="39" t="str">
        <f>[1]SUMMARY!D842</f>
        <v>GOODYEAR</v>
      </c>
      <c r="E841" s="39" t="str">
        <f>[1]SUMMARY!E842</f>
        <v>ASSURANCE DURAPLUS</v>
      </c>
      <c r="F841" s="21"/>
      <c r="G841" s="21">
        <v>44</v>
      </c>
      <c r="H841" s="21">
        <v>42</v>
      </c>
      <c r="I841" s="36">
        <f t="shared" si="8"/>
        <v>2</v>
      </c>
      <c r="J841" s="53">
        <f>[1]SUMMARY!N842</f>
        <v>3510.5</v>
      </c>
      <c r="K841" s="54">
        <f t="shared" si="9"/>
        <v>7021</v>
      </c>
      <c r="L841" s="8"/>
      <c r="M841" s="8"/>
    </row>
    <row r="842" spans="1:13" x14ac:dyDescent="0.2">
      <c r="A842" s="52">
        <f>[1]SUMMARY!A843</f>
        <v>185</v>
      </c>
      <c r="B842" s="52">
        <f>[1]SUMMARY!B843</f>
        <v>0</v>
      </c>
      <c r="C842" s="52" t="str">
        <f>[1]SUMMARY!C843</f>
        <v>14C</v>
      </c>
      <c r="D842" s="39" t="str">
        <f>[1]SUMMARY!D843</f>
        <v>GOODYEAR</v>
      </c>
      <c r="E842" s="39" t="str">
        <f>[1]SUMMARY!E843</f>
        <v>CARGO G26</v>
      </c>
      <c r="F842" s="21"/>
      <c r="G842" s="21">
        <v>423</v>
      </c>
      <c r="H842" s="21">
        <v>423</v>
      </c>
      <c r="I842" s="30">
        <f t="shared" si="8"/>
        <v>0</v>
      </c>
      <c r="J842" s="53">
        <f>[1]SUMMARY!N843</f>
        <v>4250</v>
      </c>
      <c r="K842" s="54">
        <f t="shared" si="9"/>
        <v>0</v>
      </c>
      <c r="L842" s="8"/>
      <c r="M842" s="8"/>
    </row>
    <row r="843" spans="1:13" x14ac:dyDescent="0.2">
      <c r="A843" s="46" t="str">
        <f>[1]SUMMARY!A844</f>
        <v>185</v>
      </c>
      <c r="B843" s="46">
        <f>[1]SUMMARY!B844</f>
        <v>0</v>
      </c>
      <c r="C843" s="46" t="str">
        <f>[1]SUMMARY!C844</f>
        <v>14C</v>
      </c>
      <c r="D843" s="47" t="str">
        <f>[1]SUMMARY!D844</f>
        <v>GOODYEAR</v>
      </c>
      <c r="E843" s="47" t="str">
        <f>[1]SUMMARY!E844</f>
        <v>CARGO MARATHON 2</v>
      </c>
      <c r="F843" s="48"/>
      <c r="G843" s="48">
        <v>298</v>
      </c>
      <c r="H843" s="48">
        <v>298</v>
      </c>
      <c r="I843" s="36">
        <f t="shared" si="8"/>
        <v>0</v>
      </c>
      <c r="J843" s="55">
        <f>[1]SUMMARY!N844</f>
        <v>4370</v>
      </c>
      <c r="K843" s="50">
        <f t="shared" si="9"/>
        <v>0</v>
      </c>
      <c r="L843" s="56"/>
      <c r="M843" s="56"/>
    </row>
    <row r="844" spans="1:13" x14ac:dyDescent="0.2">
      <c r="A844" s="52" t="str">
        <f>[1]SUMMARY!A845</f>
        <v>195</v>
      </c>
      <c r="B844" s="52">
        <f>[1]SUMMARY!B845</f>
        <v>0</v>
      </c>
      <c r="C844" s="52" t="str">
        <f>[1]SUMMARY!C845</f>
        <v>14C</v>
      </c>
      <c r="D844" s="39" t="str">
        <f>[1]SUMMARY!D845</f>
        <v>GOODYEAR</v>
      </c>
      <c r="E844" s="39" t="str">
        <f>[1]SUMMARY!E845</f>
        <v>8 PR CARGO G26</v>
      </c>
      <c r="F844" s="21"/>
      <c r="G844" s="21">
        <v>78</v>
      </c>
      <c r="H844" s="21">
        <v>78</v>
      </c>
      <c r="I844" s="30">
        <f t="shared" si="8"/>
        <v>0</v>
      </c>
      <c r="J844" s="53">
        <f>[1]SUMMARY!N845</f>
        <v>4160</v>
      </c>
      <c r="K844" s="54">
        <f t="shared" si="9"/>
        <v>0</v>
      </c>
      <c r="L844" s="8"/>
      <c r="M844" s="8"/>
    </row>
    <row r="845" spans="1:13" x14ac:dyDescent="0.2">
      <c r="A845" s="52" t="str">
        <f>[1]SUMMARY!A846</f>
        <v>195</v>
      </c>
      <c r="B845" s="52">
        <f>[1]SUMMARY!B846</f>
        <v>0</v>
      </c>
      <c r="C845" s="52" t="str">
        <f>[1]SUMMARY!C846</f>
        <v>14C</v>
      </c>
      <c r="D845" s="39" t="str">
        <f>[1]SUMMARY!D846</f>
        <v>GOODYEAR</v>
      </c>
      <c r="E845" s="39" t="str">
        <f>[1]SUMMARY!E846</f>
        <v>8 PR CARGO MARATHON</v>
      </c>
      <c r="F845" s="21"/>
      <c r="G845" s="21">
        <v>56</v>
      </c>
      <c r="H845" s="21">
        <v>56</v>
      </c>
      <c r="I845" s="30">
        <f t="shared" si="8"/>
        <v>0</v>
      </c>
      <c r="J845" s="53">
        <f>[1]SUMMARY!N846</f>
        <v>4330</v>
      </c>
      <c r="K845" s="54">
        <f t="shared" si="9"/>
        <v>0</v>
      </c>
      <c r="L845" s="56"/>
      <c r="M845" s="56"/>
    </row>
    <row r="846" spans="1:13" x14ac:dyDescent="0.2">
      <c r="A846" s="52">
        <f>[1]SUMMARY!A847</f>
        <v>195</v>
      </c>
      <c r="B846" s="52">
        <f>[1]SUMMARY!B847</f>
        <v>55</v>
      </c>
      <c r="C846" s="52">
        <f>[1]SUMMARY!C847</f>
        <v>15</v>
      </c>
      <c r="D846" s="39" t="str">
        <f>[1]SUMMARY!D847</f>
        <v>GOODYEAR</v>
      </c>
      <c r="E846" s="39" t="str">
        <f>[1]SUMMARY!E847</f>
        <v>EAGLE F1 DIRECTIONAL 5</v>
      </c>
      <c r="F846" s="21"/>
      <c r="G846" s="21"/>
      <c r="H846" s="21"/>
      <c r="I846" s="30">
        <f t="shared" si="8"/>
        <v>0</v>
      </c>
      <c r="J846" s="53">
        <f>[1]SUMMARY!N847</f>
        <v>3000</v>
      </c>
      <c r="K846" s="54">
        <f t="shared" si="9"/>
        <v>0</v>
      </c>
      <c r="L846" s="56"/>
      <c r="M846" s="56"/>
    </row>
    <row r="847" spans="1:13" x14ac:dyDescent="0.2">
      <c r="A847" s="17" t="str">
        <f>[1]SUMMARY!A848</f>
        <v>185</v>
      </c>
      <c r="B847" s="17">
        <f>[1]SUMMARY!B848</f>
        <v>60</v>
      </c>
      <c r="C847" s="17">
        <f>[1]SUMMARY!C848</f>
        <v>15</v>
      </c>
      <c r="D847" s="25" t="str">
        <f>[1]SUMMARY!D848</f>
        <v>GOODYEAR</v>
      </c>
      <c r="E847" s="25" t="str">
        <f>[1]SUMMARY!E848</f>
        <v>ASSURANCE TRIPLEMAX</v>
      </c>
      <c r="F847" s="30"/>
      <c r="G847" s="30"/>
      <c r="H847" s="30"/>
      <c r="I847" s="30">
        <f t="shared" si="8"/>
        <v>0</v>
      </c>
      <c r="J847" s="22">
        <f>[1]SUMMARY!N848</f>
        <v>3944</v>
      </c>
      <c r="K847" s="23">
        <f t="shared" si="9"/>
        <v>0</v>
      </c>
      <c r="L847" s="8"/>
      <c r="M847" s="8"/>
    </row>
    <row r="848" spans="1:13" x14ac:dyDescent="0.2">
      <c r="A848" s="17" t="str">
        <f>[1]SUMMARY!A849</f>
        <v>185</v>
      </c>
      <c r="B848" s="17">
        <f>[1]SUMMARY!B849</f>
        <v>60</v>
      </c>
      <c r="C848" s="17">
        <f>[1]SUMMARY!C849</f>
        <v>15</v>
      </c>
      <c r="D848" s="25" t="str">
        <f>[1]SUMMARY!D849</f>
        <v>GOODYEAR</v>
      </c>
      <c r="E848" s="25" t="str">
        <f>[1]SUMMARY!E849</f>
        <v>ASSURANCE MAXGUARD</v>
      </c>
      <c r="F848" s="30"/>
      <c r="G848" s="30">
        <v>22</v>
      </c>
      <c r="H848" s="30">
        <v>22</v>
      </c>
      <c r="I848" s="30">
        <f t="shared" si="8"/>
        <v>0</v>
      </c>
      <c r="J848" s="22">
        <f>[1]SUMMARY!N849</f>
        <v>4097</v>
      </c>
      <c r="K848" s="23">
        <f t="shared" si="9"/>
        <v>0</v>
      </c>
      <c r="L848" s="8"/>
      <c r="M848" s="8"/>
    </row>
    <row r="849" spans="1:13" x14ac:dyDescent="0.2">
      <c r="A849" s="17" t="str">
        <f>[1]SUMMARY!A850</f>
        <v>195</v>
      </c>
      <c r="B849" s="17">
        <f>[1]SUMMARY!B850</f>
        <v>60</v>
      </c>
      <c r="C849" s="17">
        <f>[1]SUMMARY!C850</f>
        <v>15</v>
      </c>
      <c r="D849" s="25" t="str">
        <f>[1]SUMMARY!D850</f>
        <v>GOODYEAR</v>
      </c>
      <c r="E849" s="25" t="str">
        <f>[1]SUMMARY!E850</f>
        <v>ASSURANCE TRIPLEMAX</v>
      </c>
      <c r="F849" s="30">
        <v>2</v>
      </c>
      <c r="G849" s="30"/>
      <c r="H849" s="30">
        <v>2</v>
      </c>
      <c r="I849" s="30">
        <f t="shared" si="8"/>
        <v>0</v>
      </c>
      <c r="J849" s="22">
        <f>[1]SUMMARY!N850</f>
        <v>4910</v>
      </c>
      <c r="K849" s="23">
        <f t="shared" si="9"/>
        <v>0</v>
      </c>
      <c r="L849" s="8"/>
      <c r="M849" s="8"/>
    </row>
    <row r="850" spans="1:13" x14ac:dyDescent="0.2">
      <c r="A850" s="46">
        <f>[1]SUMMARY!A851</f>
        <v>175</v>
      </c>
      <c r="B850" s="46">
        <f>[1]SUMMARY!B851</f>
        <v>65</v>
      </c>
      <c r="C850" s="46">
        <f>[1]SUMMARY!C851</f>
        <v>15</v>
      </c>
      <c r="D850" s="47" t="str">
        <f>[1]SUMMARY!D851</f>
        <v>GOODYEAR</v>
      </c>
      <c r="E850" s="47" t="str">
        <f>[1]SUMMARY!E851</f>
        <v>ASSURANCE DURAPLUS 2</v>
      </c>
      <c r="F850" s="48">
        <v>4</v>
      </c>
      <c r="G850" s="48">
        <v>154</v>
      </c>
      <c r="H850" s="48">
        <v>158</v>
      </c>
      <c r="I850" s="30">
        <f t="shared" si="8"/>
        <v>0</v>
      </c>
      <c r="J850" s="22">
        <f>[1]SUMMARY!N851</f>
        <v>3799.5</v>
      </c>
      <c r="K850" s="50">
        <f t="shared" si="9"/>
        <v>0</v>
      </c>
      <c r="L850" s="8"/>
      <c r="M850" s="8"/>
    </row>
    <row r="851" spans="1:13" x14ac:dyDescent="0.2">
      <c r="A851" s="46" t="str">
        <f>[1]SUMMARY!A852</f>
        <v>185</v>
      </c>
      <c r="B851" s="46">
        <f>[1]SUMMARY!B852</f>
        <v>65</v>
      </c>
      <c r="C851" s="46">
        <f>[1]SUMMARY!C852</f>
        <v>15</v>
      </c>
      <c r="D851" s="47" t="str">
        <f>[1]SUMMARY!D852</f>
        <v>GOODYEAR</v>
      </c>
      <c r="E851" s="47" t="str">
        <f>[1]SUMMARY!E852</f>
        <v>ASSURANCE TRIPLEMAX 2</v>
      </c>
      <c r="F851" s="48">
        <v>1</v>
      </c>
      <c r="G851" s="48">
        <v>115</v>
      </c>
      <c r="H851" s="48">
        <v>116</v>
      </c>
      <c r="I851" s="30">
        <f t="shared" si="8"/>
        <v>0</v>
      </c>
      <c r="J851" s="22">
        <f>[1]SUMMARY!N852</f>
        <v>4224.5</v>
      </c>
      <c r="K851" s="50">
        <f t="shared" si="9"/>
        <v>0</v>
      </c>
      <c r="L851" s="8"/>
      <c r="M851" s="8"/>
    </row>
    <row r="852" spans="1:13" x14ac:dyDescent="0.2">
      <c r="A852" s="52" t="str">
        <f>[1]SUMMARY!A853</f>
        <v>185</v>
      </c>
      <c r="B852" s="52">
        <f>[1]SUMMARY!B853</f>
        <v>65</v>
      </c>
      <c r="C852" s="52">
        <f>[1]SUMMARY!C853</f>
        <v>15</v>
      </c>
      <c r="D852" s="39" t="str">
        <f>[1]SUMMARY!D853</f>
        <v>GOODYEAR</v>
      </c>
      <c r="E852" s="39" t="str">
        <f>[1]SUMMARY!E853</f>
        <v>ASSURANCE MAXGUARD</v>
      </c>
      <c r="F852" s="20"/>
      <c r="G852" s="20">
        <v>119</v>
      </c>
      <c r="H852" s="20">
        <v>111</v>
      </c>
      <c r="I852" s="30">
        <f t="shared" si="8"/>
        <v>8</v>
      </c>
      <c r="J852" s="22">
        <f>[1]SUMMARY!N853</f>
        <v>4581.5</v>
      </c>
      <c r="K852" s="54">
        <f t="shared" si="9"/>
        <v>36652</v>
      </c>
      <c r="L852" s="8"/>
      <c r="M852" s="8"/>
    </row>
    <row r="853" spans="1:13" x14ac:dyDescent="0.2">
      <c r="A853" s="17">
        <f>[1]SUMMARY!A854</f>
        <v>195</v>
      </c>
      <c r="B853" s="17">
        <f>[1]SUMMARY!B854</f>
        <v>65</v>
      </c>
      <c r="C853" s="17">
        <f>[1]SUMMARY!C854</f>
        <v>15</v>
      </c>
      <c r="D853" s="25" t="str">
        <f>[1]SUMMARY!D854</f>
        <v>GOODYEAR</v>
      </c>
      <c r="E853" s="25" t="str">
        <f>[1]SUMMARY!E854</f>
        <v xml:space="preserve"> DURAPLUS</v>
      </c>
      <c r="F853" s="20"/>
      <c r="G853" s="20"/>
      <c r="H853" s="20"/>
      <c r="I853" s="30">
        <f t="shared" si="8"/>
        <v>0</v>
      </c>
      <c r="J853" s="22">
        <f>[1]SUMMARY!N854</f>
        <v>3385.12</v>
      </c>
      <c r="K853" s="23">
        <f t="shared" si="9"/>
        <v>0</v>
      </c>
      <c r="L853" s="8"/>
      <c r="M853" s="8"/>
    </row>
    <row r="854" spans="1:13" x14ac:dyDescent="0.2">
      <c r="A854" s="17">
        <f>[1]SUMMARY!A855</f>
        <v>195</v>
      </c>
      <c r="B854" s="17">
        <f>[1]SUMMARY!B855</f>
        <v>65</v>
      </c>
      <c r="C854" s="17">
        <f>[1]SUMMARY!C855</f>
        <v>15</v>
      </c>
      <c r="D854" s="25" t="str">
        <f>[1]SUMMARY!D855</f>
        <v>GOODYEAR</v>
      </c>
      <c r="E854" s="25" t="str">
        <f>[1]SUMMARY!E855</f>
        <v>ASSURANCE TRIPLEMAX</v>
      </c>
      <c r="F854" s="20"/>
      <c r="G854" s="20">
        <v>2</v>
      </c>
      <c r="H854" s="20">
        <v>2</v>
      </c>
      <c r="I854" s="30">
        <f t="shared" si="8"/>
        <v>0</v>
      </c>
      <c r="J854" s="22">
        <f>[1]SUMMARY!N855</f>
        <v>4343</v>
      </c>
      <c r="K854" s="23">
        <f t="shared" si="9"/>
        <v>0</v>
      </c>
      <c r="L854" s="8"/>
      <c r="M854" s="8"/>
    </row>
    <row r="855" spans="1:13" x14ac:dyDescent="0.2">
      <c r="A855" s="17">
        <f>[1]SUMMARY!A856</f>
        <v>195</v>
      </c>
      <c r="B855" s="17">
        <f>[1]SUMMARY!B856</f>
        <v>65</v>
      </c>
      <c r="C855" s="17">
        <f>[1]SUMMARY!C856</f>
        <v>15</v>
      </c>
      <c r="D855" s="25" t="str">
        <f>[1]SUMMARY!D856</f>
        <v>GOODYEAR</v>
      </c>
      <c r="E855" s="25" t="str">
        <f>[1]SUMMARY!E856</f>
        <v>ASSURANCE MAXGUARD</v>
      </c>
      <c r="F855" s="21"/>
      <c r="G855" s="21"/>
      <c r="H855" s="21"/>
      <c r="I855" s="30">
        <f t="shared" si="8"/>
        <v>0</v>
      </c>
      <c r="J855" s="22">
        <f>[1]SUMMARY!N856</f>
        <v>4989.5</v>
      </c>
      <c r="K855" s="23">
        <f t="shared" si="9"/>
        <v>0</v>
      </c>
      <c r="L855" s="8"/>
      <c r="M855" s="8"/>
    </row>
    <row r="856" spans="1:13" x14ac:dyDescent="0.2">
      <c r="A856" s="52" t="str">
        <f>[1]SUMMARY!A857</f>
        <v>205</v>
      </c>
      <c r="B856" s="52">
        <f>[1]SUMMARY!B857</f>
        <v>65</v>
      </c>
      <c r="C856" s="52">
        <f>[1]SUMMARY!C857</f>
        <v>15</v>
      </c>
      <c r="D856" s="39" t="str">
        <f>[1]SUMMARY!D857</f>
        <v>GOODYEAR</v>
      </c>
      <c r="E856" s="39" t="str">
        <f>[1]SUMMARY!E857</f>
        <v>ASSURANCE TRIPLEMAX 2</v>
      </c>
      <c r="F856" s="21"/>
      <c r="G856" s="21">
        <v>82</v>
      </c>
      <c r="H856" s="21">
        <v>78</v>
      </c>
      <c r="I856" s="36">
        <f t="shared" si="8"/>
        <v>4</v>
      </c>
      <c r="J856" s="53">
        <f>[1]SUMMARY!N857</f>
        <v>4369</v>
      </c>
      <c r="K856" s="54">
        <f t="shared" si="9"/>
        <v>17476</v>
      </c>
      <c r="L856" s="8"/>
      <c r="M856" s="8"/>
    </row>
    <row r="857" spans="1:13" x14ac:dyDescent="0.2">
      <c r="A857" s="52" t="str">
        <f>[1]SUMMARY!A858</f>
        <v>205</v>
      </c>
      <c r="B857" s="52">
        <f>[1]SUMMARY!B858</f>
        <v>65</v>
      </c>
      <c r="C857" s="52">
        <f>[1]SUMMARY!C858</f>
        <v>15</v>
      </c>
      <c r="D857" s="39" t="str">
        <f>[1]SUMMARY!D858</f>
        <v>GOODYEAR</v>
      </c>
      <c r="E857" s="39" t="str">
        <f>[1]SUMMARY!E858</f>
        <v>ASSURANCE MAXGUARD</v>
      </c>
      <c r="F857" s="21"/>
      <c r="G857" s="21">
        <v>49</v>
      </c>
      <c r="H857" s="21">
        <v>45</v>
      </c>
      <c r="I857" s="36">
        <f t="shared" si="8"/>
        <v>4</v>
      </c>
      <c r="J857" s="53">
        <f>[1]SUMMARY!N858</f>
        <v>4896</v>
      </c>
      <c r="K857" s="54">
        <f t="shared" si="9"/>
        <v>19584</v>
      </c>
      <c r="L857" s="8"/>
      <c r="M857" s="8"/>
    </row>
    <row r="858" spans="1:13" x14ac:dyDescent="0.2">
      <c r="A858" s="52" t="str">
        <f>[1]SUMMARY!A859</f>
        <v>175</v>
      </c>
      <c r="B858" s="52">
        <f>[1]SUMMARY!B859</f>
        <v>50</v>
      </c>
      <c r="C858" s="52">
        <f>[1]SUMMARY!C859</f>
        <v>15</v>
      </c>
      <c r="D858" s="39" t="str">
        <f>[1]SUMMARY!D859</f>
        <v>GOODYEAR</v>
      </c>
      <c r="E858" s="39" t="str">
        <f>[1]SUMMARY!E859</f>
        <v>ASSURANCE DURAPLUS</v>
      </c>
      <c r="F858" s="21"/>
      <c r="G858" s="21"/>
      <c r="H858" s="21"/>
      <c r="I858" s="30">
        <f t="shared" si="8"/>
        <v>0</v>
      </c>
      <c r="J858" s="53">
        <f>[1]SUMMARY!N859</f>
        <v>3172</v>
      </c>
      <c r="K858" s="54">
        <f t="shared" si="9"/>
        <v>0</v>
      </c>
      <c r="L858" s="8"/>
      <c r="M858" s="8"/>
    </row>
    <row r="859" spans="1:13" x14ac:dyDescent="0.2">
      <c r="A859" s="52" t="str">
        <f>[1]SUMMARY!A860</f>
        <v>205</v>
      </c>
      <c r="B859" s="52">
        <f>[1]SUMMARY!B860</f>
        <v>70</v>
      </c>
      <c r="C859" s="52">
        <f>[1]SUMMARY!C860</f>
        <v>15</v>
      </c>
      <c r="D859" s="39" t="str">
        <f>[1]SUMMARY!D860</f>
        <v>GOODYEAR</v>
      </c>
      <c r="E859" s="39" t="str">
        <f>[1]SUMMARY!E860</f>
        <v>ASSURANCE MAXGUARD</v>
      </c>
      <c r="F859" s="21"/>
      <c r="G859" s="21"/>
      <c r="H859" s="21"/>
      <c r="I859" s="30">
        <f t="shared" si="8"/>
        <v>0</v>
      </c>
      <c r="J859" s="53">
        <f>[1]SUMMARY!N860</f>
        <v>4766.1899999999996</v>
      </c>
      <c r="K859" s="54">
        <f t="shared" si="9"/>
        <v>0</v>
      </c>
      <c r="L859" s="8"/>
      <c r="M859" s="8"/>
    </row>
    <row r="860" spans="1:13" x14ac:dyDescent="0.2">
      <c r="A860" s="52" t="str">
        <f>[1]SUMMARY!A861</f>
        <v>205</v>
      </c>
      <c r="B860" s="52">
        <f>[1]SUMMARY!B861</f>
        <v>70</v>
      </c>
      <c r="C860" s="52">
        <f>[1]SUMMARY!C861</f>
        <v>15</v>
      </c>
      <c r="D860" s="39" t="str">
        <f>[1]SUMMARY!D861</f>
        <v>GOODYEAR</v>
      </c>
      <c r="E860" s="39" t="str">
        <f>[1]SUMMARY!E861</f>
        <v>WRANGLER HP</v>
      </c>
      <c r="F860" s="21"/>
      <c r="G860" s="21"/>
      <c r="H860" s="21"/>
      <c r="I860" s="30">
        <f t="shared" si="8"/>
        <v>0</v>
      </c>
      <c r="J860" s="53">
        <f>[1]SUMMARY!N861</f>
        <v>4128</v>
      </c>
      <c r="K860" s="54">
        <f t="shared" si="9"/>
        <v>0</v>
      </c>
      <c r="L860" s="8"/>
      <c r="M860" s="8"/>
    </row>
    <row r="861" spans="1:13" x14ac:dyDescent="0.2">
      <c r="A861" s="52" t="str">
        <f>[1]SUMMARY!A862</f>
        <v>225</v>
      </c>
      <c r="B861" s="52">
        <f>[1]SUMMARY!B862</f>
        <v>70</v>
      </c>
      <c r="C861" s="52" t="str">
        <f>[1]SUMMARY!C862</f>
        <v>15C</v>
      </c>
      <c r="D861" s="39" t="str">
        <f>[1]SUMMARY!D862</f>
        <v>GOODYEAR</v>
      </c>
      <c r="E861" s="39" t="str">
        <f>[1]SUMMARY!E862</f>
        <v>CARGO MARATHON 2</v>
      </c>
      <c r="F861" s="21"/>
      <c r="G861" s="21"/>
      <c r="H861" s="21"/>
      <c r="I861" s="30">
        <f t="shared" si="8"/>
        <v>0</v>
      </c>
      <c r="J861" s="53">
        <f>[1]SUMMARY!N862</f>
        <v>7650</v>
      </c>
      <c r="K861" s="54">
        <f t="shared" si="9"/>
        <v>0</v>
      </c>
      <c r="L861" s="8"/>
      <c r="M861" s="8"/>
    </row>
    <row r="862" spans="1:13" x14ac:dyDescent="0.2">
      <c r="A862" s="52">
        <f>[1]SUMMARY!A863</f>
        <v>235</v>
      </c>
      <c r="B862" s="52">
        <f>[1]SUMMARY!B863</f>
        <v>70</v>
      </c>
      <c r="C862" s="52">
        <f>[1]SUMMARY!C863</f>
        <v>15</v>
      </c>
      <c r="D862" s="39" t="str">
        <f>[1]SUMMARY!D863</f>
        <v>GOODYEAR</v>
      </c>
      <c r="E862" s="39" t="str">
        <f>[1]SUMMARY!E863</f>
        <v>WRANGLER HP</v>
      </c>
      <c r="F862" s="21"/>
      <c r="G862" s="21"/>
      <c r="H862" s="21"/>
      <c r="I862" s="30">
        <f t="shared" si="8"/>
        <v>0</v>
      </c>
      <c r="J862" s="53">
        <f>[1]SUMMARY!N863</f>
        <v>5358</v>
      </c>
      <c r="K862" s="54">
        <f t="shared" si="9"/>
        <v>0</v>
      </c>
      <c r="L862" s="8"/>
      <c r="M862" s="8"/>
    </row>
    <row r="863" spans="1:13" x14ac:dyDescent="0.2">
      <c r="A863" s="52">
        <f>[1]SUMMARY!A864</f>
        <v>235</v>
      </c>
      <c r="B863" s="52">
        <f>[1]SUMMARY!B864</f>
        <v>70</v>
      </c>
      <c r="C863" s="52">
        <f>[1]SUMMARY!C864</f>
        <v>15</v>
      </c>
      <c r="D863" s="39" t="str">
        <f>[1]SUMMARY!D864</f>
        <v>GOODYEAR</v>
      </c>
      <c r="E863" s="39" t="str">
        <f>[1]SUMMARY!E864</f>
        <v>WRANGLER TRIPLEMAX</v>
      </c>
      <c r="F863" s="21"/>
      <c r="G863" s="21">
        <v>8</v>
      </c>
      <c r="H863" s="21">
        <v>8</v>
      </c>
      <c r="I863" s="30">
        <f t="shared" si="8"/>
        <v>0</v>
      </c>
      <c r="J863" s="53">
        <f>[1]SUMMARY!N864</f>
        <v>5678.2</v>
      </c>
      <c r="K863" s="54">
        <f t="shared" si="9"/>
        <v>0</v>
      </c>
      <c r="L863" s="8"/>
      <c r="M863" s="8"/>
    </row>
    <row r="864" spans="1:13" x14ac:dyDescent="0.2">
      <c r="A864" s="52" t="str">
        <f>[1]SUMMARY!A865</f>
        <v>235</v>
      </c>
      <c r="B864" s="52">
        <f>[1]SUMMARY!B865</f>
        <v>70</v>
      </c>
      <c r="C864" s="52">
        <f>[1]SUMMARY!C865</f>
        <v>15</v>
      </c>
      <c r="D864" s="39" t="str">
        <f>[1]SUMMARY!D865</f>
        <v>GOODYEAR</v>
      </c>
      <c r="E864" s="39" t="str">
        <f>[1]SUMMARY!E865</f>
        <v>ASSURANCE MAXGUARD</v>
      </c>
      <c r="F864" s="21"/>
      <c r="G864" s="21">
        <v>15</v>
      </c>
      <c r="H864" s="21">
        <v>11</v>
      </c>
      <c r="I864" s="30">
        <f t="shared" si="8"/>
        <v>4</v>
      </c>
      <c r="J864" s="53">
        <f>[1]SUMMARY!N865</f>
        <v>6196.5</v>
      </c>
      <c r="K864" s="54">
        <f t="shared" si="9"/>
        <v>24786</v>
      </c>
      <c r="L864" s="8"/>
      <c r="M864" s="8"/>
    </row>
    <row r="865" spans="1:13" x14ac:dyDescent="0.2">
      <c r="A865" s="46" t="str">
        <f>[1]SUMMARY!A866</f>
        <v>195</v>
      </c>
      <c r="B865" s="46">
        <f>[1]SUMMARY!B866</f>
        <v>0</v>
      </c>
      <c r="C865" s="46" t="str">
        <f>[1]SUMMARY!C866</f>
        <v>15C</v>
      </c>
      <c r="D865" s="47" t="str">
        <f>[1]SUMMARY!D866</f>
        <v xml:space="preserve">GOODYEAR </v>
      </c>
      <c r="E865" s="47" t="str">
        <f>[1]SUMMARY!E866</f>
        <v>CARGO MARATHON 2</v>
      </c>
      <c r="F865" s="48"/>
      <c r="G865" s="48">
        <v>341</v>
      </c>
      <c r="H865" s="49">
        <v>328</v>
      </c>
      <c r="I865" s="36">
        <f t="shared" si="8"/>
        <v>13</v>
      </c>
      <c r="J865" s="57">
        <f>[1]SUMMARY!N866</f>
        <v>5924.5</v>
      </c>
      <c r="K865" s="50">
        <f t="shared" si="9"/>
        <v>77018.5</v>
      </c>
      <c r="L865" s="8"/>
      <c r="M865" s="8"/>
    </row>
    <row r="866" spans="1:13" x14ac:dyDescent="0.2">
      <c r="A866" s="52" t="str">
        <f>[1]SUMMARY!A867</f>
        <v>195</v>
      </c>
      <c r="B866" s="52">
        <f>[1]SUMMARY!B867</f>
        <v>50</v>
      </c>
      <c r="C866" s="52">
        <f>[1]SUMMARY!C867</f>
        <v>16</v>
      </c>
      <c r="D866" s="39" t="str">
        <f>[1]SUMMARY!D867</f>
        <v>GOODYEAR</v>
      </c>
      <c r="E866" s="39" t="str">
        <f>[1]SUMMARY!E867</f>
        <v>ASSURANCE MAXGUARD</v>
      </c>
      <c r="F866" s="21"/>
      <c r="G866" s="21"/>
      <c r="H866" s="21"/>
      <c r="I866" s="21">
        <f t="shared" si="8"/>
        <v>0</v>
      </c>
      <c r="J866" s="53">
        <f>[1]SUMMARY!N867</f>
        <v>4674.26</v>
      </c>
      <c r="K866" s="54">
        <f t="shared" si="9"/>
        <v>0</v>
      </c>
      <c r="L866" s="56"/>
      <c r="M866" s="56"/>
    </row>
    <row r="867" spans="1:13" x14ac:dyDescent="0.2">
      <c r="A867" s="17">
        <f>[1]SUMMARY!A868</f>
        <v>205</v>
      </c>
      <c r="B867" s="17">
        <f>[1]SUMMARY!B868</f>
        <v>55</v>
      </c>
      <c r="C867" s="17">
        <f>[1]SUMMARY!C868</f>
        <v>16</v>
      </c>
      <c r="D867" s="25" t="str">
        <f>[1]SUMMARY!D868</f>
        <v>GOODYEAR</v>
      </c>
      <c r="E867" s="25" t="str">
        <f>[1]SUMMARY!E868</f>
        <v>EAGLE F1 DIRECTIONAL 5</v>
      </c>
      <c r="F867" s="30"/>
      <c r="G867" s="30"/>
      <c r="H867" s="30"/>
      <c r="I867" s="30">
        <f t="shared" si="8"/>
        <v>0</v>
      </c>
      <c r="J867" s="22">
        <f>[1]SUMMARY!N868</f>
        <v>6220</v>
      </c>
      <c r="K867" s="23">
        <f t="shared" si="9"/>
        <v>0</v>
      </c>
      <c r="L867" s="8"/>
      <c r="M867" s="8"/>
    </row>
    <row r="868" spans="1:13" x14ac:dyDescent="0.2">
      <c r="A868" s="52" t="str">
        <f>[1]SUMMARY!A869</f>
        <v>205</v>
      </c>
      <c r="B868" s="52">
        <f>[1]SUMMARY!B869</f>
        <v>55</v>
      </c>
      <c r="C868" s="52">
        <f>[1]SUMMARY!C869</f>
        <v>16</v>
      </c>
      <c r="D868" s="39" t="str">
        <f>[1]SUMMARY!D869</f>
        <v>GOODYEAR</v>
      </c>
      <c r="E868" s="39" t="str">
        <f>[1]SUMMARY!E869</f>
        <v>ASSURANCE TRIPLEMAX 2</v>
      </c>
      <c r="F868" s="21"/>
      <c r="G868" s="21">
        <v>53</v>
      </c>
      <c r="H868" s="21">
        <v>53</v>
      </c>
      <c r="I868" s="36">
        <f t="shared" si="8"/>
        <v>0</v>
      </c>
      <c r="J868" s="53">
        <f>[1]SUMMARY!N869</f>
        <v>4530.5</v>
      </c>
      <c r="K868" s="54">
        <f t="shared" si="9"/>
        <v>0</v>
      </c>
      <c r="L868" s="56"/>
      <c r="M868" s="56"/>
    </row>
    <row r="869" spans="1:13" x14ac:dyDescent="0.2">
      <c r="A869" s="17" t="str">
        <f>[1]SUMMARY!A870</f>
        <v>205</v>
      </c>
      <c r="B869" s="17">
        <f>[1]SUMMARY!B870</f>
        <v>55</v>
      </c>
      <c r="C869" s="17">
        <f>[1]SUMMARY!C870</f>
        <v>16</v>
      </c>
      <c r="D869" s="25" t="str">
        <f>[1]SUMMARY!D870</f>
        <v>GOODYEAR</v>
      </c>
      <c r="E869" s="25" t="str">
        <f>[1]SUMMARY!E870</f>
        <v>ASSURANCE MAXGUARD</v>
      </c>
      <c r="F869" s="30"/>
      <c r="G869" s="30">
        <v>67</v>
      </c>
      <c r="H869" s="30">
        <v>67</v>
      </c>
      <c r="I869" s="30">
        <f t="shared" si="8"/>
        <v>0</v>
      </c>
      <c r="J869" s="22">
        <f>[1]SUMMARY!N870</f>
        <v>4904.5</v>
      </c>
      <c r="K869" s="23">
        <f t="shared" si="9"/>
        <v>0</v>
      </c>
      <c r="L869" s="8"/>
      <c r="M869" s="8"/>
    </row>
    <row r="870" spans="1:13" x14ac:dyDescent="0.2">
      <c r="A870" s="46" t="str">
        <f>[1]SUMMARY!A871</f>
        <v>195</v>
      </c>
      <c r="B870" s="46">
        <f>[1]SUMMARY!B871</f>
        <v>60</v>
      </c>
      <c r="C870" s="46">
        <f>[1]SUMMARY!C871</f>
        <v>16</v>
      </c>
      <c r="D870" s="47" t="str">
        <f>[1]SUMMARY!D871</f>
        <v>GOODYEAR</v>
      </c>
      <c r="E870" s="47" t="str">
        <f>[1]SUMMARY!E871</f>
        <v>ASSURANCE MAXGUARD</v>
      </c>
      <c r="F870" s="48"/>
      <c r="G870" s="48">
        <v>24</v>
      </c>
      <c r="H870" s="48">
        <v>20</v>
      </c>
      <c r="I870" s="30">
        <f t="shared" si="8"/>
        <v>4</v>
      </c>
      <c r="J870" s="55">
        <f>[1]SUMMARY!N871</f>
        <v>5210.5</v>
      </c>
      <c r="K870" s="50">
        <f t="shared" si="9"/>
        <v>20842</v>
      </c>
      <c r="L870" s="56"/>
      <c r="M870" s="56"/>
    </row>
    <row r="871" spans="1:13" x14ac:dyDescent="0.2">
      <c r="A871" s="46" t="str">
        <f>[1]SUMMARY!A872</f>
        <v>205</v>
      </c>
      <c r="B871" s="46">
        <f>[1]SUMMARY!B872</f>
        <v>60</v>
      </c>
      <c r="C871" s="46">
        <f>[1]SUMMARY!C872</f>
        <v>16</v>
      </c>
      <c r="D871" s="47" t="str">
        <f>[1]SUMMARY!D872</f>
        <v xml:space="preserve">GOODYEAR </v>
      </c>
      <c r="E871" s="47" t="str">
        <f>[1]SUMMARY!E872</f>
        <v>ASSURANCE TRIPLEMAX 2</v>
      </c>
      <c r="F871" s="48"/>
      <c r="G871" s="48">
        <v>109</v>
      </c>
      <c r="H871" s="48">
        <v>109</v>
      </c>
      <c r="I871" s="30">
        <f t="shared" si="8"/>
        <v>0</v>
      </c>
      <c r="J871" s="22">
        <f>[1]SUMMARY!N872</f>
        <v>5567.5</v>
      </c>
      <c r="K871" s="50">
        <f t="shared" si="9"/>
        <v>0</v>
      </c>
      <c r="L871" s="8"/>
      <c r="M871" s="8"/>
    </row>
    <row r="872" spans="1:13" x14ac:dyDescent="0.2">
      <c r="A872" s="52" t="str">
        <f>[1]SUMMARY!A873</f>
        <v>205</v>
      </c>
      <c r="B872" s="52">
        <f>[1]SUMMARY!B873</f>
        <v>60</v>
      </c>
      <c r="C872" s="52">
        <f>[1]SUMMARY!C873</f>
        <v>16</v>
      </c>
      <c r="D872" s="39" t="str">
        <f>[1]SUMMARY!D873</f>
        <v>GOODYEAR</v>
      </c>
      <c r="E872" s="39" t="str">
        <f>[1]SUMMARY!E873</f>
        <v>ASSURANCE MAXGUARD</v>
      </c>
      <c r="F872" s="30"/>
      <c r="G872" s="30">
        <v>108</v>
      </c>
      <c r="H872" s="48">
        <v>108</v>
      </c>
      <c r="I872" s="30">
        <f t="shared" si="8"/>
        <v>0</v>
      </c>
      <c r="J872" s="22">
        <f>[1]SUMMARY!N873</f>
        <v>5805.5</v>
      </c>
      <c r="K872" s="54">
        <f t="shared" si="9"/>
        <v>0</v>
      </c>
      <c r="L872" s="8"/>
      <c r="M872" s="8"/>
    </row>
    <row r="873" spans="1:13" x14ac:dyDescent="0.2">
      <c r="A873" s="52" t="str">
        <f>[1]SUMMARY!A874</f>
        <v>235</v>
      </c>
      <c r="B873" s="52">
        <f>[1]SUMMARY!B874</f>
        <v>60</v>
      </c>
      <c r="C873" s="52">
        <f>[1]SUMMARY!C874</f>
        <v>16</v>
      </c>
      <c r="D873" s="39" t="str">
        <f>[1]SUMMARY!D874</f>
        <v>GOODYEAR</v>
      </c>
      <c r="E873" s="39" t="str">
        <f>[1]SUMMARY!E874</f>
        <v>ASSURANCE MAXGUARD</v>
      </c>
      <c r="F873" s="30"/>
      <c r="G873" s="30"/>
      <c r="H873" s="30"/>
      <c r="I873" s="30">
        <f t="shared" si="8"/>
        <v>0</v>
      </c>
      <c r="J873" s="22">
        <f>[1]SUMMARY!N874</f>
        <v>7535.73</v>
      </c>
      <c r="K873" s="54">
        <f t="shared" si="9"/>
        <v>0</v>
      </c>
      <c r="L873" s="8"/>
      <c r="M873" s="8"/>
    </row>
    <row r="874" spans="1:13" x14ac:dyDescent="0.2">
      <c r="A874" s="52" t="str">
        <f>[1]SUMMARY!A875</f>
        <v>205</v>
      </c>
      <c r="B874" s="52">
        <f>[1]SUMMARY!B875</f>
        <v>65</v>
      </c>
      <c r="C874" s="52">
        <f>[1]SUMMARY!C875</f>
        <v>16</v>
      </c>
      <c r="D874" s="39" t="str">
        <f>[1]SUMMARY!D875</f>
        <v>GOODYEAR</v>
      </c>
      <c r="E874" s="39" t="str">
        <f>[1]SUMMARY!E875</f>
        <v>ASSURANCE MAXGUARD</v>
      </c>
      <c r="F874" s="30"/>
      <c r="G874" s="30">
        <v>1</v>
      </c>
      <c r="H874" s="30">
        <v>1</v>
      </c>
      <c r="I874" s="30">
        <f t="shared" si="8"/>
        <v>0</v>
      </c>
      <c r="J874" s="22">
        <f>[1]SUMMARY!N875</f>
        <v>5809.32</v>
      </c>
      <c r="K874" s="54">
        <f t="shared" si="9"/>
        <v>0</v>
      </c>
      <c r="L874" s="8"/>
      <c r="M874" s="8"/>
    </row>
    <row r="875" spans="1:13" x14ac:dyDescent="0.2">
      <c r="A875" s="17">
        <f>[1]SUMMARY!A876</f>
        <v>215</v>
      </c>
      <c r="B875" s="17">
        <f>[1]SUMMARY!B876</f>
        <v>65</v>
      </c>
      <c r="C875" s="17">
        <f>[1]SUMMARY!C876</f>
        <v>16</v>
      </c>
      <c r="D875" s="25" t="str">
        <f>[1]SUMMARY!D876</f>
        <v>GOODYEAR</v>
      </c>
      <c r="E875" s="25" t="str">
        <f>[1]SUMMARY!E876</f>
        <v>WRANGLER H/P</v>
      </c>
      <c r="F875" s="30"/>
      <c r="G875" s="30"/>
      <c r="H875" s="30"/>
      <c r="I875" s="30">
        <f t="shared" si="8"/>
        <v>0</v>
      </c>
      <c r="J875" s="22">
        <f>[1]SUMMARY!N876</f>
        <v>5170</v>
      </c>
      <c r="K875" s="54">
        <f t="shared" si="9"/>
        <v>0</v>
      </c>
      <c r="L875" s="8"/>
      <c r="M875" s="8"/>
    </row>
    <row r="876" spans="1:13" x14ac:dyDescent="0.2">
      <c r="A876" s="58">
        <f>[1]SUMMARY!A877</f>
        <v>215</v>
      </c>
      <c r="B876" s="58">
        <f>[1]SUMMARY!B877</f>
        <v>65</v>
      </c>
      <c r="C876" s="58">
        <f>[1]SUMMARY!C877</f>
        <v>16</v>
      </c>
      <c r="D876" s="59" t="str">
        <f>[1]SUMMARY!D877</f>
        <v>GOODYEAR</v>
      </c>
      <c r="E876" s="59" t="str">
        <f>[1]SUMMARY!E877</f>
        <v>WRANGLER TRIPLEMAX</v>
      </c>
      <c r="F876" s="20"/>
      <c r="G876" s="20">
        <v>4</v>
      </c>
      <c r="H876" s="20">
        <v>4</v>
      </c>
      <c r="I876" s="30">
        <f t="shared" si="8"/>
        <v>0</v>
      </c>
      <c r="J876" s="22">
        <f>[1]SUMMARY!N877</f>
        <v>6190</v>
      </c>
      <c r="K876" s="23">
        <f t="shared" si="9"/>
        <v>0</v>
      </c>
      <c r="L876" s="8"/>
      <c r="M876" s="8"/>
    </row>
    <row r="877" spans="1:13" x14ac:dyDescent="0.2">
      <c r="A877" s="58">
        <f>[1]SUMMARY!A878</f>
        <v>215</v>
      </c>
      <c r="B877" s="58">
        <f>[1]SUMMARY!B878</f>
        <v>65</v>
      </c>
      <c r="C877" s="58">
        <f>[1]SUMMARY!C878</f>
        <v>16</v>
      </c>
      <c r="D877" s="59" t="str">
        <f>[1]SUMMARY!D878</f>
        <v>GOODYEAR</v>
      </c>
      <c r="E877" s="59" t="str">
        <f>[1]SUMMARY!E878</f>
        <v>ASSURANCE MAXGUARD</v>
      </c>
      <c r="F877" s="20"/>
      <c r="G877" s="20">
        <v>2</v>
      </c>
      <c r="H877" s="20">
        <v>2</v>
      </c>
      <c r="I877" s="30">
        <f t="shared" si="8"/>
        <v>0</v>
      </c>
      <c r="J877" s="22">
        <f>[1]SUMMARY!N878</f>
        <v>6162.5</v>
      </c>
      <c r="K877" s="23">
        <f t="shared" si="9"/>
        <v>0</v>
      </c>
      <c r="L877" s="8"/>
      <c r="M877" s="8"/>
    </row>
    <row r="878" spans="1:13" x14ac:dyDescent="0.2">
      <c r="A878" s="58" t="str">
        <f>[1]SUMMARY!A879</f>
        <v>235</v>
      </c>
      <c r="B878" s="58">
        <f>[1]SUMMARY!B879</f>
        <v>65</v>
      </c>
      <c r="C878" s="58" t="str">
        <f>[1]SUMMARY!C879</f>
        <v>16C</v>
      </c>
      <c r="D878" s="59" t="str">
        <f>[1]SUMMARY!D879</f>
        <v>GOODYEAR</v>
      </c>
      <c r="E878" s="59" t="str">
        <f>[1]SUMMARY!E879</f>
        <v>CARGO MARATHON 2</v>
      </c>
      <c r="F878" s="20"/>
      <c r="G878" s="20">
        <v>16</v>
      </c>
      <c r="H878" s="20">
        <v>12</v>
      </c>
      <c r="I878" s="30">
        <f t="shared" si="8"/>
        <v>4</v>
      </c>
      <c r="J878" s="22">
        <f>[1]SUMMARY!N879</f>
        <v>8480</v>
      </c>
      <c r="K878" s="23">
        <f t="shared" si="9"/>
        <v>33920</v>
      </c>
      <c r="L878" s="8"/>
      <c r="M878" s="8"/>
    </row>
    <row r="879" spans="1:13" x14ac:dyDescent="0.2">
      <c r="A879" s="58">
        <f>[1]SUMMARY!A880</f>
        <v>215</v>
      </c>
      <c r="B879" s="58">
        <f>[1]SUMMARY!B880</f>
        <v>70</v>
      </c>
      <c r="C879" s="58">
        <f>[1]SUMMARY!C880</f>
        <v>16</v>
      </c>
      <c r="D879" s="59" t="str">
        <f>[1]SUMMARY!D880</f>
        <v>GOODYEAR</v>
      </c>
      <c r="E879" s="59" t="str">
        <f>[1]SUMMARY!E880</f>
        <v>WRANGLER TRIPLEMAX</v>
      </c>
      <c r="F879" s="20"/>
      <c r="G879" s="20"/>
      <c r="H879" s="20"/>
      <c r="I879" s="30">
        <f t="shared" si="8"/>
        <v>0</v>
      </c>
      <c r="J879" s="22">
        <f>[1]SUMMARY!N880</f>
        <v>6897.5</v>
      </c>
      <c r="K879" s="23">
        <f t="shared" si="9"/>
        <v>0</v>
      </c>
      <c r="L879" s="8"/>
      <c r="M879" s="8"/>
    </row>
    <row r="880" spans="1:13" x14ac:dyDescent="0.2">
      <c r="A880" s="58" t="str">
        <f>[1]SUMMARY!A881</f>
        <v>225</v>
      </c>
      <c r="B880" s="58">
        <f>[1]SUMMARY!B881</f>
        <v>70</v>
      </c>
      <c r="C880" s="58">
        <f>[1]SUMMARY!C881</f>
        <v>16</v>
      </c>
      <c r="D880" s="59" t="str">
        <f>[1]SUMMARY!D881</f>
        <v>GOODYEAR</v>
      </c>
      <c r="E880" s="59" t="str">
        <f>[1]SUMMARY!E881</f>
        <v>EFFICIENT GRIP</v>
      </c>
      <c r="F880" s="20">
        <v>4</v>
      </c>
      <c r="G880" s="20"/>
      <c r="H880" s="20">
        <v>4</v>
      </c>
      <c r="I880" s="30">
        <f t="shared" si="8"/>
        <v>0</v>
      </c>
      <c r="J880" s="22">
        <f>[1]SUMMARY!N881</f>
        <v>3069</v>
      </c>
      <c r="K880" s="23">
        <f t="shared" si="9"/>
        <v>0</v>
      </c>
      <c r="L880" s="8"/>
      <c r="M880" s="8"/>
    </row>
    <row r="881" spans="1:13" x14ac:dyDescent="0.2">
      <c r="A881" s="58">
        <f>[1]SUMMARY!A882</f>
        <v>245</v>
      </c>
      <c r="B881" s="58">
        <f>[1]SUMMARY!B882</f>
        <v>70</v>
      </c>
      <c r="C881" s="58">
        <f>[1]SUMMARY!C882</f>
        <v>16</v>
      </c>
      <c r="D881" s="59" t="str">
        <f>[1]SUMMARY!D882</f>
        <v>GOODYEAR</v>
      </c>
      <c r="E881" s="59" t="str">
        <f>[1]SUMMARY!E882</f>
        <v>WRANGLER H/P</v>
      </c>
      <c r="F881" s="20"/>
      <c r="G881" s="20"/>
      <c r="H881" s="20"/>
      <c r="I881" s="30">
        <f t="shared" si="8"/>
        <v>0</v>
      </c>
      <c r="J881" s="22">
        <f>[1]SUMMARY!N882</f>
        <v>5373</v>
      </c>
      <c r="K881" s="23">
        <f t="shared" si="9"/>
        <v>0</v>
      </c>
      <c r="L881" s="8"/>
      <c r="M881" s="8"/>
    </row>
    <row r="882" spans="1:13" x14ac:dyDescent="0.2">
      <c r="A882" s="58">
        <f>[1]SUMMARY!A883</f>
        <v>245</v>
      </c>
      <c r="B882" s="58">
        <f>[1]SUMMARY!B883</f>
        <v>70</v>
      </c>
      <c r="C882" s="58">
        <f>[1]SUMMARY!C883</f>
        <v>16</v>
      </c>
      <c r="D882" s="59" t="str">
        <f>[1]SUMMARY!D883</f>
        <v>GOODYEAR</v>
      </c>
      <c r="E882" s="59" t="str">
        <f>[1]SUMMARY!E883</f>
        <v>WRANGLER TRIPLEMAX</v>
      </c>
      <c r="F882" s="20"/>
      <c r="G882" s="20">
        <v>4</v>
      </c>
      <c r="H882" s="20">
        <v>4</v>
      </c>
      <c r="I882" s="30">
        <f t="shared" si="8"/>
        <v>0</v>
      </c>
      <c r="J882" s="22">
        <f>[1]SUMMARY!N883</f>
        <v>7230</v>
      </c>
      <c r="K882" s="23">
        <f t="shared" si="9"/>
        <v>0</v>
      </c>
      <c r="L882" s="8"/>
      <c r="M882" s="8"/>
    </row>
    <row r="883" spans="1:13" x14ac:dyDescent="0.2">
      <c r="A883" s="58">
        <f>[1]SUMMARY!A884</f>
        <v>245</v>
      </c>
      <c r="B883" s="58">
        <f>[1]SUMMARY!B884</f>
        <v>70</v>
      </c>
      <c r="C883" s="58">
        <f>[1]SUMMARY!C884</f>
        <v>16</v>
      </c>
      <c r="D883" s="59" t="str">
        <f>[1]SUMMARY!D884</f>
        <v>GOODYEAR</v>
      </c>
      <c r="E883" s="59" t="str">
        <f>[1]SUMMARY!E884</f>
        <v>ASSURANCE MAXGUARD</v>
      </c>
      <c r="F883" s="20"/>
      <c r="G883" s="20"/>
      <c r="I883" s="30">
        <f t="shared" si="8"/>
        <v>0</v>
      </c>
      <c r="J883" s="22">
        <f>[1]SUMMARY!N884</f>
        <v>7141.45</v>
      </c>
      <c r="K883" s="23">
        <f t="shared" si="9"/>
        <v>0</v>
      </c>
      <c r="L883" s="8"/>
      <c r="M883" s="8"/>
    </row>
    <row r="884" spans="1:13" x14ac:dyDescent="0.2">
      <c r="A884" s="58">
        <f>[1]SUMMARY!A885</f>
        <v>265</v>
      </c>
      <c r="B884" s="58">
        <f>[1]SUMMARY!B885</f>
        <v>70</v>
      </c>
      <c r="C884" s="58">
        <f>[1]SUMMARY!C885</f>
        <v>16</v>
      </c>
      <c r="D884" s="59" t="str">
        <f>[1]SUMMARY!D885</f>
        <v>GOODYEAR</v>
      </c>
      <c r="E884" s="59" t="str">
        <f>[1]SUMMARY!E885</f>
        <v>WRANGLER H/P</v>
      </c>
      <c r="F884" s="20"/>
      <c r="G884" s="20"/>
      <c r="I884" s="30">
        <f t="shared" si="8"/>
        <v>0</v>
      </c>
      <c r="J884" s="22">
        <f>[1]SUMMARY!N885</f>
        <v>8604.9</v>
      </c>
      <c r="K884" s="23">
        <f t="shared" si="9"/>
        <v>0</v>
      </c>
      <c r="L884" s="8"/>
      <c r="M884" s="8"/>
    </row>
    <row r="885" spans="1:13" x14ac:dyDescent="0.2">
      <c r="A885" s="58" t="str">
        <f>[1]SUMMARY!A886</f>
        <v>265</v>
      </c>
      <c r="B885" s="58">
        <f>[1]SUMMARY!B886</f>
        <v>70</v>
      </c>
      <c r="C885" s="58">
        <f>[1]SUMMARY!C886</f>
        <v>16</v>
      </c>
      <c r="D885" s="59" t="str">
        <f>[1]SUMMARY!D886</f>
        <v>GOODYEAR</v>
      </c>
      <c r="E885" s="59" t="str">
        <f>[1]SUMMARY!E886</f>
        <v>WRANGLER TRIPLEMAX</v>
      </c>
      <c r="F885" s="20">
        <v>31</v>
      </c>
      <c r="G885" s="20">
        <v>28</v>
      </c>
      <c r="H885" s="20">
        <v>59</v>
      </c>
      <c r="I885" s="36">
        <f t="shared" si="8"/>
        <v>0</v>
      </c>
      <c r="J885" s="22">
        <f>[1]SUMMARY!N886</f>
        <v>8600</v>
      </c>
      <c r="K885" s="23">
        <f t="shared" si="9"/>
        <v>0</v>
      </c>
      <c r="L885" s="8"/>
      <c r="M885" s="8"/>
    </row>
    <row r="886" spans="1:13" x14ac:dyDescent="0.2">
      <c r="A886" s="58" t="str">
        <f>[1]SUMMARY!A887</f>
        <v>265</v>
      </c>
      <c r="B886" s="58">
        <f>[1]SUMMARY!B887</f>
        <v>70</v>
      </c>
      <c r="C886" s="58">
        <f>[1]SUMMARY!C887</f>
        <v>16</v>
      </c>
      <c r="D886" s="59" t="str">
        <f>[1]SUMMARY!D887</f>
        <v>GOODYEAR</v>
      </c>
      <c r="E886" s="59" t="str">
        <f>[1]SUMMARY!E887</f>
        <v>ASSURANCE MAXGUARD SUV</v>
      </c>
      <c r="F886" s="20"/>
      <c r="G886" s="20">
        <v>8</v>
      </c>
      <c r="H886" s="20"/>
      <c r="I886" s="36">
        <f t="shared" si="8"/>
        <v>8</v>
      </c>
      <c r="J886" s="22">
        <f>[1]SUMMARY!N887</f>
        <v>9673</v>
      </c>
      <c r="K886" s="23">
        <f t="shared" si="9"/>
        <v>77384</v>
      </c>
      <c r="L886" s="8"/>
      <c r="M886" s="8"/>
    </row>
    <row r="887" spans="1:13" x14ac:dyDescent="0.2">
      <c r="A887" s="58" t="str">
        <f>[1]SUMMARY!A888</f>
        <v>205</v>
      </c>
      <c r="B887" s="58">
        <f>[1]SUMMARY!B888</f>
        <v>45</v>
      </c>
      <c r="C887" s="58">
        <f>[1]SUMMARY!C888</f>
        <v>17</v>
      </c>
      <c r="D887" s="59" t="str">
        <f>[1]SUMMARY!D888</f>
        <v>GOODYEAR</v>
      </c>
      <c r="E887" s="59" t="str">
        <f>[1]SUMMARY!E888</f>
        <v>EAGLE F1 SPORT</v>
      </c>
      <c r="F887" s="20"/>
      <c r="G887" s="20"/>
      <c r="H887" s="20"/>
      <c r="I887" s="30">
        <f t="shared" si="8"/>
        <v>0</v>
      </c>
      <c r="J887" s="22">
        <f>[1]SUMMARY!N888</f>
        <v>6964.11</v>
      </c>
      <c r="K887" s="23">
        <f t="shared" si="9"/>
        <v>0</v>
      </c>
      <c r="L887" s="8"/>
      <c r="M887" s="8"/>
    </row>
    <row r="888" spans="1:13" x14ac:dyDescent="0.2">
      <c r="A888" s="58" t="str">
        <f>[1]SUMMARY!A889</f>
        <v>215</v>
      </c>
      <c r="B888" s="58">
        <f>[1]SUMMARY!B889</f>
        <v>45</v>
      </c>
      <c r="C888" s="58">
        <f>[1]SUMMARY!C889</f>
        <v>17</v>
      </c>
      <c r="D888" s="59" t="str">
        <f>[1]SUMMARY!D889</f>
        <v>GOODYEAR</v>
      </c>
      <c r="E888" s="59" t="str">
        <f>[1]SUMMARY!E889</f>
        <v>91Y EAGLE F1 SPORT XL FP</v>
      </c>
      <c r="F888" s="20"/>
      <c r="G888" s="20"/>
      <c r="H888" s="20"/>
      <c r="I888" s="30">
        <f t="shared" si="8"/>
        <v>0</v>
      </c>
      <c r="J888" s="22">
        <f>[1]SUMMARY!N889</f>
        <v>5923.24</v>
      </c>
      <c r="K888" s="23">
        <f t="shared" si="9"/>
        <v>0</v>
      </c>
      <c r="L888" s="8"/>
      <c r="M888" s="8"/>
    </row>
    <row r="889" spans="1:13" x14ac:dyDescent="0.2">
      <c r="A889" s="58" t="str">
        <f>[1]SUMMARY!A890</f>
        <v>205</v>
      </c>
      <c r="B889" s="58">
        <f>[1]SUMMARY!B890</f>
        <v>55</v>
      </c>
      <c r="C889" s="58">
        <f>[1]SUMMARY!C890</f>
        <v>17</v>
      </c>
      <c r="D889" s="59" t="str">
        <f>[1]SUMMARY!D890</f>
        <v>GOODYEAR</v>
      </c>
      <c r="E889" s="59" t="str">
        <f>[1]SUMMARY!E890</f>
        <v>ASSURANCE COMFORT TRED</v>
      </c>
      <c r="F889" s="20"/>
      <c r="G889" s="20"/>
      <c r="H889" s="20"/>
      <c r="I889" s="30">
        <f t="shared" si="8"/>
        <v>0</v>
      </c>
      <c r="J889" s="22">
        <f>[1]SUMMARY!N890</f>
        <v>7036.57</v>
      </c>
      <c r="K889" s="23">
        <f t="shared" si="9"/>
        <v>0</v>
      </c>
      <c r="L889" s="8"/>
      <c r="M889" s="8"/>
    </row>
    <row r="890" spans="1:13" x14ac:dyDescent="0.2">
      <c r="A890" s="58" t="str">
        <f>[1]SUMMARY!A891</f>
        <v>205</v>
      </c>
      <c r="B890" s="58">
        <f>[1]SUMMARY!B891</f>
        <v>55</v>
      </c>
      <c r="C890" s="58">
        <f>[1]SUMMARY!C891</f>
        <v>17</v>
      </c>
      <c r="D890" s="59" t="str">
        <f>[1]SUMMARY!D891</f>
        <v>GOODYEAR</v>
      </c>
      <c r="E890" s="59" t="str">
        <f>[1]SUMMARY!E891</f>
        <v>ASSURANCE MAXGUARD</v>
      </c>
      <c r="F890" s="20"/>
      <c r="G890" s="20">
        <v>40</v>
      </c>
      <c r="H890" s="20">
        <v>38</v>
      </c>
      <c r="I890" s="30">
        <f t="shared" si="8"/>
        <v>2</v>
      </c>
      <c r="J890" s="22">
        <f>[1]SUMMARY!N891</f>
        <v>6681</v>
      </c>
      <c r="K890" s="23">
        <f t="shared" si="9"/>
        <v>13362</v>
      </c>
      <c r="L890" s="8"/>
      <c r="M890" s="8"/>
    </row>
    <row r="891" spans="1:13" x14ac:dyDescent="0.2">
      <c r="A891" s="58" t="str">
        <f>[1]SUMMARY!A892</f>
        <v>215</v>
      </c>
      <c r="B891" s="58">
        <f>[1]SUMMARY!B892</f>
        <v>55</v>
      </c>
      <c r="C891" s="58">
        <f>[1]SUMMARY!C892</f>
        <v>17</v>
      </c>
      <c r="D891" s="59" t="str">
        <f>[1]SUMMARY!D892</f>
        <v>GOODYEAR</v>
      </c>
      <c r="E891" s="59" t="str">
        <f>[1]SUMMARY!E892</f>
        <v>ASSURANCE MAXGUARD</v>
      </c>
      <c r="F891" s="20"/>
      <c r="G891" s="20">
        <v>108</v>
      </c>
      <c r="H891" s="20">
        <v>94</v>
      </c>
      <c r="I891" s="30">
        <f t="shared" si="8"/>
        <v>14</v>
      </c>
      <c r="J891" s="22">
        <f>[1]SUMMARY!N892</f>
        <v>7080</v>
      </c>
      <c r="K891" s="23">
        <f t="shared" si="9"/>
        <v>99120</v>
      </c>
      <c r="L891" s="8"/>
      <c r="M891" s="8"/>
    </row>
    <row r="892" spans="1:13" x14ac:dyDescent="0.2">
      <c r="A892" s="46" t="str">
        <f>[1]SUMMARY!A893</f>
        <v>215</v>
      </c>
      <c r="B892" s="46">
        <f>[1]SUMMARY!B893</f>
        <v>55</v>
      </c>
      <c r="C892" s="46">
        <f>[1]SUMMARY!C893</f>
        <v>17</v>
      </c>
      <c r="D892" s="47" t="str">
        <f>[1]SUMMARY!D893</f>
        <v xml:space="preserve">GOODYEAR </v>
      </c>
      <c r="E892" s="47" t="str">
        <f>[1]SUMMARY!E893</f>
        <v>ASS TRIPLEMAX 2</v>
      </c>
      <c r="F892" s="48"/>
      <c r="G892" s="48">
        <v>69</v>
      </c>
      <c r="H892" s="48">
        <v>69</v>
      </c>
      <c r="I892" s="30">
        <f t="shared" si="8"/>
        <v>0</v>
      </c>
      <c r="J892" s="22">
        <f>[1]SUMMARY!N893</f>
        <v>6791.5</v>
      </c>
      <c r="K892" s="50">
        <f t="shared" si="9"/>
        <v>0</v>
      </c>
      <c r="L892" s="8"/>
      <c r="M892" s="8"/>
    </row>
    <row r="893" spans="1:13" x14ac:dyDescent="0.2">
      <c r="A893" s="52" t="str">
        <f>[1]SUMMARY!A894</f>
        <v>265</v>
      </c>
      <c r="B893" s="52">
        <f>[1]SUMMARY!B894</f>
        <v>65</v>
      </c>
      <c r="C893" s="52">
        <f>[1]SUMMARY!C894</f>
        <v>17</v>
      </c>
      <c r="D893" s="39" t="str">
        <f>[1]SUMMARY!D894</f>
        <v xml:space="preserve">GOODYEAR </v>
      </c>
      <c r="E893" s="39" t="str">
        <f>[1]SUMMARY!E894</f>
        <v>ASSURANCE MAX GUARD SUV</v>
      </c>
      <c r="F893" s="21"/>
      <c r="G893" s="21">
        <v>106</v>
      </c>
      <c r="H893" s="21">
        <v>102</v>
      </c>
      <c r="I893" s="36">
        <f t="shared" si="8"/>
        <v>4</v>
      </c>
      <c r="J893" s="53">
        <f>[1]SUMMARY!N894</f>
        <v>7900</v>
      </c>
      <c r="K893" s="54">
        <f t="shared" si="9"/>
        <v>31600</v>
      </c>
      <c r="L893" s="8"/>
      <c r="M893" s="8"/>
    </row>
    <row r="894" spans="1:13" x14ac:dyDescent="0.2">
      <c r="A894" s="52">
        <f>[1]SUMMARY!A895</f>
        <v>265</v>
      </c>
      <c r="B894" s="52">
        <f>[1]SUMMARY!B895</f>
        <v>65</v>
      </c>
      <c r="C894" s="52">
        <f>[1]SUMMARY!C895</f>
        <v>17</v>
      </c>
      <c r="D894" s="39" t="str">
        <f>[1]SUMMARY!D895</f>
        <v>GOODYEAR</v>
      </c>
      <c r="E894" s="39" t="str">
        <f>[1]SUMMARY!E895</f>
        <v>WRANGLER TRIPLEMAX</v>
      </c>
      <c r="F894" s="21"/>
      <c r="G894" s="21">
        <v>12</v>
      </c>
      <c r="H894" s="21">
        <v>12</v>
      </c>
      <c r="I894" s="30">
        <f t="shared" si="8"/>
        <v>0</v>
      </c>
      <c r="J894" s="53">
        <f>[1]SUMMARY!N895</f>
        <v>6900</v>
      </c>
      <c r="K894" s="54">
        <f t="shared" si="9"/>
        <v>0</v>
      </c>
      <c r="L894" s="8"/>
      <c r="M894" s="8"/>
    </row>
    <row r="895" spans="1:13" x14ac:dyDescent="0.2">
      <c r="A895" s="52" t="str">
        <f>[1]SUMMARY!A896</f>
        <v>265</v>
      </c>
      <c r="B895" s="52">
        <f>[1]SUMMARY!B896</f>
        <v>65</v>
      </c>
      <c r="C895" s="52">
        <f>[1]SUMMARY!C896</f>
        <v>17</v>
      </c>
      <c r="D895" s="39" t="str">
        <f>[1]SUMMARY!D896</f>
        <v>GOODYEAR</v>
      </c>
      <c r="E895" s="39" t="str">
        <f>[1]SUMMARY!E896</f>
        <v>WRANGLER HP</v>
      </c>
      <c r="F895" s="21"/>
      <c r="G895" s="21">
        <v>1</v>
      </c>
      <c r="H895" s="21">
        <v>1</v>
      </c>
      <c r="I895" s="30">
        <f t="shared" si="8"/>
        <v>0</v>
      </c>
      <c r="J895" s="53">
        <f>[1]SUMMARY!N896</f>
        <v>8748</v>
      </c>
      <c r="K895" s="54">
        <f t="shared" si="9"/>
        <v>0</v>
      </c>
      <c r="L895" s="8"/>
      <c r="M895" s="8"/>
    </row>
    <row r="896" spans="1:13" x14ac:dyDescent="0.2">
      <c r="A896" s="46" t="str">
        <f>[1]SUMMARY!A897</f>
        <v>265</v>
      </c>
      <c r="B896" s="46">
        <f>[1]SUMMARY!B897</f>
        <v>65</v>
      </c>
      <c r="C896" s="46">
        <f>[1]SUMMARY!C897</f>
        <v>17</v>
      </c>
      <c r="D896" s="47" t="str">
        <f>[1]SUMMARY!D897</f>
        <v>GOODYEAR</v>
      </c>
      <c r="E896" s="47" t="str">
        <f>[1]SUMMARY!E897</f>
        <v>WRANGLER AT SILENTTRAC</v>
      </c>
      <c r="F896" s="48"/>
      <c r="G896" s="48">
        <v>368</v>
      </c>
      <c r="H896" s="48">
        <v>368</v>
      </c>
      <c r="I896" s="36">
        <f t="shared" si="8"/>
        <v>0</v>
      </c>
      <c r="J896" s="55">
        <f>[1]SUMMARY!N897</f>
        <v>8507.89</v>
      </c>
      <c r="K896" s="50">
        <f t="shared" si="9"/>
        <v>0</v>
      </c>
      <c r="L896" s="8"/>
      <c r="M896" s="8"/>
    </row>
    <row r="897" spans="1:13" x14ac:dyDescent="0.2">
      <c r="A897" s="52" t="str">
        <f>[1]SUMMARY!A898</f>
        <v>265</v>
      </c>
      <c r="B897" s="52">
        <f>[1]SUMMARY!B898</f>
        <v>70</v>
      </c>
      <c r="C897" s="52">
        <f>[1]SUMMARY!C898</f>
        <v>17</v>
      </c>
      <c r="D897" s="39" t="str">
        <f>[1]SUMMARY!D898</f>
        <v>GOODYEAR</v>
      </c>
      <c r="E897" s="39" t="str">
        <f>[1]SUMMARY!E898</f>
        <v>WRL DURATRAC</v>
      </c>
      <c r="F897" s="21"/>
      <c r="G897" s="21"/>
      <c r="H897" s="21"/>
      <c r="I897" s="30">
        <f t="shared" si="8"/>
        <v>0</v>
      </c>
      <c r="J897" s="53">
        <f>[1]SUMMARY!N898</f>
        <v>15791.96</v>
      </c>
      <c r="K897" s="54">
        <f t="shared" si="9"/>
        <v>0</v>
      </c>
      <c r="L897" s="8"/>
      <c r="M897" s="8"/>
    </row>
    <row r="898" spans="1:13" x14ac:dyDescent="0.2">
      <c r="A898" s="52" t="str">
        <f>[1]SUMMARY!A899</f>
        <v>285</v>
      </c>
      <c r="B898" s="52">
        <f>[1]SUMMARY!B899</f>
        <v>70</v>
      </c>
      <c r="C898" s="52">
        <f>[1]SUMMARY!C899</f>
        <v>17</v>
      </c>
      <c r="D898" s="39" t="str">
        <f>[1]SUMMARY!D899</f>
        <v>GOODYEAR</v>
      </c>
      <c r="E898" s="39" t="str">
        <f>[1]SUMMARY!E899</f>
        <v>WRANGLER DURATRAC</v>
      </c>
      <c r="F898" s="21"/>
      <c r="G898" s="21">
        <v>5</v>
      </c>
      <c r="H898" s="21">
        <v>5</v>
      </c>
      <c r="I898" s="30">
        <f t="shared" si="8"/>
        <v>0</v>
      </c>
      <c r="J898" s="53">
        <f>[1]SUMMARY!N899</f>
        <v>17919.560000000001</v>
      </c>
      <c r="K898" s="54">
        <f t="shared" si="9"/>
        <v>0</v>
      </c>
      <c r="L898" s="8"/>
      <c r="M898" s="8"/>
    </row>
    <row r="899" spans="1:13" x14ac:dyDescent="0.2">
      <c r="A899" s="52" t="str">
        <f>[1]SUMMARY!A900</f>
        <v>285</v>
      </c>
      <c r="B899" s="52">
        <f>[1]SUMMARY!B900</f>
        <v>70</v>
      </c>
      <c r="C899" s="52">
        <f>[1]SUMMARY!C900</f>
        <v>17</v>
      </c>
      <c r="D899" s="39" t="str">
        <f>[1]SUMMARY!D900</f>
        <v>GOODYEAR</v>
      </c>
      <c r="E899" s="39" t="str">
        <f>[1]SUMMARY!E900</f>
        <v>WRL DURATRAC RT</v>
      </c>
      <c r="F899" s="21"/>
      <c r="G899" s="21">
        <v>20</v>
      </c>
      <c r="H899" s="21">
        <v>16</v>
      </c>
      <c r="I899" s="30">
        <f t="shared" si="8"/>
        <v>4</v>
      </c>
      <c r="J899" s="53">
        <f>[1]SUMMARY!N900</f>
        <v>13886.36</v>
      </c>
      <c r="K899" s="54">
        <f t="shared" si="9"/>
        <v>55545.440000000002</v>
      </c>
      <c r="L899" s="8"/>
      <c r="M899" s="8"/>
    </row>
    <row r="900" spans="1:13" x14ac:dyDescent="0.2">
      <c r="A900" s="52" t="str">
        <f>[1]SUMMARY!A901</f>
        <v>235</v>
      </c>
      <c r="B900" s="52">
        <f>[1]SUMMARY!B901</f>
        <v>50</v>
      </c>
      <c r="C900" s="52">
        <f>[1]SUMMARY!C901</f>
        <v>18</v>
      </c>
      <c r="D900" s="39" t="str">
        <f>[1]SUMMARY!D901</f>
        <v>GOODYEAR</v>
      </c>
      <c r="E900" s="39" t="str">
        <f>[1]SUMMARY!E901</f>
        <v>ASSURANCE MAXGUARD</v>
      </c>
      <c r="F900" s="21"/>
      <c r="G900" s="21">
        <v>25</v>
      </c>
      <c r="H900" s="21">
        <v>25</v>
      </c>
      <c r="I900" s="30">
        <f t="shared" si="8"/>
        <v>0</v>
      </c>
      <c r="J900" s="53">
        <f>[1]SUMMARY!N901</f>
        <v>9200</v>
      </c>
      <c r="K900" s="54">
        <f t="shared" si="9"/>
        <v>0</v>
      </c>
      <c r="L900" s="8"/>
      <c r="M900" s="8"/>
    </row>
    <row r="901" spans="1:13" x14ac:dyDescent="0.2">
      <c r="A901" s="52" t="str">
        <f>[1]SUMMARY!A902</f>
        <v>235</v>
      </c>
      <c r="B901" s="52">
        <f>[1]SUMMARY!B902</f>
        <v>40</v>
      </c>
      <c r="C901" s="52">
        <f>[1]SUMMARY!C902</f>
        <v>18</v>
      </c>
      <c r="D901" s="39" t="str">
        <f>[1]SUMMARY!D902</f>
        <v>GOODYEAR</v>
      </c>
      <c r="E901" s="39" t="str">
        <f>[1]SUMMARY!E902</f>
        <v>EAGLE F1 ASYMMETRIC 6</v>
      </c>
      <c r="F901" s="21"/>
      <c r="G901" s="21"/>
      <c r="H901" s="21"/>
      <c r="I901" s="30">
        <f t="shared" si="8"/>
        <v>0</v>
      </c>
      <c r="J901" s="53">
        <f>[1]SUMMARY!N902</f>
        <v>9355.26</v>
      </c>
      <c r="K901" s="54">
        <f t="shared" si="9"/>
        <v>0</v>
      </c>
      <c r="L901" s="8"/>
      <c r="M901" s="8"/>
    </row>
    <row r="902" spans="1:13" x14ac:dyDescent="0.2">
      <c r="A902" s="52" t="str">
        <f>[1]SUMMARY!A903</f>
        <v>245</v>
      </c>
      <c r="B902" s="52">
        <f>[1]SUMMARY!B903</f>
        <v>45</v>
      </c>
      <c r="C902" s="52">
        <f>[1]SUMMARY!C903</f>
        <v>18</v>
      </c>
      <c r="D902" s="39" t="str">
        <f>[1]SUMMARY!D903</f>
        <v>GOODYEAR</v>
      </c>
      <c r="E902" s="39" t="str">
        <f>[1]SUMMARY!E903</f>
        <v>EAGLE F1</v>
      </c>
      <c r="F902" s="21"/>
      <c r="G902" s="21"/>
      <c r="H902" s="21"/>
      <c r="I902" s="30">
        <f t="shared" si="8"/>
        <v>0</v>
      </c>
      <c r="J902" s="53">
        <f>[1]SUMMARY!N903</f>
        <v>8155.66</v>
      </c>
      <c r="K902" s="54">
        <f t="shared" si="9"/>
        <v>0</v>
      </c>
      <c r="L902" s="8"/>
      <c r="M902" s="8"/>
    </row>
    <row r="903" spans="1:13" x14ac:dyDescent="0.2">
      <c r="A903" s="52" t="str">
        <f>[1]SUMMARY!A904</f>
        <v>215</v>
      </c>
      <c r="B903" s="52">
        <f>[1]SUMMARY!B904</f>
        <v>55</v>
      </c>
      <c r="C903" s="52">
        <f>[1]SUMMARY!C904</f>
        <v>18</v>
      </c>
      <c r="D903" s="39" t="str">
        <f>[1]SUMMARY!D904</f>
        <v>GOODYEAR</v>
      </c>
      <c r="E903" s="39" t="str">
        <f>[1]SUMMARY!E904</f>
        <v>ASSURANCE MAXGUARD</v>
      </c>
      <c r="F903" s="21"/>
      <c r="G903" s="21"/>
      <c r="H903" s="21"/>
      <c r="I903" s="30">
        <f t="shared" si="8"/>
        <v>0</v>
      </c>
      <c r="J903" s="53">
        <f>[1]SUMMARY!N904</f>
        <v>10144.25</v>
      </c>
      <c r="K903" s="54">
        <f t="shared" si="9"/>
        <v>0</v>
      </c>
      <c r="L903" s="8"/>
      <c r="M903" s="8"/>
    </row>
    <row r="904" spans="1:13" x14ac:dyDescent="0.2">
      <c r="A904" s="52" t="str">
        <f>[1]SUMMARY!A905</f>
        <v>225</v>
      </c>
      <c r="B904" s="52">
        <f>[1]SUMMARY!B905</f>
        <v>55</v>
      </c>
      <c r="C904" s="52">
        <f>[1]SUMMARY!C905</f>
        <v>18</v>
      </c>
      <c r="D904" s="39" t="str">
        <f>[1]SUMMARY!D905</f>
        <v>GOODYEAR</v>
      </c>
      <c r="E904" s="39" t="str">
        <f>[1]SUMMARY!E905</f>
        <v>ASSURANCE MAXGUARD</v>
      </c>
      <c r="F904" s="21"/>
      <c r="G904" s="21">
        <v>20</v>
      </c>
      <c r="H904" s="21">
        <v>16</v>
      </c>
      <c r="I904" s="30">
        <f t="shared" si="8"/>
        <v>4</v>
      </c>
      <c r="J904" s="53">
        <f>[1]SUMMARY!N905</f>
        <v>11247.25</v>
      </c>
      <c r="K904" s="54">
        <f t="shared" si="9"/>
        <v>44989</v>
      </c>
      <c r="L904" s="8"/>
      <c r="M904" s="8"/>
    </row>
    <row r="905" spans="1:13" x14ac:dyDescent="0.2">
      <c r="A905" s="52" t="str">
        <f>[1]SUMMARY!A906</f>
        <v>265</v>
      </c>
      <c r="B905" s="52">
        <f>[1]SUMMARY!B906</f>
        <v>60</v>
      </c>
      <c r="C905" s="52">
        <f>[1]SUMMARY!C906</f>
        <v>18</v>
      </c>
      <c r="D905" s="39" t="str">
        <f>[1]SUMMARY!D906</f>
        <v>GOODYEAR</v>
      </c>
      <c r="E905" s="39" t="str">
        <f>[1]SUMMARY!E906</f>
        <v>ASSU MAXGUARD</v>
      </c>
      <c r="F905" s="21"/>
      <c r="G905" s="21">
        <v>146</v>
      </c>
      <c r="H905" s="21">
        <v>142</v>
      </c>
      <c r="I905" s="36">
        <f t="shared" si="8"/>
        <v>4</v>
      </c>
      <c r="J905" s="53">
        <f>[1]SUMMARY!N906</f>
        <v>8959.15</v>
      </c>
      <c r="K905" s="54">
        <f t="shared" si="9"/>
        <v>35836.6</v>
      </c>
      <c r="L905" s="8"/>
      <c r="M905" s="8"/>
    </row>
    <row r="906" spans="1:13" x14ac:dyDescent="0.2">
      <c r="A906" s="52" t="str">
        <f>[1]SUMMARY!A907</f>
        <v>265</v>
      </c>
      <c r="B906" s="52">
        <f>[1]SUMMARY!B907</f>
        <v>60</v>
      </c>
      <c r="C906" s="52">
        <f>[1]SUMMARY!C907</f>
        <v>18</v>
      </c>
      <c r="D906" s="39" t="str">
        <f>[1]SUMMARY!D907</f>
        <v>GOODYEAR</v>
      </c>
      <c r="E906" s="39" t="str">
        <f>[1]SUMMARY!E907</f>
        <v>EFFICIENT GRIP</v>
      </c>
      <c r="F906" s="21"/>
      <c r="G906" s="21">
        <v>8</v>
      </c>
      <c r="H906" s="21">
        <v>8</v>
      </c>
      <c r="I906" s="30">
        <f t="shared" si="8"/>
        <v>0</v>
      </c>
      <c r="J906" s="53">
        <f>[1]SUMMARY!N907</f>
        <v>10375.620000000001</v>
      </c>
      <c r="K906" s="54">
        <f t="shared" si="9"/>
        <v>0</v>
      </c>
      <c r="L906" s="8"/>
      <c r="M906" s="8"/>
    </row>
    <row r="907" spans="1:13" x14ac:dyDescent="0.2">
      <c r="A907" s="46" t="str">
        <f>[1]SUMMARY!A908</f>
        <v>265</v>
      </c>
      <c r="B907" s="46">
        <f>[1]SUMMARY!B908</f>
        <v>60</v>
      </c>
      <c r="C907" s="46">
        <f>[1]SUMMARY!C908</f>
        <v>18</v>
      </c>
      <c r="D907" s="47" t="str">
        <f>[1]SUMMARY!D908</f>
        <v>GOODYEAR</v>
      </c>
      <c r="E907" s="47" t="str">
        <f>[1]SUMMARY!E908</f>
        <v>WRANGLER AT SILENTTRAC</v>
      </c>
      <c r="F907" s="48"/>
      <c r="G907" s="48">
        <v>287</v>
      </c>
      <c r="H907" s="48">
        <v>283</v>
      </c>
      <c r="I907" s="30">
        <f t="shared" si="8"/>
        <v>4</v>
      </c>
      <c r="J907" s="55">
        <f>[1]SUMMARY!N908</f>
        <v>9545.27</v>
      </c>
      <c r="K907" s="50">
        <f t="shared" si="9"/>
        <v>38181.08</v>
      </c>
      <c r="L907" s="8"/>
      <c r="M907" s="8"/>
    </row>
    <row r="908" spans="1:13" x14ac:dyDescent="0.2">
      <c r="A908" s="52" t="str">
        <f>[1]SUMMARY!A909</f>
        <v>255</v>
      </c>
      <c r="B908" s="52">
        <f>[1]SUMMARY!B909</f>
        <v>65</v>
      </c>
      <c r="C908" s="52">
        <f>[1]SUMMARY!C909</f>
        <v>18</v>
      </c>
      <c r="D908" s="39" t="str">
        <f>[1]SUMMARY!D909</f>
        <v>GOODYEAR</v>
      </c>
      <c r="E908" s="39" t="str">
        <f>[1]SUMMARY!E909</f>
        <v>TERRITORY HT</v>
      </c>
      <c r="F908" s="21"/>
      <c r="G908" s="21">
        <v>11</v>
      </c>
      <c r="H908" s="21">
        <v>11</v>
      </c>
      <c r="I908" s="30">
        <f t="shared" si="8"/>
        <v>0</v>
      </c>
      <c r="J908" s="53">
        <f>[1]SUMMARY!N909</f>
        <v>11110.38</v>
      </c>
      <c r="K908" s="54">
        <f t="shared" si="9"/>
        <v>0</v>
      </c>
      <c r="L908" s="8"/>
      <c r="M908" s="8"/>
    </row>
    <row r="909" spans="1:13" x14ac:dyDescent="0.2">
      <c r="A909" s="52" t="str">
        <f>[1]SUMMARY!A910</f>
        <v>235</v>
      </c>
      <c r="B909" s="52">
        <f>[1]SUMMARY!B910</f>
        <v>50</v>
      </c>
      <c r="C909" s="52">
        <f>[1]SUMMARY!C910</f>
        <v>19</v>
      </c>
      <c r="D909" s="39" t="str">
        <f>[1]SUMMARY!D910</f>
        <v>GOODYEAR</v>
      </c>
      <c r="E909" s="39" t="str">
        <f>[1]SUMMARY!E910</f>
        <v>EFFIGRIP PERFORMANCE SUV</v>
      </c>
      <c r="F909" s="21"/>
      <c r="G909" s="21">
        <v>2</v>
      </c>
      <c r="H909" s="21">
        <v>2</v>
      </c>
      <c r="I909" s="30">
        <f t="shared" si="8"/>
        <v>0</v>
      </c>
      <c r="J909" s="53">
        <f>[1]SUMMARY!N910</f>
        <v>14227.44</v>
      </c>
      <c r="K909" s="54">
        <f t="shared" si="9"/>
        <v>0</v>
      </c>
      <c r="L909" s="8"/>
      <c r="M909" s="8"/>
    </row>
    <row r="910" spans="1:13" x14ac:dyDescent="0.2">
      <c r="A910" s="52" t="str">
        <f>[1]SUMMARY!A911</f>
        <v>225</v>
      </c>
      <c r="B910" s="52">
        <f>[1]SUMMARY!B911</f>
        <v>55</v>
      </c>
      <c r="C910" s="52">
        <f>[1]SUMMARY!C911</f>
        <v>19</v>
      </c>
      <c r="D910" s="39" t="str">
        <f>[1]SUMMARY!D911</f>
        <v>GOODYEAR</v>
      </c>
      <c r="E910" s="39" t="str">
        <f>[1]SUMMARY!E911</f>
        <v>EFFIGRIP PERFORMANCE SUV</v>
      </c>
      <c r="F910" s="21"/>
      <c r="G910" s="21"/>
      <c r="H910" s="21"/>
      <c r="I910" s="30">
        <f t="shared" si="8"/>
        <v>0</v>
      </c>
      <c r="J910" s="53">
        <f>[1]SUMMARY!N911</f>
        <v>8895.6299999999992</v>
      </c>
      <c r="K910" s="54">
        <f t="shared" si="9"/>
        <v>0</v>
      </c>
      <c r="L910" s="8"/>
      <c r="M910" s="8"/>
    </row>
    <row r="911" spans="1:13" x14ac:dyDescent="0.2">
      <c r="A911" s="52" t="str">
        <f>[1]SUMMARY!A912</f>
        <v>235</v>
      </c>
      <c r="B911" s="52">
        <f>[1]SUMMARY!B912</f>
        <v>50</v>
      </c>
      <c r="C911" s="52">
        <f>[1]SUMMARY!C912</f>
        <v>20</v>
      </c>
      <c r="D911" s="39" t="str">
        <f>[1]SUMMARY!D912</f>
        <v>GOODYEAR</v>
      </c>
      <c r="E911" s="39" t="str">
        <f>[1]SUMMARY!E912</f>
        <v>EFFIGRIP PERFORMANCE SUV</v>
      </c>
      <c r="F911" s="21"/>
      <c r="G911" s="21"/>
      <c r="H911" s="21"/>
      <c r="I911" s="30">
        <f t="shared" si="8"/>
        <v>0</v>
      </c>
      <c r="J911" s="53">
        <f>[1]SUMMARY!N912</f>
        <v>12140.91</v>
      </c>
      <c r="K911" s="54">
        <f t="shared" si="9"/>
        <v>0</v>
      </c>
      <c r="L911" s="8"/>
      <c r="M911" s="8"/>
    </row>
    <row r="912" spans="1:13" x14ac:dyDescent="0.2">
      <c r="A912" s="52">
        <f>[1]SUMMARY!A913</f>
        <v>265</v>
      </c>
      <c r="B912" s="52">
        <f>[1]SUMMARY!B913</f>
        <v>50</v>
      </c>
      <c r="C912" s="52">
        <f>[1]SUMMARY!C913</f>
        <v>20</v>
      </c>
      <c r="D912" s="39" t="str">
        <f>[1]SUMMARY!D913</f>
        <v>GOODYEAR</v>
      </c>
      <c r="E912" s="39" t="str">
        <f>[1]SUMMARY!E913</f>
        <v>EFFICIENT GRIP</v>
      </c>
      <c r="F912" s="21"/>
      <c r="G912" s="21">
        <v>87</v>
      </c>
      <c r="H912" s="21">
        <v>87</v>
      </c>
      <c r="I912" s="30">
        <f t="shared" si="8"/>
        <v>0</v>
      </c>
      <c r="J912" s="53">
        <f>[1]SUMMARY!N913</f>
        <v>11200</v>
      </c>
      <c r="K912" s="54">
        <f t="shared" si="9"/>
        <v>0</v>
      </c>
      <c r="L912" s="8"/>
      <c r="M912" s="8"/>
    </row>
    <row r="913" spans="1:13" x14ac:dyDescent="0.2">
      <c r="A913" s="46">
        <f>[1]SUMMARY!A914</f>
        <v>265</v>
      </c>
      <c r="B913" s="46">
        <f>[1]SUMMARY!B914</f>
        <v>50</v>
      </c>
      <c r="C913" s="46">
        <f>[1]SUMMARY!C914</f>
        <v>20</v>
      </c>
      <c r="D913" s="47" t="str">
        <f>[1]SUMMARY!D914</f>
        <v>GOODYEAR</v>
      </c>
      <c r="E913" s="47" t="str">
        <f>[1]SUMMARY!E914</f>
        <v>ASSURANCE MAXGUARD</v>
      </c>
      <c r="F913" s="48"/>
      <c r="G913" s="48">
        <v>84</v>
      </c>
      <c r="H913" s="48">
        <v>84</v>
      </c>
      <c r="I913" s="36">
        <f t="shared" si="8"/>
        <v>0</v>
      </c>
      <c r="J913" s="55">
        <f>[1]SUMMARY!N914</f>
        <v>9703.4599999999991</v>
      </c>
      <c r="K913" s="50">
        <f t="shared" si="9"/>
        <v>0</v>
      </c>
      <c r="L913" s="56"/>
      <c r="M913" s="56"/>
    </row>
    <row r="914" spans="1:13" x14ac:dyDescent="0.2">
      <c r="A914" s="52">
        <f>[1]SUMMARY!A915</f>
        <v>255</v>
      </c>
      <c r="B914" s="52">
        <f>[1]SUMMARY!B915</f>
        <v>55</v>
      </c>
      <c r="C914" s="52">
        <f>[1]SUMMARY!C915</f>
        <v>20</v>
      </c>
      <c r="D914" s="39" t="str">
        <f>[1]SUMMARY!D915</f>
        <v>GOODYEAR</v>
      </c>
      <c r="E914" s="39" t="str">
        <f>[1]SUMMARY!E915</f>
        <v>WRANGLER TERRITORY</v>
      </c>
      <c r="F914" s="21"/>
      <c r="G914" s="21">
        <v>28</v>
      </c>
      <c r="H914" s="21">
        <v>28</v>
      </c>
      <c r="I914" s="36">
        <f t="shared" si="8"/>
        <v>0</v>
      </c>
      <c r="J914" s="53">
        <f>[1]SUMMARY!N915</f>
        <v>13912.12</v>
      </c>
      <c r="K914" s="54">
        <f t="shared" si="9"/>
        <v>0</v>
      </c>
      <c r="L914" s="28">
        <f>SUM(K831:K914)</f>
        <v>668819.61999999988</v>
      </c>
      <c r="M914" s="29" t="s">
        <v>39</v>
      </c>
    </row>
    <row r="915" spans="1:13" x14ac:dyDescent="0.2">
      <c r="A915" s="52">
        <f>[1]SUMMARY!A916</f>
        <v>165</v>
      </c>
      <c r="B915" s="52">
        <f>[1]SUMMARY!B916</f>
        <v>65</v>
      </c>
      <c r="C915" s="52">
        <f>[1]SUMMARY!C916</f>
        <v>13</v>
      </c>
      <c r="D915" s="39" t="str">
        <f>[1]SUMMARY!D916</f>
        <v>GREMAX (CH)</v>
      </c>
      <c r="E915" s="39" t="str">
        <f>[1]SUMMARY!E916</f>
        <v>CF1 77T</v>
      </c>
      <c r="F915" s="21"/>
      <c r="G915" s="21"/>
      <c r="H915" s="21"/>
      <c r="I915" s="21">
        <f t="shared" si="8"/>
        <v>0</v>
      </c>
      <c r="J915" s="53">
        <f>[1]SUMMARY!N916</f>
        <v>1280</v>
      </c>
      <c r="K915" s="54">
        <f t="shared" si="9"/>
        <v>0</v>
      </c>
      <c r="L915" s="56"/>
      <c r="M915" s="56"/>
    </row>
    <row r="916" spans="1:13" x14ac:dyDescent="0.2">
      <c r="A916" s="52">
        <f>[1]SUMMARY!A917</f>
        <v>175</v>
      </c>
      <c r="B916" s="52">
        <f>[1]SUMMARY!B917</f>
        <v>70</v>
      </c>
      <c r="C916" s="52">
        <f>[1]SUMMARY!C917</f>
        <v>13</v>
      </c>
      <c r="D916" s="39" t="str">
        <f>[1]SUMMARY!D917</f>
        <v>GREMAX (CH)</v>
      </c>
      <c r="E916" s="39" t="str">
        <f>[1]SUMMARY!E917</f>
        <v>CF1 82T</v>
      </c>
      <c r="F916" s="21"/>
      <c r="G916" s="21">
        <v>4</v>
      </c>
      <c r="H916" s="21">
        <v>4</v>
      </c>
      <c r="I916" s="21">
        <f t="shared" si="8"/>
        <v>0</v>
      </c>
      <c r="J916" s="53">
        <f>[1]SUMMARY!N917</f>
        <v>1410</v>
      </c>
      <c r="K916" s="54">
        <f t="shared" si="9"/>
        <v>0</v>
      </c>
      <c r="L916" s="56"/>
      <c r="M916" s="56"/>
    </row>
    <row r="917" spans="1:13" x14ac:dyDescent="0.2">
      <c r="A917" s="52">
        <f>[1]SUMMARY!A918</f>
        <v>165</v>
      </c>
      <c r="B917" s="52">
        <f>[1]SUMMARY!B918</f>
        <v>80</v>
      </c>
      <c r="C917" s="52">
        <f>[1]SUMMARY!C918</f>
        <v>13</v>
      </c>
      <c r="D917" s="39" t="str">
        <f>[1]SUMMARY!D918</f>
        <v>GREMAX (CH)</v>
      </c>
      <c r="E917" s="39" t="str">
        <f>[1]SUMMARY!E918</f>
        <v>CF1 83T</v>
      </c>
      <c r="F917" s="21"/>
      <c r="G917" s="21">
        <v>4</v>
      </c>
      <c r="H917" s="21">
        <v>4</v>
      </c>
      <c r="I917" s="21">
        <f t="shared" si="8"/>
        <v>0</v>
      </c>
      <c r="J917" s="53">
        <f>[1]SUMMARY!N918</f>
        <v>1400</v>
      </c>
      <c r="K917" s="54">
        <f t="shared" si="9"/>
        <v>0</v>
      </c>
      <c r="L917" s="56"/>
      <c r="M917" s="56"/>
    </row>
    <row r="918" spans="1:13" x14ac:dyDescent="0.2">
      <c r="A918" s="52">
        <f>[1]SUMMARY!A919</f>
        <v>185</v>
      </c>
      <c r="B918" s="52">
        <f>[1]SUMMARY!B919</f>
        <v>65</v>
      </c>
      <c r="C918" s="52">
        <f>[1]SUMMARY!C919</f>
        <v>14</v>
      </c>
      <c r="D918" s="39" t="str">
        <f>[1]SUMMARY!D919</f>
        <v>GREMAX (CH)</v>
      </c>
      <c r="E918" s="39" t="str">
        <f>[1]SUMMARY!E919</f>
        <v>86H</v>
      </c>
      <c r="F918" s="21"/>
      <c r="G918" s="21">
        <v>4</v>
      </c>
      <c r="H918" s="21">
        <v>4</v>
      </c>
      <c r="I918" s="21">
        <f t="shared" si="8"/>
        <v>0</v>
      </c>
      <c r="J918" s="53">
        <f>[1]SUMMARY!N919</f>
        <v>1610</v>
      </c>
      <c r="K918" s="54">
        <f t="shared" si="9"/>
        <v>0</v>
      </c>
      <c r="L918" s="56"/>
      <c r="M918" s="56"/>
    </row>
    <row r="919" spans="1:13" x14ac:dyDescent="0.2">
      <c r="A919" s="52">
        <f>[1]SUMMARY!A920</f>
        <v>185</v>
      </c>
      <c r="B919" s="52">
        <f>[1]SUMMARY!B920</f>
        <v>65</v>
      </c>
      <c r="C919" s="52">
        <f>[1]SUMMARY!C920</f>
        <v>14</v>
      </c>
      <c r="D919" s="39" t="str">
        <f>[1]SUMMARY!D920</f>
        <v>GREMAX (CH)</v>
      </c>
      <c r="E919" s="39" t="str">
        <f>[1]SUMMARY!E920</f>
        <v>CF1</v>
      </c>
      <c r="F919" s="21"/>
      <c r="G919" s="21"/>
      <c r="H919" s="21"/>
      <c r="I919" s="21">
        <f t="shared" si="8"/>
        <v>0</v>
      </c>
      <c r="J919" s="53">
        <f>[1]SUMMARY!N920</f>
        <v>1610</v>
      </c>
      <c r="K919" s="54">
        <f t="shared" si="9"/>
        <v>0</v>
      </c>
      <c r="L919" s="56"/>
      <c r="M919" s="56"/>
    </row>
    <row r="920" spans="1:13" x14ac:dyDescent="0.2">
      <c r="A920" s="52">
        <f>[1]SUMMARY!A921</f>
        <v>185</v>
      </c>
      <c r="B920" s="52">
        <f>[1]SUMMARY!B921</f>
        <v>70</v>
      </c>
      <c r="C920" s="52">
        <f>[1]SUMMARY!C921</f>
        <v>14</v>
      </c>
      <c r="D920" s="39" t="str">
        <f>[1]SUMMARY!D921</f>
        <v>GREMAX (CH)</v>
      </c>
      <c r="E920" s="39" t="str">
        <f>[1]SUMMARY!E921</f>
        <v>88H</v>
      </c>
      <c r="F920" s="21"/>
      <c r="G920" s="21">
        <v>4</v>
      </c>
      <c r="H920" s="21">
        <v>4</v>
      </c>
      <c r="I920" s="21">
        <f t="shared" si="8"/>
        <v>0</v>
      </c>
      <c r="J920" s="53">
        <f>[1]SUMMARY!N921</f>
        <v>1650</v>
      </c>
      <c r="K920" s="54">
        <f t="shared" si="9"/>
        <v>0</v>
      </c>
      <c r="L920" s="56"/>
      <c r="M920" s="56"/>
    </row>
    <row r="921" spans="1:13" x14ac:dyDescent="0.2">
      <c r="A921" s="52">
        <f>[1]SUMMARY!A922</f>
        <v>195</v>
      </c>
      <c r="B921" s="52">
        <f>[1]SUMMARY!B922</f>
        <v>0</v>
      </c>
      <c r="C921" s="52" t="str">
        <f>[1]SUMMARY!C922</f>
        <v>14C</v>
      </c>
      <c r="D921" s="39" t="str">
        <f>[1]SUMMARY!D922</f>
        <v>GREMAX (CH)</v>
      </c>
      <c r="E921" s="39" t="str">
        <f>[1]SUMMARY!E922</f>
        <v>106/104Q</v>
      </c>
      <c r="F921" s="21"/>
      <c r="G921" s="21">
        <v>4</v>
      </c>
      <c r="H921" s="21">
        <v>4</v>
      </c>
      <c r="I921" s="21">
        <f t="shared" si="8"/>
        <v>0</v>
      </c>
      <c r="J921" s="53">
        <f>[1]SUMMARY!N922</f>
        <v>2420</v>
      </c>
      <c r="K921" s="54">
        <f t="shared" si="9"/>
        <v>0</v>
      </c>
      <c r="L921" s="56"/>
      <c r="M921" s="56"/>
    </row>
    <row r="922" spans="1:13" x14ac:dyDescent="0.2">
      <c r="A922" s="52">
        <f>[1]SUMMARY!A923</f>
        <v>195</v>
      </c>
      <c r="B922" s="52">
        <f>[1]SUMMARY!B923</f>
        <v>50</v>
      </c>
      <c r="C922" s="52">
        <f>[1]SUMMARY!C923</f>
        <v>15</v>
      </c>
      <c r="D922" s="39" t="str">
        <f>[1]SUMMARY!D923</f>
        <v>GREMAX (CH)</v>
      </c>
      <c r="E922" s="39" t="str">
        <f>[1]SUMMARY!E923</f>
        <v>82V CF1</v>
      </c>
      <c r="F922" s="21"/>
      <c r="G922" s="21"/>
      <c r="H922" s="21"/>
      <c r="I922" s="21">
        <f t="shared" si="8"/>
        <v>0</v>
      </c>
      <c r="J922" s="53">
        <f>[1]SUMMARY!N923</f>
        <v>1810</v>
      </c>
      <c r="K922" s="54">
        <f t="shared" si="9"/>
        <v>0</v>
      </c>
      <c r="L922" s="56"/>
      <c r="M922" s="56"/>
    </row>
    <row r="923" spans="1:13" x14ac:dyDescent="0.2">
      <c r="A923" s="52">
        <f>[1]SUMMARY!A924</f>
        <v>195</v>
      </c>
      <c r="B923" s="52">
        <f>[1]SUMMARY!B924</f>
        <v>60</v>
      </c>
      <c r="C923" s="52">
        <f>[1]SUMMARY!C924</f>
        <v>15</v>
      </c>
      <c r="D923" s="39" t="str">
        <f>[1]SUMMARY!D924</f>
        <v>GREMAX (CH)</v>
      </c>
      <c r="E923" s="39" t="str">
        <f>[1]SUMMARY!E924</f>
        <v>88H CAPT CF1</v>
      </c>
      <c r="F923" s="21"/>
      <c r="G923" s="21"/>
      <c r="H923" s="21"/>
      <c r="I923" s="21">
        <f t="shared" si="8"/>
        <v>0</v>
      </c>
      <c r="J923" s="53">
        <f>[1]SUMMARY!N924</f>
        <v>1840</v>
      </c>
      <c r="K923" s="54">
        <f t="shared" si="9"/>
        <v>0</v>
      </c>
      <c r="L923" s="56"/>
      <c r="M923" s="56"/>
    </row>
    <row r="924" spans="1:13" x14ac:dyDescent="0.2">
      <c r="A924" s="52">
        <f>[1]SUMMARY!A925</f>
        <v>185</v>
      </c>
      <c r="B924" s="52">
        <f>[1]SUMMARY!B925</f>
        <v>65</v>
      </c>
      <c r="C924" s="52">
        <f>[1]SUMMARY!C925</f>
        <v>15</v>
      </c>
      <c r="D924" s="39" t="str">
        <f>[1]SUMMARY!D925</f>
        <v>GREMAX (CH)</v>
      </c>
      <c r="E924" s="39" t="str">
        <f>[1]SUMMARY!E925</f>
        <v>88H CF1</v>
      </c>
      <c r="F924" s="21"/>
      <c r="G924" s="21">
        <v>4</v>
      </c>
      <c r="H924" s="21">
        <v>4</v>
      </c>
      <c r="I924" s="21">
        <f t="shared" si="8"/>
        <v>0</v>
      </c>
      <c r="J924" s="53">
        <f>[1]SUMMARY!N925</f>
        <v>1760</v>
      </c>
      <c r="K924" s="54">
        <f t="shared" si="9"/>
        <v>0</v>
      </c>
      <c r="L924" s="56"/>
      <c r="M924" s="56"/>
    </row>
    <row r="925" spans="1:13" x14ac:dyDescent="0.2">
      <c r="A925" s="52">
        <f>[1]SUMMARY!A926</f>
        <v>205</v>
      </c>
      <c r="B925" s="52">
        <f>[1]SUMMARY!B926</f>
        <v>65</v>
      </c>
      <c r="C925" s="52">
        <f>[1]SUMMARY!C926</f>
        <v>15</v>
      </c>
      <c r="D925" s="39" t="str">
        <f>[1]SUMMARY!D926</f>
        <v>GREMAX (CH)</v>
      </c>
      <c r="E925" s="39" t="str">
        <f>[1]SUMMARY!E926</f>
        <v>94H CF1</v>
      </c>
      <c r="F925" s="21"/>
      <c r="G925" s="21"/>
      <c r="H925" s="21"/>
      <c r="I925" s="21">
        <f t="shared" si="8"/>
        <v>0</v>
      </c>
      <c r="J925" s="53">
        <f>[1]SUMMARY!N926</f>
        <v>2020</v>
      </c>
      <c r="K925" s="54">
        <f t="shared" si="9"/>
        <v>0</v>
      </c>
      <c r="L925" s="56"/>
      <c r="M925" s="56"/>
    </row>
    <row r="926" spans="1:13" x14ac:dyDescent="0.2">
      <c r="A926" s="52">
        <f>[1]SUMMARY!A927</f>
        <v>215</v>
      </c>
      <c r="B926" s="52">
        <f>[1]SUMMARY!B927</f>
        <v>70</v>
      </c>
      <c r="C926" s="52" t="str">
        <f>[1]SUMMARY!C927</f>
        <v>15C</v>
      </c>
      <c r="D926" s="39" t="str">
        <f>[1]SUMMARY!D927</f>
        <v>GREMAX (CH)</v>
      </c>
      <c r="E926" s="39" t="str">
        <f>[1]SUMMARY!E927</f>
        <v>109/107R CF12</v>
      </c>
      <c r="F926" s="21"/>
      <c r="G926" s="21"/>
      <c r="H926" s="21"/>
      <c r="I926" s="21">
        <f t="shared" si="8"/>
        <v>0</v>
      </c>
      <c r="J926" s="53">
        <f>[1]SUMMARY!N927</f>
        <v>2900</v>
      </c>
      <c r="K926" s="54">
        <f t="shared" si="9"/>
        <v>0</v>
      </c>
      <c r="L926" s="56"/>
      <c r="M926" s="56"/>
    </row>
    <row r="927" spans="1:13" x14ac:dyDescent="0.2">
      <c r="A927" s="52">
        <f>[1]SUMMARY!A928</f>
        <v>225</v>
      </c>
      <c r="B927" s="52">
        <f>[1]SUMMARY!B928</f>
        <v>70</v>
      </c>
      <c r="C927" s="52">
        <f>[1]SUMMARY!C928</f>
        <v>15</v>
      </c>
      <c r="D927" s="39" t="str">
        <f>[1]SUMMARY!D928</f>
        <v>GREMAX (CH)</v>
      </c>
      <c r="E927" s="39" t="str">
        <f>[1]SUMMARY!E928</f>
        <v>112/110R CF12</v>
      </c>
      <c r="F927" s="21"/>
      <c r="G927" s="21"/>
      <c r="H927" s="21"/>
      <c r="I927" s="21">
        <f t="shared" si="8"/>
        <v>0</v>
      </c>
      <c r="J927" s="53">
        <f>[1]SUMMARY!N928</f>
        <v>3230</v>
      </c>
      <c r="K927" s="54">
        <f t="shared" si="9"/>
        <v>0</v>
      </c>
      <c r="L927" s="56"/>
      <c r="M927" s="56"/>
    </row>
    <row r="928" spans="1:13" x14ac:dyDescent="0.2">
      <c r="A928" s="52">
        <f>[1]SUMMARY!A929</f>
        <v>31</v>
      </c>
      <c r="B928" s="52">
        <f>[1]SUMMARY!B929</f>
        <v>10.5</v>
      </c>
      <c r="C928" s="52">
        <f>[1]SUMMARY!C929</f>
        <v>15</v>
      </c>
      <c r="D928" s="39" t="str">
        <f>[1]SUMMARY!D929</f>
        <v>GREMAX (CH)</v>
      </c>
      <c r="E928" s="39" t="str">
        <f>[1]SUMMARY!E929</f>
        <v>CF5 6PR</v>
      </c>
      <c r="F928" s="21"/>
      <c r="G928" s="21"/>
      <c r="H928" s="21"/>
      <c r="I928" s="21">
        <f t="shared" si="8"/>
        <v>0</v>
      </c>
      <c r="J928" s="53">
        <f>[1]SUMMARY!N929</f>
        <v>4512.5</v>
      </c>
      <c r="K928" s="54">
        <f t="shared" si="9"/>
        <v>0</v>
      </c>
      <c r="L928" s="8"/>
      <c r="M928" s="8"/>
    </row>
    <row r="929" spans="1:13" x14ac:dyDescent="0.2">
      <c r="A929" s="17">
        <f>[1]SUMMARY!A930</f>
        <v>205</v>
      </c>
      <c r="B929" s="17">
        <f>[1]SUMMARY!B930</f>
        <v>45</v>
      </c>
      <c r="C929" s="17">
        <f>[1]SUMMARY!C930</f>
        <v>16</v>
      </c>
      <c r="D929" s="25" t="str">
        <f>[1]SUMMARY!D930</f>
        <v>GREMAX (CH)</v>
      </c>
      <c r="E929" s="25" t="str">
        <f>[1]SUMMARY!E930</f>
        <v>CF19</v>
      </c>
      <c r="F929" s="20">
        <v>4</v>
      </c>
      <c r="G929" s="20"/>
      <c r="H929" s="20">
        <v>4</v>
      </c>
      <c r="I929" s="21">
        <f t="shared" si="8"/>
        <v>0</v>
      </c>
      <c r="J929" s="22">
        <f>[1]SUMMARY!N930</f>
        <v>1850</v>
      </c>
      <c r="K929" s="23">
        <f t="shared" si="9"/>
        <v>0</v>
      </c>
      <c r="L929" s="8"/>
      <c r="M929" s="8"/>
    </row>
    <row r="930" spans="1:13" x14ac:dyDescent="0.2">
      <c r="A930" s="17">
        <f>[1]SUMMARY!A931</f>
        <v>195</v>
      </c>
      <c r="B930" s="17">
        <f>[1]SUMMARY!B931</f>
        <v>55</v>
      </c>
      <c r="C930" s="17">
        <f>[1]SUMMARY!C931</f>
        <v>16</v>
      </c>
      <c r="D930" s="25" t="str">
        <f>[1]SUMMARY!D931</f>
        <v>GREMAX (CH)</v>
      </c>
      <c r="E930" s="25" t="str">
        <f>[1]SUMMARY!E931</f>
        <v>CF19</v>
      </c>
      <c r="F930" s="20">
        <v>4</v>
      </c>
      <c r="G930" s="20"/>
      <c r="H930" s="20">
        <v>4</v>
      </c>
      <c r="I930" s="21">
        <f t="shared" si="8"/>
        <v>0</v>
      </c>
      <c r="J930" s="22">
        <f>[1]SUMMARY!N931</f>
        <v>1870</v>
      </c>
      <c r="K930" s="23">
        <f t="shared" si="9"/>
        <v>0</v>
      </c>
      <c r="L930" s="8"/>
      <c r="M930" s="8"/>
    </row>
    <row r="931" spans="1:13" x14ac:dyDescent="0.2">
      <c r="A931" s="17">
        <f>[1]SUMMARY!A932</f>
        <v>205</v>
      </c>
      <c r="B931" s="17">
        <f>[1]SUMMARY!B932</f>
        <v>65</v>
      </c>
      <c r="C931" s="17">
        <f>[1]SUMMARY!C932</f>
        <v>16</v>
      </c>
      <c r="D931" s="25" t="str">
        <f>[1]SUMMARY!D932</f>
        <v>GREMAX (CH)</v>
      </c>
      <c r="E931" s="25" t="str">
        <f>[1]SUMMARY!E932</f>
        <v>CF1</v>
      </c>
      <c r="F931" s="20"/>
      <c r="G931" s="20"/>
      <c r="H931" s="20"/>
      <c r="I931" s="21">
        <f t="shared" si="8"/>
        <v>0</v>
      </c>
      <c r="J931" s="22">
        <f>[1]SUMMARY!N932</f>
        <v>2210</v>
      </c>
      <c r="K931" s="23">
        <f t="shared" si="9"/>
        <v>0</v>
      </c>
      <c r="L931" s="8"/>
      <c r="M931" s="8"/>
    </row>
    <row r="932" spans="1:13" x14ac:dyDescent="0.2">
      <c r="A932" s="17">
        <f>[1]SUMMARY!A933</f>
        <v>265</v>
      </c>
      <c r="B932" s="17">
        <f>[1]SUMMARY!B933</f>
        <v>70</v>
      </c>
      <c r="C932" s="17">
        <f>[1]SUMMARY!C933</f>
        <v>16</v>
      </c>
      <c r="D932" s="25" t="str">
        <f>[1]SUMMARY!D933</f>
        <v>GREMAX (CH)</v>
      </c>
      <c r="E932" s="25" t="str">
        <f>[1]SUMMARY!E933</f>
        <v>MAX AT</v>
      </c>
      <c r="F932" s="20"/>
      <c r="G932" s="20"/>
      <c r="H932" s="20"/>
      <c r="I932" s="21">
        <f t="shared" si="8"/>
        <v>0</v>
      </c>
      <c r="J932" s="22">
        <f>[1]SUMMARY!N933</f>
        <v>4070</v>
      </c>
      <c r="K932" s="23">
        <f t="shared" si="9"/>
        <v>0</v>
      </c>
      <c r="L932" s="8"/>
      <c r="M932" s="8"/>
    </row>
    <row r="933" spans="1:13" x14ac:dyDescent="0.2">
      <c r="A933" s="17">
        <f>[1]SUMMARY!A934</f>
        <v>205</v>
      </c>
      <c r="B933" s="17">
        <f>[1]SUMMARY!B934</f>
        <v>45</v>
      </c>
      <c r="C933" s="17">
        <f>[1]SUMMARY!C934</f>
        <v>17</v>
      </c>
      <c r="D933" s="25" t="str">
        <f>[1]SUMMARY!D934</f>
        <v>GREMAX (CH)</v>
      </c>
      <c r="E933" s="25" t="str">
        <f>[1]SUMMARY!E934</f>
        <v>CF19</v>
      </c>
      <c r="F933" s="20"/>
      <c r="G933" s="20">
        <v>4</v>
      </c>
      <c r="H933" s="20">
        <v>4</v>
      </c>
      <c r="I933" s="21">
        <f t="shared" si="8"/>
        <v>0</v>
      </c>
      <c r="J933" s="22">
        <f>[1]SUMMARY!N934</f>
        <v>2160</v>
      </c>
      <c r="K933" s="23">
        <f t="shared" si="9"/>
        <v>0</v>
      </c>
      <c r="L933" s="8"/>
      <c r="M933" s="8"/>
    </row>
    <row r="934" spans="1:13" x14ac:dyDescent="0.2">
      <c r="A934" s="17">
        <f>[1]SUMMARY!A935</f>
        <v>215</v>
      </c>
      <c r="B934" s="17">
        <f>[1]SUMMARY!B935</f>
        <v>45</v>
      </c>
      <c r="C934" s="17">
        <f>[1]SUMMARY!C935</f>
        <v>17</v>
      </c>
      <c r="D934" s="25" t="str">
        <f>[1]SUMMARY!D935</f>
        <v>GREMAX (CH)</v>
      </c>
      <c r="E934" s="25" t="str">
        <f>[1]SUMMARY!E935</f>
        <v>CF19</v>
      </c>
      <c r="F934" s="20">
        <v>8</v>
      </c>
      <c r="G934" s="20">
        <v>4</v>
      </c>
      <c r="H934" s="20">
        <v>12</v>
      </c>
      <c r="I934" s="21">
        <f t="shared" si="8"/>
        <v>0</v>
      </c>
      <c r="J934" s="22">
        <f>[1]SUMMARY!N935</f>
        <v>2165</v>
      </c>
      <c r="K934" s="23">
        <f t="shared" si="9"/>
        <v>0</v>
      </c>
      <c r="L934" s="8"/>
      <c r="M934" s="8"/>
    </row>
    <row r="935" spans="1:13" x14ac:dyDescent="0.2">
      <c r="A935" s="17">
        <f>[1]SUMMARY!A936</f>
        <v>215</v>
      </c>
      <c r="B935" s="17">
        <f>[1]SUMMARY!B936</f>
        <v>55</v>
      </c>
      <c r="C935" s="17">
        <f>[1]SUMMARY!C936</f>
        <v>17</v>
      </c>
      <c r="D935" s="25" t="str">
        <f>[1]SUMMARY!D936</f>
        <v>GREMAX (CH)</v>
      </c>
      <c r="E935" s="25" t="str">
        <f>[1]SUMMARY!E936</f>
        <v>CF19</v>
      </c>
      <c r="F935" s="20"/>
      <c r="G935" s="20">
        <v>4</v>
      </c>
      <c r="H935" s="20">
        <v>4</v>
      </c>
      <c r="I935" s="21">
        <f t="shared" si="8"/>
        <v>0</v>
      </c>
      <c r="J935" s="22">
        <f>[1]SUMMARY!N936</f>
        <v>2590</v>
      </c>
      <c r="K935" s="23">
        <f t="shared" si="9"/>
        <v>0</v>
      </c>
      <c r="L935" s="8"/>
      <c r="M935" s="8"/>
    </row>
    <row r="936" spans="1:13" x14ac:dyDescent="0.2">
      <c r="A936" s="17">
        <f>[1]SUMMARY!A937</f>
        <v>265</v>
      </c>
      <c r="B936" s="17">
        <f>[1]SUMMARY!B937</f>
        <v>70</v>
      </c>
      <c r="C936" s="17">
        <f>[1]SUMMARY!C937</f>
        <v>17</v>
      </c>
      <c r="D936" s="25" t="str">
        <f>[1]SUMMARY!D937</f>
        <v>GREMAX (CH)</v>
      </c>
      <c r="E936" s="25" t="str">
        <f>[1]SUMMARY!E937</f>
        <v>MAX A/T</v>
      </c>
      <c r="F936" s="20">
        <v>8</v>
      </c>
      <c r="G936" s="20">
        <v>2</v>
      </c>
      <c r="H936" s="20">
        <v>10</v>
      </c>
      <c r="I936" s="21">
        <f t="shared" si="8"/>
        <v>0</v>
      </c>
      <c r="J936" s="22">
        <f>[1]SUMMARY!N937</f>
        <v>3775</v>
      </c>
      <c r="K936" s="23">
        <f t="shared" si="9"/>
        <v>0</v>
      </c>
      <c r="L936" s="8"/>
      <c r="M936" s="8"/>
    </row>
    <row r="937" spans="1:13" x14ac:dyDescent="0.2">
      <c r="A937" s="17">
        <f>[1]SUMMARY!A938</f>
        <v>285</v>
      </c>
      <c r="B937" s="17">
        <f>[1]SUMMARY!B938</f>
        <v>70</v>
      </c>
      <c r="C937" s="17">
        <f>[1]SUMMARY!C938</f>
        <v>17</v>
      </c>
      <c r="D937" s="25" t="str">
        <f>[1]SUMMARY!D938</f>
        <v>GREMAX (CH)</v>
      </c>
      <c r="E937" s="25" t="str">
        <f>[1]SUMMARY!E938</f>
        <v>CF5</v>
      </c>
      <c r="F937" s="20"/>
      <c r="G937" s="20">
        <v>10</v>
      </c>
      <c r="H937" s="20">
        <v>10</v>
      </c>
      <c r="I937" s="21">
        <f t="shared" si="8"/>
        <v>0</v>
      </c>
      <c r="J937" s="22">
        <f>[1]SUMMARY!N938</f>
        <v>6510</v>
      </c>
      <c r="K937" s="23">
        <f t="shared" si="9"/>
        <v>0</v>
      </c>
      <c r="L937" s="8"/>
      <c r="M937" s="8"/>
    </row>
    <row r="938" spans="1:13" x14ac:dyDescent="0.2">
      <c r="A938" s="17">
        <f>[1]SUMMARY!A939</f>
        <v>285</v>
      </c>
      <c r="B938" s="17">
        <f>[1]SUMMARY!B939</f>
        <v>70</v>
      </c>
      <c r="C938" s="17">
        <f>[1]SUMMARY!C939</f>
        <v>17</v>
      </c>
      <c r="D938" s="25" t="str">
        <f>[1]SUMMARY!D939</f>
        <v>GREMAX (CH)</v>
      </c>
      <c r="E938" s="25" t="str">
        <f>[1]SUMMARY!E939</f>
        <v>LT 121/118S MAX AT</v>
      </c>
      <c r="F938" s="20"/>
      <c r="G938" s="20"/>
      <c r="H938" s="20"/>
      <c r="I938" s="21">
        <f t="shared" si="8"/>
        <v>0</v>
      </c>
      <c r="J938" s="22">
        <f>[1]SUMMARY!N939</f>
        <v>5460</v>
      </c>
      <c r="K938" s="23">
        <f t="shared" si="9"/>
        <v>0</v>
      </c>
      <c r="L938" s="8"/>
      <c r="M938" s="8"/>
    </row>
    <row r="939" spans="1:13" x14ac:dyDescent="0.2">
      <c r="A939" s="17">
        <f>[1]SUMMARY!A940</f>
        <v>265</v>
      </c>
      <c r="B939" s="17">
        <f>[1]SUMMARY!B940</f>
        <v>60</v>
      </c>
      <c r="C939" s="17">
        <f>[1]SUMMARY!C940</f>
        <v>18</v>
      </c>
      <c r="D939" s="25" t="str">
        <f>[1]SUMMARY!D940</f>
        <v>GREMAX (CH)</v>
      </c>
      <c r="E939" s="25" t="str">
        <f>[1]SUMMARY!E940</f>
        <v>110T MAX AT</v>
      </c>
      <c r="F939" s="20"/>
      <c r="G939" s="20"/>
      <c r="H939" s="20"/>
      <c r="I939" s="21">
        <f t="shared" si="8"/>
        <v>0</v>
      </c>
      <c r="J939" s="22">
        <f>[1]SUMMARY!N940</f>
        <v>4350</v>
      </c>
      <c r="K939" s="23">
        <f t="shared" si="9"/>
        <v>0</v>
      </c>
      <c r="L939" s="28">
        <f>SUM(K915:K939)</f>
        <v>0</v>
      </c>
      <c r="M939" s="29" t="s">
        <v>40</v>
      </c>
    </row>
    <row r="940" spans="1:13" x14ac:dyDescent="0.2">
      <c r="A940" s="17">
        <f>[1]SUMMARY!A941</f>
        <v>235</v>
      </c>
      <c r="B940" s="17">
        <f>[1]SUMMARY!B941</f>
        <v>75</v>
      </c>
      <c r="C940" s="17">
        <f>[1]SUMMARY!C941</f>
        <v>15</v>
      </c>
      <c r="D940" s="25" t="str">
        <f>[1]SUMMARY!D941</f>
        <v>HEAD WAY</v>
      </c>
      <c r="E940" s="25" t="str">
        <f>[1]SUMMARY!E941</f>
        <v>HR802</v>
      </c>
      <c r="F940" s="20"/>
      <c r="G940" s="20"/>
      <c r="H940" s="20"/>
      <c r="I940" s="21">
        <f t="shared" si="8"/>
        <v>0</v>
      </c>
      <c r="J940" s="22">
        <f>[1]SUMMARY!N941</f>
        <v>5238</v>
      </c>
      <c r="K940" s="23">
        <f t="shared" si="9"/>
        <v>0</v>
      </c>
      <c r="L940" s="28">
        <f>SUM(K940)</f>
        <v>0</v>
      </c>
      <c r="M940" s="29" t="s">
        <v>41</v>
      </c>
    </row>
    <row r="941" spans="1:13" x14ac:dyDescent="0.2">
      <c r="A941" s="17">
        <f>[1]SUMMARY!A942</f>
        <v>175</v>
      </c>
      <c r="B941" s="17">
        <f>[1]SUMMARY!B942</f>
        <v>65</v>
      </c>
      <c r="C941" s="17">
        <f>[1]SUMMARY!C942</f>
        <v>14</v>
      </c>
      <c r="D941" s="25" t="str">
        <f>[1]SUMMARY!D942</f>
        <v>HORIZON</v>
      </c>
      <c r="E941" s="25" t="str">
        <f>[1]SUMMARY!E942</f>
        <v>HH301</v>
      </c>
      <c r="F941" s="20"/>
      <c r="G941" s="20">
        <v>8</v>
      </c>
      <c r="H941" s="20">
        <v>8</v>
      </c>
      <c r="I941" s="21">
        <f t="shared" si="8"/>
        <v>0</v>
      </c>
      <c r="J941" s="22">
        <f>[1]SUMMARY!N942</f>
        <v>1638.75</v>
      </c>
      <c r="K941" s="23">
        <f t="shared" si="9"/>
        <v>0</v>
      </c>
      <c r="L941" s="8"/>
      <c r="M941" s="8"/>
    </row>
    <row r="942" spans="1:13" x14ac:dyDescent="0.2">
      <c r="A942" s="17">
        <f>[1]SUMMARY!A943</f>
        <v>185</v>
      </c>
      <c r="B942" s="17">
        <f>[1]SUMMARY!B943</f>
        <v>60</v>
      </c>
      <c r="C942" s="17">
        <f>[1]SUMMARY!C943</f>
        <v>15</v>
      </c>
      <c r="D942" s="25" t="str">
        <f>[1]SUMMARY!D943</f>
        <v>HORIZON</v>
      </c>
      <c r="E942" s="25" t="str">
        <f>[1]SUMMARY!E943</f>
        <v>HH301</v>
      </c>
      <c r="F942" s="20"/>
      <c r="G942" s="20">
        <v>4</v>
      </c>
      <c r="H942" s="20">
        <v>4</v>
      </c>
      <c r="I942" s="21">
        <f t="shared" si="8"/>
        <v>0</v>
      </c>
      <c r="J942" s="22">
        <f>[1]SUMMARY!N943</f>
        <v>1788.37</v>
      </c>
      <c r="K942" s="23">
        <f t="shared" si="9"/>
        <v>0</v>
      </c>
      <c r="L942" s="8"/>
      <c r="M942" s="8"/>
    </row>
    <row r="943" spans="1:13" x14ac:dyDescent="0.2">
      <c r="A943" s="17">
        <f>[1]SUMMARY!A944</f>
        <v>205</v>
      </c>
      <c r="B943" s="17">
        <f>[1]SUMMARY!B944</f>
        <v>55</v>
      </c>
      <c r="C943" s="17">
        <f>[1]SUMMARY!C944</f>
        <v>16</v>
      </c>
      <c r="D943" s="25" t="str">
        <f>[1]SUMMARY!D944</f>
        <v>HORIZON</v>
      </c>
      <c r="E943" s="25" t="str">
        <f>[1]SUMMARY!E944</f>
        <v>HH301</v>
      </c>
      <c r="F943" s="20"/>
      <c r="G943" s="20">
        <v>4</v>
      </c>
      <c r="H943" s="20">
        <v>4</v>
      </c>
      <c r="I943" s="21">
        <f t="shared" si="8"/>
        <v>0</v>
      </c>
      <c r="J943" s="22">
        <f>[1]SUMMARY!N944</f>
        <v>2337</v>
      </c>
      <c r="K943" s="23">
        <f t="shared" si="9"/>
        <v>0</v>
      </c>
      <c r="L943" s="8"/>
      <c r="M943" s="8"/>
    </row>
    <row r="944" spans="1:13" x14ac:dyDescent="0.2">
      <c r="A944" s="17">
        <f>[1]SUMMARY!A945</f>
        <v>205</v>
      </c>
      <c r="B944" s="17">
        <f>[1]SUMMARY!B945</f>
        <v>65</v>
      </c>
      <c r="C944" s="17">
        <f>[1]SUMMARY!C945</f>
        <v>16</v>
      </c>
      <c r="D944" s="25" t="str">
        <f>[1]SUMMARY!D945</f>
        <v>HORIZON</v>
      </c>
      <c r="E944" s="25" t="str">
        <f>[1]SUMMARY!E945</f>
        <v>HH301</v>
      </c>
      <c r="F944" s="20"/>
      <c r="G944" s="20">
        <v>4</v>
      </c>
      <c r="H944" s="20">
        <v>4</v>
      </c>
      <c r="I944" s="21">
        <f t="shared" si="8"/>
        <v>0</v>
      </c>
      <c r="J944" s="22">
        <f>[1]SUMMARY!N945</f>
        <v>2671.87</v>
      </c>
      <c r="K944" s="23">
        <f t="shared" si="9"/>
        <v>0</v>
      </c>
      <c r="L944" s="8"/>
      <c r="M944" s="8"/>
    </row>
    <row r="945" spans="1:13" x14ac:dyDescent="0.2">
      <c r="A945" s="17">
        <f>[1]SUMMARY!A946</f>
        <v>265</v>
      </c>
      <c r="B945" s="17">
        <f>[1]SUMMARY!B946</f>
        <v>65</v>
      </c>
      <c r="C945" s="17">
        <f>[1]SUMMARY!C946</f>
        <v>17</v>
      </c>
      <c r="D945" s="25" t="str">
        <f>[1]SUMMARY!D946</f>
        <v>HORIZON</v>
      </c>
      <c r="E945" s="25" t="str">
        <f>[1]SUMMARY!E946</f>
        <v>HR805</v>
      </c>
      <c r="F945" s="20"/>
      <c r="G945" s="20">
        <v>5</v>
      </c>
      <c r="H945" s="20">
        <v>5</v>
      </c>
      <c r="I945" s="21">
        <f t="shared" si="8"/>
        <v>0</v>
      </c>
      <c r="J945" s="22">
        <f>[1]SUMMARY!N946</f>
        <v>4431.75</v>
      </c>
      <c r="K945" s="23">
        <f t="shared" si="9"/>
        <v>0</v>
      </c>
      <c r="L945" s="8"/>
      <c r="M945" s="8"/>
    </row>
    <row r="946" spans="1:13" x14ac:dyDescent="0.2">
      <c r="A946" s="17">
        <f>[1]SUMMARY!A947</f>
        <v>265</v>
      </c>
      <c r="B946" s="17">
        <f>[1]SUMMARY!B947</f>
        <v>60</v>
      </c>
      <c r="C946" s="17">
        <f>[1]SUMMARY!C947</f>
        <v>18</v>
      </c>
      <c r="D946" s="25" t="str">
        <f>[1]SUMMARY!D947</f>
        <v>HORIZON</v>
      </c>
      <c r="E946" s="25" t="str">
        <f>[1]SUMMARY!E947</f>
        <v>HR802</v>
      </c>
      <c r="F946" s="20"/>
      <c r="G946" s="20">
        <v>6</v>
      </c>
      <c r="H946" s="20">
        <v>6</v>
      </c>
      <c r="I946" s="21">
        <f t="shared" si="8"/>
        <v>0</v>
      </c>
      <c r="J946" s="22">
        <f>[1]SUMMARY!N947</f>
        <v>4538.62</v>
      </c>
      <c r="K946" s="23">
        <f t="shared" si="9"/>
        <v>0</v>
      </c>
      <c r="L946" s="8"/>
      <c r="M946" s="8"/>
    </row>
    <row r="947" spans="1:13" x14ac:dyDescent="0.2">
      <c r="A947" s="17">
        <f>[1]SUMMARY!A948</f>
        <v>265</v>
      </c>
      <c r="B947" s="17">
        <f>[1]SUMMARY!B948</f>
        <v>50</v>
      </c>
      <c r="C947" s="17">
        <f>[1]SUMMARY!C948</f>
        <v>20</v>
      </c>
      <c r="D947" s="25" t="str">
        <f>[1]SUMMARY!D948</f>
        <v>HORIZON</v>
      </c>
      <c r="E947" s="25" t="str">
        <f>[1]SUMMARY!E948</f>
        <v>HU901</v>
      </c>
      <c r="F947" s="20"/>
      <c r="G947" s="20">
        <v>4</v>
      </c>
      <c r="H947" s="20">
        <v>4</v>
      </c>
      <c r="I947" s="21">
        <f t="shared" si="8"/>
        <v>0</v>
      </c>
      <c r="J947" s="22">
        <f>[1]SUMMARY!N948</f>
        <v>4709.62</v>
      </c>
      <c r="K947" s="23">
        <f t="shared" si="9"/>
        <v>0</v>
      </c>
      <c r="L947" s="28">
        <f>SUM(K941:K947)</f>
        <v>0</v>
      </c>
      <c r="M947" s="29" t="s">
        <v>42</v>
      </c>
    </row>
    <row r="948" spans="1:13" x14ac:dyDescent="0.2">
      <c r="A948" s="27" t="str">
        <f>[1]SUMMARY!A949</f>
        <v>5.00</v>
      </c>
      <c r="B948" s="17">
        <f>[1]SUMMARY!B949</f>
        <v>0</v>
      </c>
      <c r="C948" s="17">
        <f>[1]SUMMARY!C949</f>
        <v>12</v>
      </c>
      <c r="D948" s="25" t="str">
        <f>[1]SUMMARY!D949</f>
        <v>KINTO</v>
      </c>
      <c r="E948" s="25">
        <f>[1]SUMMARY!E949</f>
        <v>0</v>
      </c>
      <c r="F948" s="30"/>
      <c r="G948" s="20">
        <v>6</v>
      </c>
      <c r="H948" s="20">
        <v>6</v>
      </c>
      <c r="I948" s="30">
        <f t="shared" si="8"/>
        <v>0</v>
      </c>
      <c r="J948" s="22">
        <f>[1]SUMMARY!N949</f>
        <v>1677.5</v>
      </c>
      <c r="K948" s="23">
        <f t="shared" si="9"/>
        <v>0</v>
      </c>
      <c r="L948" s="8"/>
      <c r="M948" s="8"/>
    </row>
    <row r="949" spans="1:13" x14ac:dyDescent="0.2">
      <c r="A949" s="17">
        <f>[1]SUMMARY!A950</f>
        <v>165</v>
      </c>
      <c r="B949" s="17">
        <f>[1]SUMMARY!B950</f>
        <v>65</v>
      </c>
      <c r="C949" s="17">
        <f>[1]SUMMARY!C950</f>
        <v>13</v>
      </c>
      <c r="D949" s="25" t="str">
        <f>[1]SUMMARY!D950</f>
        <v>KINTO</v>
      </c>
      <c r="E949" s="25" t="str">
        <f>[1]SUMMARY!E950</f>
        <v>SC-901</v>
      </c>
      <c r="F949" s="20"/>
      <c r="G949" s="20">
        <v>37</v>
      </c>
      <c r="H949" s="20">
        <v>35</v>
      </c>
      <c r="I949" s="45">
        <f t="shared" si="8"/>
        <v>2</v>
      </c>
      <c r="J949" s="22">
        <f>[1]SUMMARY!N950</f>
        <v>1567.5</v>
      </c>
      <c r="K949" s="23">
        <f t="shared" si="9"/>
        <v>3135</v>
      </c>
      <c r="L949" s="8"/>
      <c r="M949" s="8"/>
    </row>
    <row r="950" spans="1:13" x14ac:dyDescent="0.2">
      <c r="A950" s="17">
        <f>[1]SUMMARY!A951</f>
        <v>175</v>
      </c>
      <c r="B950" s="17">
        <f>[1]SUMMARY!B951</f>
        <v>70</v>
      </c>
      <c r="C950" s="17">
        <f>[1]SUMMARY!C951</f>
        <v>13</v>
      </c>
      <c r="D950" s="25" t="str">
        <f>[1]SUMMARY!D951</f>
        <v>KINTO</v>
      </c>
      <c r="E950" s="25" t="str">
        <f>[1]SUMMARY!E951</f>
        <v>SC-901</v>
      </c>
      <c r="F950" s="20"/>
      <c r="G950" s="20">
        <v>22</v>
      </c>
      <c r="H950" s="20">
        <v>20</v>
      </c>
      <c r="I950" s="45">
        <f t="shared" si="8"/>
        <v>2</v>
      </c>
      <c r="J950" s="22">
        <f>[1]SUMMARY!N951</f>
        <v>1698.6</v>
      </c>
      <c r="K950" s="23">
        <f t="shared" si="9"/>
        <v>3397.2</v>
      </c>
      <c r="L950" s="8"/>
      <c r="M950" s="8"/>
    </row>
    <row r="951" spans="1:13" x14ac:dyDescent="0.2">
      <c r="A951" s="17">
        <f>[1]SUMMARY!A952</f>
        <v>165</v>
      </c>
      <c r="B951" s="17">
        <f>[1]SUMMARY!B952</f>
        <v>60</v>
      </c>
      <c r="C951" s="17">
        <f>[1]SUMMARY!C952</f>
        <v>14</v>
      </c>
      <c r="D951" s="25" t="str">
        <f>[1]SUMMARY!D952</f>
        <v>KINTO</v>
      </c>
      <c r="E951" s="25" t="str">
        <f>[1]SUMMARY!E952</f>
        <v>SC-901</v>
      </c>
      <c r="F951" s="20"/>
      <c r="G951" s="20">
        <v>12</v>
      </c>
      <c r="H951" s="20">
        <v>12</v>
      </c>
      <c r="I951" s="30">
        <f t="shared" si="8"/>
        <v>0</v>
      </c>
      <c r="J951" s="22">
        <f>[1]SUMMARY!N952</f>
        <v>1630.2</v>
      </c>
      <c r="K951" s="23">
        <f t="shared" si="9"/>
        <v>0</v>
      </c>
      <c r="L951" s="8"/>
      <c r="M951" s="8"/>
    </row>
    <row r="952" spans="1:13" x14ac:dyDescent="0.2">
      <c r="A952" s="17">
        <f>[1]SUMMARY!A953</f>
        <v>165</v>
      </c>
      <c r="B952" s="17">
        <f>[1]SUMMARY!B953</f>
        <v>65</v>
      </c>
      <c r="C952" s="17">
        <f>[1]SUMMARY!C953</f>
        <v>14</v>
      </c>
      <c r="D952" s="25" t="str">
        <f>[1]SUMMARY!D953</f>
        <v>KINTO</v>
      </c>
      <c r="E952" s="25" t="str">
        <f>[1]SUMMARY!E953</f>
        <v>SC-901</v>
      </c>
      <c r="F952" s="20"/>
      <c r="G952" s="20">
        <v>4</v>
      </c>
      <c r="H952" s="20">
        <v>4</v>
      </c>
      <c r="I952" s="30">
        <f t="shared" si="8"/>
        <v>0</v>
      </c>
      <c r="J952" s="22">
        <f>[1]SUMMARY!N953</f>
        <v>1641.6</v>
      </c>
      <c r="K952" s="23">
        <f t="shared" si="9"/>
        <v>0</v>
      </c>
      <c r="L952" s="8"/>
      <c r="M952" s="8"/>
    </row>
    <row r="953" spans="1:13" x14ac:dyDescent="0.2">
      <c r="A953" s="17">
        <f>[1]SUMMARY!A954</f>
        <v>175</v>
      </c>
      <c r="B953" s="17">
        <f>[1]SUMMARY!B954</f>
        <v>65</v>
      </c>
      <c r="C953" s="17">
        <f>[1]SUMMARY!C954</f>
        <v>14</v>
      </c>
      <c r="D953" s="25" t="str">
        <f>[1]SUMMARY!D954</f>
        <v>KINTO</v>
      </c>
      <c r="E953" s="25" t="str">
        <f>[1]SUMMARY!E954</f>
        <v>SC-901</v>
      </c>
      <c r="F953" s="20"/>
      <c r="G953" s="20">
        <v>89</v>
      </c>
      <c r="H953" s="20">
        <v>85</v>
      </c>
      <c r="I953" s="45">
        <f t="shared" si="8"/>
        <v>4</v>
      </c>
      <c r="J953" s="22">
        <f>[1]SUMMARY!N954</f>
        <v>1795.5</v>
      </c>
      <c r="K953" s="23">
        <f t="shared" si="9"/>
        <v>7182</v>
      </c>
      <c r="L953" s="8"/>
      <c r="M953" s="8"/>
    </row>
    <row r="954" spans="1:13" x14ac:dyDescent="0.2">
      <c r="A954" s="17">
        <f>[1]SUMMARY!A955</f>
        <v>185</v>
      </c>
      <c r="B954" s="17">
        <f>[1]SUMMARY!B955</f>
        <v>65</v>
      </c>
      <c r="C954" s="17">
        <f>[1]SUMMARY!C955</f>
        <v>14</v>
      </c>
      <c r="D954" s="25" t="str">
        <f>[1]SUMMARY!D955</f>
        <v>KINTO</v>
      </c>
      <c r="E954" s="25" t="str">
        <f>[1]SUMMARY!E955</f>
        <v>SC-901</v>
      </c>
      <c r="F954" s="20"/>
      <c r="G954" s="20">
        <v>28</v>
      </c>
      <c r="H954" s="20">
        <v>28</v>
      </c>
      <c r="I954" s="30">
        <f t="shared" si="8"/>
        <v>0</v>
      </c>
      <c r="J954" s="22">
        <f>[1]SUMMARY!N955</f>
        <v>2052</v>
      </c>
      <c r="K954" s="23">
        <f t="shared" si="9"/>
        <v>0</v>
      </c>
      <c r="L954" s="8"/>
      <c r="M954" s="8"/>
    </row>
    <row r="955" spans="1:13" x14ac:dyDescent="0.2">
      <c r="A955" s="17">
        <f>[1]SUMMARY!A956</f>
        <v>185</v>
      </c>
      <c r="B955" s="17">
        <f>[1]SUMMARY!B956</f>
        <v>65</v>
      </c>
      <c r="C955" s="17">
        <f>[1]SUMMARY!C956</f>
        <v>14</v>
      </c>
      <c r="D955" s="25" t="str">
        <f>[1]SUMMARY!D956</f>
        <v>KINTO</v>
      </c>
      <c r="E955" s="25" t="str">
        <f>[1]SUMMARY!E956</f>
        <v>PRESTIGE P07</v>
      </c>
      <c r="F955" s="20"/>
      <c r="G955" s="20">
        <v>20</v>
      </c>
      <c r="H955" s="20">
        <v>16</v>
      </c>
      <c r="I955" s="45">
        <f t="shared" si="8"/>
        <v>4</v>
      </c>
      <c r="J955" s="22">
        <f>[1]SUMMARY!N956</f>
        <v>2090</v>
      </c>
      <c r="K955" s="23">
        <f t="shared" si="9"/>
        <v>8360</v>
      </c>
      <c r="L955" s="8"/>
      <c r="M955" s="8"/>
    </row>
    <row r="956" spans="1:13" x14ac:dyDescent="0.2">
      <c r="A956" s="17">
        <f>[1]SUMMARY!A957</f>
        <v>185</v>
      </c>
      <c r="B956" s="17">
        <f>[1]SUMMARY!B957</f>
        <v>70</v>
      </c>
      <c r="C956" s="17">
        <f>[1]SUMMARY!C957</f>
        <v>14</v>
      </c>
      <c r="D956" s="25" t="str">
        <f>[1]SUMMARY!D957</f>
        <v>KINTO</v>
      </c>
      <c r="E956" s="25" t="str">
        <f>[1]SUMMARY!E957</f>
        <v>SC-901</v>
      </c>
      <c r="F956" s="20"/>
      <c r="G956" s="20">
        <v>61</v>
      </c>
      <c r="H956" s="20">
        <v>46</v>
      </c>
      <c r="I956" s="45">
        <f t="shared" si="8"/>
        <v>15</v>
      </c>
      <c r="J956" s="22">
        <f>[1]SUMMARY!N957</f>
        <v>1925</v>
      </c>
      <c r="K956" s="23">
        <f t="shared" si="9"/>
        <v>28875</v>
      </c>
      <c r="L956" s="8"/>
      <c r="M956" s="8"/>
    </row>
    <row r="957" spans="1:13" x14ac:dyDescent="0.2">
      <c r="A957" s="17">
        <f>[1]SUMMARY!A958</f>
        <v>185</v>
      </c>
      <c r="B957" s="17">
        <f>[1]SUMMARY!B958</f>
        <v>0</v>
      </c>
      <c r="C957" s="17" t="str">
        <f>[1]SUMMARY!C958</f>
        <v>14C</v>
      </c>
      <c r="D957" s="25" t="str">
        <f>[1]SUMMARY!D958</f>
        <v>KINTO</v>
      </c>
      <c r="E957" s="25" t="str">
        <f>[1]SUMMARY!E958</f>
        <v>SM1</v>
      </c>
      <c r="F957" s="20"/>
      <c r="G957" s="20">
        <v>206</v>
      </c>
      <c r="H957" s="20">
        <v>176</v>
      </c>
      <c r="I957" s="45">
        <f t="shared" si="8"/>
        <v>30</v>
      </c>
      <c r="J957" s="22">
        <f>[1]SUMMARY!N958</f>
        <v>2964</v>
      </c>
      <c r="K957" s="23">
        <f t="shared" si="9"/>
        <v>88920</v>
      </c>
      <c r="L957" s="8"/>
      <c r="M957" s="8"/>
    </row>
    <row r="958" spans="1:13" x14ac:dyDescent="0.2">
      <c r="A958" s="17">
        <f>[1]SUMMARY!A959</f>
        <v>195</v>
      </c>
      <c r="B958" s="17">
        <f>[1]SUMMARY!B959</f>
        <v>0</v>
      </c>
      <c r="C958" s="17" t="str">
        <f>[1]SUMMARY!C959</f>
        <v>14C</v>
      </c>
      <c r="D958" s="25" t="str">
        <f>[1]SUMMARY!D959</f>
        <v>KINTO</v>
      </c>
      <c r="E958" s="25" t="str">
        <f>[1]SUMMARY!E959</f>
        <v>SM1</v>
      </c>
      <c r="F958" s="20"/>
      <c r="G958" s="20">
        <v>101</v>
      </c>
      <c r="H958" s="20">
        <v>97</v>
      </c>
      <c r="I958" s="45">
        <f t="shared" si="8"/>
        <v>4</v>
      </c>
      <c r="J958" s="22">
        <f>[1]SUMMARY!N959</f>
        <v>3163.6</v>
      </c>
      <c r="K958" s="23">
        <f t="shared" si="9"/>
        <v>12654.4</v>
      </c>
      <c r="L958" s="8"/>
      <c r="M958" s="8"/>
    </row>
    <row r="959" spans="1:13" x14ac:dyDescent="0.2">
      <c r="A959" s="17">
        <f>[1]SUMMARY!A960</f>
        <v>195</v>
      </c>
      <c r="B959" s="17">
        <f>[1]SUMMARY!B960</f>
        <v>50</v>
      </c>
      <c r="C959" s="17">
        <f>[1]SUMMARY!C960</f>
        <v>15</v>
      </c>
      <c r="D959" s="25" t="str">
        <f>[1]SUMMARY!D960</f>
        <v>KINTO</v>
      </c>
      <c r="E959" s="25" t="str">
        <f>[1]SUMMARY!E960</f>
        <v>V36</v>
      </c>
      <c r="F959" s="20"/>
      <c r="G959" s="20">
        <v>43</v>
      </c>
      <c r="H959" s="20">
        <v>43</v>
      </c>
      <c r="I959" s="30">
        <f t="shared" si="8"/>
        <v>0</v>
      </c>
      <c r="J959" s="22">
        <f>[1]SUMMARY!N960</f>
        <v>2508</v>
      </c>
      <c r="K959" s="23">
        <f t="shared" si="9"/>
        <v>0</v>
      </c>
      <c r="L959" s="8"/>
      <c r="M959" s="8"/>
    </row>
    <row r="960" spans="1:13" x14ac:dyDescent="0.2">
      <c r="A960" s="17">
        <f>[1]SUMMARY!A961</f>
        <v>195</v>
      </c>
      <c r="B960" s="17">
        <f>[1]SUMMARY!B961</f>
        <v>50</v>
      </c>
      <c r="C960" s="17">
        <f>[1]SUMMARY!C961</f>
        <v>15</v>
      </c>
      <c r="D960" s="25" t="str">
        <f>[1]SUMMARY!D961</f>
        <v>KINTO</v>
      </c>
      <c r="E960" s="25" t="str">
        <f>[1]SUMMARY!E961</f>
        <v>FORZA 001</v>
      </c>
      <c r="F960" s="20"/>
      <c r="G960" s="20">
        <v>138</v>
      </c>
      <c r="H960" s="20">
        <v>134</v>
      </c>
      <c r="I960" s="45">
        <f t="shared" si="8"/>
        <v>4</v>
      </c>
      <c r="J960" s="22">
        <f>[1]SUMMARY!N961</f>
        <v>2508</v>
      </c>
      <c r="K960" s="23">
        <f t="shared" si="9"/>
        <v>10032</v>
      </c>
      <c r="L960" s="8"/>
      <c r="M960" s="8"/>
    </row>
    <row r="961" spans="1:13" x14ac:dyDescent="0.2">
      <c r="A961" s="17">
        <f>[1]SUMMARY!A962</f>
        <v>185</v>
      </c>
      <c r="B961" s="17">
        <f>[1]SUMMARY!B962</f>
        <v>55</v>
      </c>
      <c r="C961" s="17">
        <f>[1]SUMMARY!C962</f>
        <v>15</v>
      </c>
      <c r="D961" s="25" t="str">
        <f>[1]SUMMARY!D962</f>
        <v>KINTO</v>
      </c>
      <c r="E961" s="25" t="str">
        <f>[1]SUMMARY!E962</f>
        <v>SC-901</v>
      </c>
      <c r="F961" s="20"/>
      <c r="G961" s="20">
        <v>75</v>
      </c>
      <c r="H961" s="20">
        <v>69</v>
      </c>
      <c r="I961" s="45">
        <f t="shared" si="8"/>
        <v>6</v>
      </c>
      <c r="J961" s="22">
        <f>[1]SUMMARY!N962</f>
        <v>2109</v>
      </c>
      <c r="K961" s="23">
        <f t="shared" si="9"/>
        <v>12654</v>
      </c>
      <c r="L961" s="8"/>
      <c r="M961" s="8"/>
    </row>
    <row r="962" spans="1:13" x14ac:dyDescent="0.2">
      <c r="A962" s="17">
        <f>[1]SUMMARY!A963</f>
        <v>195</v>
      </c>
      <c r="B962" s="17">
        <f>[1]SUMMARY!B963</f>
        <v>55</v>
      </c>
      <c r="C962" s="17">
        <f>[1]SUMMARY!C963</f>
        <v>15</v>
      </c>
      <c r="D962" s="25" t="str">
        <f>[1]SUMMARY!D963</f>
        <v>KINTO</v>
      </c>
      <c r="E962" s="25" t="str">
        <f>[1]SUMMARY!E963</f>
        <v>FORZA 001</v>
      </c>
      <c r="F962" s="20"/>
      <c r="G962" s="20">
        <v>393</v>
      </c>
      <c r="H962" s="20">
        <v>385</v>
      </c>
      <c r="I962" s="45">
        <f t="shared" si="8"/>
        <v>8</v>
      </c>
      <c r="J962" s="22">
        <f>[1]SUMMARY!N963</f>
        <v>2565</v>
      </c>
      <c r="K962" s="23">
        <f t="shared" si="9"/>
        <v>20520</v>
      </c>
      <c r="L962" s="8"/>
      <c r="M962" s="8"/>
    </row>
    <row r="963" spans="1:13" x14ac:dyDescent="0.2">
      <c r="A963" s="17">
        <f>[1]SUMMARY!A964</f>
        <v>195</v>
      </c>
      <c r="B963" s="17">
        <f>[1]SUMMARY!B964</f>
        <v>55</v>
      </c>
      <c r="C963" s="17">
        <f>[1]SUMMARY!C964</f>
        <v>15</v>
      </c>
      <c r="D963" s="25" t="str">
        <f>[1]SUMMARY!D964</f>
        <v>KINTO</v>
      </c>
      <c r="E963" s="25" t="str">
        <f>[1]SUMMARY!E964</f>
        <v>V36</v>
      </c>
      <c r="F963" s="20"/>
      <c r="G963" s="20">
        <v>92</v>
      </c>
      <c r="H963" s="20">
        <v>88</v>
      </c>
      <c r="I963" s="45">
        <f t="shared" si="8"/>
        <v>4</v>
      </c>
      <c r="J963" s="22">
        <f>[1]SUMMARY!N964</f>
        <v>2475</v>
      </c>
      <c r="K963" s="23">
        <f t="shared" si="9"/>
        <v>9900</v>
      </c>
      <c r="L963" s="8"/>
      <c r="M963" s="8"/>
    </row>
    <row r="964" spans="1:13" x14ac:dyDescent="0.2">
      <c r="A964" s="17">
        <f>[1]SUMMARY!A965</f>
        <v>185</v>
      </c>
      <c r="B964" s="17">
        <f>[1]SUMMARY!B965</f>
        <v>60</v>
      </c>
      <c r="C964" s="17">
        <f>[1]SUMMARY!C965</f>
        <v>15</v>
      </c>
      <c r="D964" s="25" t="str">
        <f>[1]SUMMARY!D965</f>
        <v>KINTO</v>
      </c>
      <c r="E964" s="25" t="str">
        <f>[1]SUMMARY!E965</f>
        <v>SC-901</v>
      </c>
      <c r="F964" s="20"/>
      <c r="G964" s="20">
        <v>167</v>
      </c>
      <c r="H964" s="20">
        <v>167</v>
      </c>
      <c r="I964" s="30">
        <f t="shared" si="8"/>
        <v>0</v>
      </c>
      <c r="J964" s="22">
        <f>[1]SUMMARY!N965</f>
        <v>2109</v>
      </c>
      <c r="K964" s="23">
        <f t="shared" si="9"/>
        <v>0</v>
      </c>
      <c r="L964" s="8"/>
      <c r="M964" s="8"/>
    </row>
    <row r="965" spans="1:13" x14ac:dyDescent="0.2">
      <c r="A965" s="17">
        <f>[1]SUMMARY!A966</f>
        <v>185</v>
      </c>
      <c r="B965" s="17">
        <f>[1]SUMMARY!B966</f>
        <v>60</v>
      </c>
      <c r="C965" s="17">
        <f>[1]SUMMARY!C966</f>
        <v>15</v>
      </c>
      <c r="D965" s="25" t="str">
        <f>[1]SUMMARY!D966</f>
        <v>KINTO</v>
      </c>
      <c r="E965" s="25" t="str">
        <f>[1]SUMMARY!E966</f>
        <v>PRESTIGE P07</v>
      </c>
      <c r="F965" s="20"/>
      <c r="G965" s="20">
        <v>32</v>
      </c>
      <c r="H965" s="20">
        <v>32</v>
      </c>
      <c r="I965" s="30">
        <f t="shared" si="8"/>
        <v>0</v>
      </c>
      <c r="J965" s="22">
        <f>[1]SUMMARY!N966</f>
        <v>2194.5</v>
      </c>
      <c r="K965" s="23">
        <f t="shared" si="9"/>
        <v>0</v>
      </c>
      <c r="L965" s="8"/>
      <c r="M965" s="8"/>
    </row>
    <row r="966" spans="1:13" x14ac:dyDescent="0.2">
      <c r="A966" s="17">
        <f>[1]SUMMARY!A967</f>
        <v>195</v>
      </c>
      <c r="B966" s="17">
        <f>[1]SUMMARY!B967</f>
        <v>60</v>
      </c>
      <c r="C966" s="17">
        <f>[1]SUMMARY!C967</f>
        <v>15</v>
      </c>
      <c r="D966" s="25" t="str">
        <f>[1]SUMMARY!D967</f>
        <v>KINTO</v>
      </c>
      <c r="E966" s="25" t="str">
        <f>[1]SUMMARY!E967</f>
        <v>SC-901</v>
      </c>
      <c r="F966" s="20"/>
      <c r="G966" s="20">
        <v>62</v>
      </c>
      <c r="H966" s="20">
        <v>59</v>
      </c>
      <c r="I966" s="45">
        <f t="shared" si="8"/>
        <v>3</v>
      </c>
      <c r="J966" s="22">
        <f>[1]SUMMARY!N967</f>
        <v>2223</v>
      </c>
      <c r="K966" s="23">
        <f t="shared" si="9"/>
        <v>6669</v>
      </c>
      <c r="L966" s="8"/>
      <c r="M966" s="8"/>
    </row>
    <row r="967" spans="1:13" x14ac:dyDescent="0.2">
      <c r="A967" s="17">
        <f>[1]SUMMARY!A968</f>
        <v>175</v>
      </c>
      <c r="B967" s="17">
        <f>[1]SUMMARY!B968</f>
        <v>65</v>
      </c>
      <c r="C967" s="17">
        <f>[1]SUMMARY!C968</f>
        <v>15</v>
      </c>
      <c r="D967" s="25" t="str">
        <f>[1]SUMMARY!D968</f>
        <v>KINTO</v>
      </c>
      <c r="E967" s="25" t="str">
        <f>[1]SUMMARY!E968</f>
        <v>SC-901</v>
      </c>
      <c r="F967" s="20"/>
      <c r="G967" s="20">
        <v>52</v>
      </c>
      <c r="H967" s="20">
        <v>40</v>
      </c>
      <c r="I967" s="45">
        <f t="shared" si="8"/>
        <v>12</v>
      </c>
      <c r="J967" s="22">
        <f>[1]SUMMARY!N968</f>
        <v>1952.5</v>
      </c>
      <c r="K967" s="23">
        <f t="shared" si="9"/>
        <v>23430</v>
      </c>
      <c r="L967" s="8"/>
      <c r="M967" s="8"/>
    </row>
    <row r="968" spans="1:13" x14ac:dyDescent="0.2">
      <c r="A968" s="17">
        <f>[1]SUMMARY!A969</f>
        <v>185</v>
      </c>
      <c r="B968" s="17">
        <f>[1]SUMMARY!B969</f>
        <v>65</v>
      </c>
      <c r="C968" s="17">
        <f>[1]SUMMARY!C969</f>
        <v>15</v>
      </c>
      <c r="D968" s="25" t="str">
        <f>[1]SUMMARY!D969</f>
        <v>KINTO</v>
      </c>
      <c r="E968" s="25" t="str">
        <f>[1]SUMMARY!E969</f>
        <v>SC-901</v>
      </c>
      <c r="F968" s="20"/>
      <c r="G968" s="20">
        <v>120</v>
      </c>
      <c r="H968" s="20">
        <v>120</v>
      </c>
      <c r="I968" s="45">
        <f t="shared" si="8"/>
        <v>0</v>
      </c>
      <c r="J968" s="22">
        <f>[1]SUMMARY!N969</f>
        <v>2194.5</v>
      </c>
      <c r="K968" s="23">
        <f t="shared" si="9"/>
        <v>0</v>
      </c>
      <c r="L968" s="8"/>
      <c r="M968" s="8"/>
    </row>
    <row r="969" spans="1:13" x14ac:dyDescent="0.2">
      <c r="A969" s="17">
        <f>[1]SUMMARY!A970</f>
        <v>185</v>
      </c>
      <c r="B969" s="17">
        <f>[1]SUMMARY!B970</f>
        <v>65</v>
      </c>
      <c r="C969" s="17">
        <f>[1]SUMMARY!C970</f>
        <v>15</v>
      </c>
      <c r="D969" s="25" t="str">
        <f>[1]SUMMARY!D970</f>
        <v>KINTO</v>
      </c>
      <c r="E969" s="25" t="str">
        <f>[1]SUMMARY!E970</f>
        <v>PRESTIGE P07</v>
      </c>
      <c r="F969" s="20"/>
      <c r="G969" s="20">
        <v>20</v>
      </c>
      <c r="H969" s="20">
        <v>16</v>
      </c>
      <c r="I969" s="30">
        <f t="shared" si="8"/>
        <v>4</v>
      </c>
      <c r="J969" s="22">
        <f>[1]SUMMARY!N970</f>
        <v>2255</v>
      </c>
      <c r="K969" s="23">
        <f t="shared" si="9"/>
        <v>9020</v>
      </c>
      <c r="L969" s="8"/>
      <c r="M969" s="8"/>
    </row>
    <row r="970" spans="1:13" x14ac:dyDescent="0.2">
      <c r="A970" s="17">
        <f>[1]SUMMARY!A971</f>
        <v>195</v>
      </c>
      <c r="B970" s="17">
        <f>[1]SUMMARY!B971</f>
        <v>65</v>
      </c>
      <c r="C970" s="17">
        <f>[1]SUMMARY!C971</f>
        <v>15</v>
      </c>
      <c r="D970" s="25" t="str">
        <f>[1]SUMMARY!D971</f>
        <v>KINTO</v>
      </c>
      <c r="E970" s="25" t="str">
        <f>[1]SUMMARY!E971</f>
        <v>SC-901</v>
      </c>
      <c r="F970" s="20"/>
      <c r="G970" s="20">
        <v>132</v>
      </c>
      <c r="H970" s="20">
        <v>126</v>
      </c>
      <c r="I970" s="45">
        <f t="shared" si="8"/>
        <v>6</v>
      </c>
      <c r="J970" s="22">
        <f>[1]SUMMARY!N971</f>
        <v>2365.5</v>
      </c>
      <c r="K970" s="23">
        <f t="shared" si="9"/>
        <v>14193</v>
      </c>
      <c r="L970" s="8"/>
      <c r="M970" s="8"/>
    </row>
    <row r="971" spans="1:13" x14ac:dyDescent="0.2">
      <c r="A971" s="17">
        <f>[1]SUMMARY!A972</f>
        <v>205</v>
      </c>
      <c r="B971" s="17">
        <f>[1]SUMMARY!B972</f>
        <v>65</v>
      </c>
      <c r="C971" s="17">
        <f>[1]SUMMARY!C972</f>
        <v>15</v>
      </c>
      <c r="D971" s="25" t="str">
        <f>[1]SUMMARY!D972</f>
        <v>KINTO</v>
      </c>
      <c r="E971" s="25" t="str">
        <f>[1]SUMMARY!E972</f>
        <v>SC-901</v>
      </c>
      <c r="F971" s="20"/>
      <c r="G971" s="20">
        <v>71</v>
      </c>
      <c r="H971" s="20">
        <v>67</v>
      </c>
      <c r="I971" s="45">
        <f t="shared" si="8"/>
        <v>4</v>
      </c>
      <c r="J971" s="22">
        <f>[1]SUMMARY!N972</f>
        <v>2622</v>
      </c>
      <c r="K971" s="23">
        <f t="shared" si="9"/>
        <v>10488</v>
      </c>
      <c r="L971" s="8"/>
      <c r="M971" s="8"/>
    </row>
    <row r="972" spans="1:13" x14ac:dyDescent="0.2">
      <c r="A972" s="17">
        <f>[1]SUMMARY!A973</f>
        <v>195</v>
      </c>
      <c r="B972" s="17">
        <f>[1]SUMMARY!B973</f>
        <v>70</v>
      </c>
      <c r="C972" s="17" t="str">
        <f>[1]SUMMARY!C973</f>
        <v>15C</v>
      </c>
      <c r="D972" s="25" t="str">
        <f>[1]SUMMARY!D973</f>
        <v>KINTO</v>
      </c>
      <c r="E972" s="25" t="str">
        <f>[1]SUMMARY!E973</f>
        <v>SM1</v>
      </c>
      <c r="F972" s="20"/>
      <c r="G972" s="20">
        <v>28</v>
      </c>
      <c r="H972" s="20">
        <v>28</v>
      </c>
      <c r="I972" s="30">
        <f t="shared" si="8"/>
        <v>0</v>
      </c>
      <c r="J972" s="22">
        <f>[1]SUMMARY!N973</f>
        <v>3078</v>
      </c>
      <c r="K972" s="23">
        <f t="shared" si="9"/>
        <v>0</v>
      </c>
      <c r="L972" s="8"/>
      <c r="M972" s="8"/>
    </row>
    <row r="973" spans="1:13" x14ac:dyDescent="0.2">
      <c r="A973" s="17">
        <f>[1]SUMMARY!A974</f>
        <v>205</v>
      </c>
      <c r="B973" s="17">
        <f>[1]SUMMARY!B974</f>
        <v>70</v>
      </c>
      <c r="C973" s="17" t="str">
        <f>[1]SUMMARY!C974</f>
        <v>15C</v>
      </c>
      <c r="D973" s="25" t="str">
        <f>[1]SUMMARY!D974</f>
        <v>KINTO</v>
      </c>
      <c r="E973" s="25" t="str">
        <f>[1]SUMMARY!E974</f>
        <v>SM1</v>
      </c>
      <c r="F973" s="20"/>
      <c r="G973" s="20">
        <v>20</v>
      </c>
      <c r="H973" s="20">
        <v>20</v>
      </c>
      <c r="I973" s="30">
        <f t="shared" ref="I973:I1227" si="10">F973+G973-H973</f>
        <v>0</v>
      </c>
      <c r="J973" s="22">
        <f>[1]SUMMARY!N974</f>
        <v>2990.03</v>
      </c>
      <c r="K973" s="23">
        <f t="shared" si="9"/>
        <v>0</v>
      </c>
      <c r="L973" s="8"/>
      <c r="M973" s="8"/>
    </row>
    <row r="974" spans="1:13" x14ac:dyDescent="0.2">
      <c r="A974" s="17">
        <f>[1]SUMMARY!A975</f>
        <v>205</v>
      </c>
      <c r="B974" s="17">
        <f>[1]SUMMARY!B975</f>
        <v>70</v>
      </c>
      <c r="C974" s="17" t="str">
        <f>[1]SUMMARY!C975</f>
        <v>15C</v>
      </c>
      <c r="D974" s="25" t="str">
        <f>[1]SUMMARY!D975</f>
        <v>KINTO</v>
      </c>
      <c r="E974" s="25" t="str">
        <f>[1]SUMMARY!E975</f>
        <v>8PR FUERTE K99</v>
      </c>
      <c r="F974" s="20"/>
      <c r="G974" s="20">
        <v>64</v>
      </c>
      <c r="H974" s="20">
        <v>64</v>
      </c>
      <c r="I974" s="45">
        <f t="shared" si="10"/>
        <v>0</v>
      </c>
      <c r="J974" s="22">
        <f>[1]SUMMARY!N975</f>
        <v>3289</v>
      </c>
      <c r="K974" s="23">
        <f t="shared" si="9"/>
        <v>0</v>
      </c>
      <c r="L974" s="8"/>
      <c r="M974" s="8"/>
    </row>
    <row r="975" spans="1:13" x14ac:dyDescent="0.2">
      <c r="A975" s="17">
        <f>[1]SUMMARY!A976</f>
        <v>215</v>
      </c>
      <c r="B975" s="17">
        <f>[1]SUMMARY!B976</f>
        <v>70</v>
      </c>
      <c r="C975" s="17" t="str">
        <f>[1]SUMMARY!C976</f>
        <v>15C</v>
      </c>
      <c r="D975" s="25" t="str">
        <f>[1]SUMMARY!D976</f>
        <v>KINTO</v>
      </c>
      <c r="E975" s="25" t="str">
        <f>[1]SUMMARY!E976</f>
        <v>8PR FUERTE K99</v>
      </c>
      <c r="F975" s="20"/>
      <c r="G975" s="20">
        <v>33</v>
      </c>
      <c r="H975" s="20">
        <v>33</v>
      </c>
      <c r="I975" s="30">
        <f t="shared" si="10"/>
        <v>0</v>
      </c>
      <c r="J975" s="22">
        <f>[1]SUMMARY!N976</f>
        <v>3591</v>
      </c>
      <c r="K975" s="23">
        <f t="shared" si="9"/>
        <v>0</v>
      </c>
      <c r="L975" s="8"/>
      <c r="M975" s="8"/>
    </row>
    <row r="976" spans="1:13" x14ac:dyDescent="0.2">
      <c r="A976" s="17">
        <f>[1]SUMMARY!A977</f>
        <v>235</v>
      </c>
      <c r="B976" s="17">
        <f>[1]SUMMARY!B977</f>
        <v>75</v>
      </c>
      <c r="C976" s="17">
        <f>[1]SUMMARY!C977</f>
        <v>15</v>
      </c>
      <c r="D976" s="25" t="str">
        <f>[1]SUMMARY!D977</f>
        <v>KINTO</v>
      </c>
      <c r="E976" s="25" t="str">
        <f>[1]SUMMARY!E977</f>
        <v>ST-51</v>
      </c>
      <c r="F976" s="20"/>
      <c r="G976" s="20">
        <v>14</v>
      </c>
      <c r="H976" s="20">
        <v>10</v>
      </c>
      <c r="I976" s="45">
        <f t="shared" si="10"/>
        <v>4</v>
      </c>
      <c r="J976" s="22">
        <f>[1]SUMMARY!N977</f>
        <v>3575</v>
      </c>
      <c r="K976" s="23">
        <f t="shared" si="9"/>
        <v>14300</v>
      </c>
      <c r="L976" s="8"/>
      <c r="M976" s="8"/>
    </row>
    <row r="977" spans="1:13" x14ac:dyDescent="0.2">
      <c r="A977" s="17">
        <f>[1]SUMMARY!A978</f>
        <v>195</v>
      </c>
      <c r="B977" s="17">
        <f>[1]SUMMARY!B978</f>
        <v>0</v>
      </c>
      <c r="C977" s="17" t="str">
        <f>[1]SUMMARY!C978</f>
        <v>15C</v>
      </c>
      <c r="D977" s="25" t="str">
        <f>[1]SUMMARY!D978</f>
        <v>KINTO</v>
      </c>
      <c r="E977" s="25" t="str">
        <f>[1]SUMMARY!E978</f>
        <v>SM1</v>
      </c>
      <c r="F977" s="20"/>
      <c r="G977" s="60">
        <v>107</v>
      </c>
      <c r="H977" s="61">
        <v>99</v>
      </c>
      <c r="I977" s="45">
        <f t="shared" si="10"/>
        <v>8</v>
      </c>
      <c r="J977" s="22">
        <f>[1]SUMMARY!N978</f>
        <v>3414.3</v>
      </c>
      <c r="K977" s="23">
        <f t="shared" si="9"/>
        <v>27314.400000000001</v>
      </c>
      <c r="L977" s="8"/>
      <c r="M977" s="8"/>
    </row>
    <row r="978" spans="1:13" x14ac:dyDescent="0.2">
      <c r="A978" s="17">
        <f>[1]SUMMARY!A979</f>
        <v>205</v>
      </c>
      <c r="B978" s="17">
        <f>[1]SUMMARY!B979</f>
        <v>45</v>
      </c>
      <c r="C978" s="17">
        <f>[1]SUMMARY!C979</f>
        <v>16</v>
      </c>
      <c r="D978" s="25" t="str">
        <f>[1]SUMMARY!D979</f>
        <v>KINTO</v>
      </c>
      <c r="E978" s="25" t="str">
        <f>[1]SUMMARY!E979</f>
        <v>SC-900</v>
      </c>
      <c r="F978" s="20"/>
      <c r="G978" s="20">
        <v>41</v>
      </c>
      <c r="H978" s="20">
        <v>39</v>
      </c>
      <c r="I978" s="45">
        <f t="shared" si="10"/>
        <v>2</v>
      </c>
      <c r="J978" s="22">
        <f>[1]SUMMARY!N979</f>
        <v>2337</v>
      </c>
      <c r="K978" s="23">
        <f t="shared" si="9"/>
        <v>4674</v>
      </c>
      <c r="L978" s="8"/>
      <c r="M978" s="8"/>
    </row>
    <row r="979" spans="1:13" x14ac:dyDescent="0.2">
      <c r="A979" s="17">
        <f>[1]SUMMARY!A980</f>
        <v>195</v>
      </c>
      <c r="B979" s="17">
        <f>[1]SUMMARY!B980</f>
        <v>50</v>
      </c>
      <c r="C979" s="17">
        <f>[1]SUMMARY!C980</f>
        <v>16</v>
      </c>
      <c r="D979" s="25" t="str">
        <f>[1]SUMMARY!D980</f>
        <v>KINTO</v>
      </c>
      <c r="E979" s="25" t="str">
        <f>[1]SUMMARY!E980</f>
        <v>FORZA 001</v>
      </c>
      <c r="F979" s="20"/>
      <c r="G979" s="20">
        <v>131</v>
      </c>
      <c r="H979" s="20">
        <v>127</v>
      </c>
      <c r="I979" s="45">
        <f t="shared" si="10"/>
        <v>4</v>
      </c>
      <c r="J979" s="22">
        <f>[1]SUMMARY!N980</f>
        <v>2850</v>
      </c>
      <c r="K979" s="23">
        <f t="shared" si="9"/>
        <v>11400</v>
      </c>
      <c r="L979" s="8"/>
      <c r="M979" s="8"/>
    </row>
    <row r="980" spans="1:13" x14ac:dyDescent="0.2">
      <c r="A980" s="17">
        <f>[1]SUMMARY!A981</f>
        <v>205</v>
      </c>
      <c r="B980" s="17">
        <f>[1]SUMMARY!B981</f>
        <v>50</v>
      </c>
      <c r="C980" s="17">
        <f>[1]SUMMARY!C981</f>
        <v>16</v>
      </c>
      <c r="D980" s="25" t="str">
        <f>[1]SUMMARY!D981</f>
        <v>KINTO</v>
      </c>
      <c r="E980" s="25" t="str">
        <f>[1]SUMMARY!E981</f>
        <v>FORZA 001</v>
      </c>
      <c r="F980" s="20"/>
      <c r="G980" s="20">
        <v>6</v>
      </c>
      <c r="H980" s="20">
        <v>6</v>
      </c>
      <c r="I980" s="30">
        <f t="shared" si="10"/>
        <v>0</v>
      </c>
      <c r="J980" s="22">
        <f>[1]SUMMARY!N981</f>
        <v>2722.5</v>
      </c>
      <c r="K980" s="23">
        <f t="shared" si="9"/>
        <v>0</v>
      </c>
      <c r="L980" s="8"/>
      <c r="M980" s="8"/>
    </row>
    <row r="981" spans="1:13" x14ac:dyDescent="0.2">
      <c r="A981" s="17">
        <f>[1]SUMMARY!A982</f>
        <v>185</v>
      </c>
      <c r="B981" s="17">
        <f>[1]SUMMARY!B982</f>
        <v>55</v>
      </c>
      <c r="C981" s="17">
        <f>[1]SUMMARY!C982</f>
        <v>16</v>
      </c>
      <c r="D981" s="25" t="str">
        <f>[1]SUMMARY!D982</f>
        <v>KINTO</v>
      </c>
      <c r="E981" s="25" t="str">
        <f>[1]SUMMARY!E982</f>
        <v>SC-900</v>
      </c>
      <c r="F981" s="20"/>
      <c r="G981" s="20">
        <v>66</v>
      </c>
      <c r="H981" s="20">
        <v>66</v>
      </c>
      <c r="I981" s="45">
        <f t="shared" si="10"/>
        <v>0</v>
      </c>
      <c r="J981" s="22">
        <f>[1]SUMMARY!N982</f>
        <v>2194.5</v>
      </c>
      <c r="K981" s="23">
        <f t="shared" si="9"/>
        <v>0</v>
      </c>
      <c r="L981" s="8"/>
      <c r="M981" s="8"/>
    </row>
    <row r="982" spans="1:13" x14ac:dyDescent="0.2">
      <c r="A982" s="17">
        <f>[1]SUMMARY!A983</f>
        <v>185</v>
      </c>
      <c r="B982" s="17">
        <f>[1]SUMMARY!B983</f>
        <v>55</v>
      </c>
      <c r="C982" s="17">
        <f>[1]SUMMARY!C983</f>
        <v>16</v>
      </c>
      <c r="D982" s="25" t="str">
        <f>[1]SUMMARY!D983</f>
        <v>KINTO</v>
      </c>
      <c r="E982" s="25" t="str">
        <f>[1]SUMMARY!E983</f>
        <v>PRESTIGE P07</v>
      </c>
      <c r="F982" s="20"/>
      <c r="G982" s="20">
        <v>21</v>
      </c>
      <c r="H982" s="20">
        <v>17</v>
      </c>
      <c r="I982" s="45">
        <f t="shared" si="10"/>
        <v>4</v>
      </c>
      <c r="J982" s="22">
        <f>[1]SUMMARY!N983</f>
        <v>2593.5</v>
      </c>
      <c r="K982" s="23">
        <f t="shared" si="9"/>
        <v>10374</v>
      </c>
      <c r="L982" s="8"/>
      <c r="M982" s="8"/>
    </row>
    <row r="983" spans="1:13" x14ac:dyDescent="0.2">
      <c r="A983" s="17">
        <f>[1]SUMMARY!A984</f>
        <v>205</v>
      </c>
      <c r="B983" s="17">
        <f>[1]SUMMARY!B984</f>
        <v>55</v>
      </c>
      <c r="C983" s="17">
        <f>[1]SUMMARY!C984</f>
        <v>16</v>
      </c>
      <c r="D983" s="25" t="str">
        <f>[1]SUMMARY!D984</f>
        <v>KINTO</v>
      </c>
      <c r="E983" s="25" t="str">
        <f>[1]SUMMARY!E984</f>
        <v>SC-900</v>
      </c>
      <c r="F983" s="20"/>
      <c r="G983" s="20">
        <v>157</v>
      </c>
      <c r="H983" s="20">
        <v>157</v>
      </c>
      <c r="I983" s="45">
        <f t="shared" si="10"/>
        <v>0</v>
      </c>
      <c r="J983" s="22">
        <f>[1]SUMMARY!N984</f>
        <v>2565</v>
      </c>
      <c r="K983" s="23">
        <f t="shared" si="9"/>
        <v>0</v>
      </c>
      <c r="L983" s="8"/>
      <c r="M983" s="8"/>
    </row>
    <row r="984" spans="1:13" x14ac:dyDescent="0.2">
      <c r="A984" s="17">
        <f>[1]SUMMARY!A985</f>
        <v>215</v>
      </c>
      <c r="B984" s="17">
        <f>[1]SUMMARY!B985</f>
        <v>55</v>
      </c>
      <c r="C984" s="17">
        <f>[1]SUMMARY!C985</f>
        <v>16</v>
      </c>
      <c r="D984" s="25" t="str">
        <f>[1]SUMMARY!D985</f>
        <v>KINTO</v>
      </c>
      <c r="E984" s="25" t="str">
        <f>[1]SUMMARY!E985</f>
        <v>SC-900</v>
      </c>
      <c r="F984" s="20"/>
      <c r="G984" s="20">
        <v>69</v>
      </c>
      <c r="H984" s="20">
        <v>63</v>
      </c>
      <c r="I984" s="45">
        <f t="shared" si="10"/>
        <v>6</v>
      </c>
      <c r="J984" s="22">
        <f>[1]SUMMARY!N985</f>
        <v>2838.6</v>
      </c>
      <c r="K984" s="23">
        <f t="shared" si="9"/>
        <v>17031.599999999999</v>
      </c>
      <c r="L984" s="8"/>
      <c r="M984" s="8"/>
    </row>
    <row r="985" spans="1:13" x14ac:dyDescent="0.2">
      <c r="A985" s="17">
        <f>[1]SUMMARY!A986</f>
        <v>195</v>
      </c>
      <c r="B985" s="17">
        <f>[1]SUMMARY!B986</f>
        <v>60</v>
      </c>
      <c r="C985" s="17">
        <f>[1]SUMMARY!C986</f>
        <v>16</v>
      </c>
      <c r="D985" s="25" t="str">
        <f>[1]SUMMARY!D986</f>
        <v>KINTO</v>
      </c>
      <c r="E985" s="25" t="str">
        <f>[1]SUMMARY!E986</f>
        <v>PRESTIGE P07</v>
      </c>
      <c r="F985" s="20"/>
      <c r="G985" s="20">
        <v>17</v>
      </c>
      <c r="H985" s="20">
        <v>13</v>
      </c>
      <c r="I985" s="45">
        <f t="shared" si="10"/>
        <v>4</v>
      </c>
      <c r="J985" s="22">
        <f>[1]SUMMARY!N986</f>
        <v>2730.3</v>
      </c>
      <c r="K985" s="23">
        <f t="shared" si="9"/>
        <v>10921.2</v>
      </c>
      <c r="L985" s="8"/>
      <c r="M985" s="8"/>
    </row>
    <row r="986" spans="1:13" x14ac:dyDescent="0.2">
      <c r="A986" s="17">
        <f>[1]SUMMARY!A987</f>
        <v>215</v>
      </c>
      <c r="B986" s="17">
        <f>[1]SUMMARY!B987</f>
        <v>60</v>
      </c>
      <c r="C986" s="17">
        <f>[1]SUMMARY!C987</f>
        <v>16</v>
      </c>
      <c r="D986" s="25" t="str">
        <f>[1]SUMMARY!D987</f>
        <v>KINTO</v>
      </c>
      <c r="E986" s="25" t="str">
        <f>[1]SUMMARY!E987</f>
        <v>SC-900</v>
      </c>
      <c r="F986" s="20"/>
      <c r="G986" s="20">
        <v>35</v>
      </c>
      <c r="H986" s="20">
        <v>31</v>
      </c>
      <c r="I986" s="45">
        <f t="shared" si="10"/>
        <v>4</v>
      </c>
      <c r="J986" s="22">
        <f>[1]SUMMARY!N987</f>
        <v>2821.5</v>
      </c>
      <c r="K986" s="23">
        <f t="shared" si="9"/>
        <v>11286</v>
      </c>
      <c r="L986" s="8"/>
      <c r="M986" s="8"/>
    </row>
    <row r="987" spans="1:13" x14ac:dyDescent="0.2">
      <c r="A987" s="17">
        <f>[1]SUMMARY!A988</f>
        <v>245</v>
      </c>
      <c r="B987" s="17">
        <f>[1]SUMMARY!B988</f>
        <v>70</v>
      </c>
      <c r="C987" s="17">
        <f>[1]SUMMARY!C988</f>
        <v>16</v>
      </c>
      <c r="D987" s="25" t="str">
        <f>[1]SUMMARY!D988</f>
        <v>KINTO</v>
      </c>
      <c r="E987" s="25" t="str">
        <f>[1]SUMMARY!E988</f>
        <v>ST-51</v>
      </c>
      <c r="F987" s="20"/>
      <c r="G987" s="20">
        <v>6</v>
      </c>
      <c r="H987" s="20">
        <v>6</v>
      </c>
      <c r="I987" s="30">
        <f t="shared" si="10"/>
        <v>0</v>
      </c>
      <c r="J987" s="22">
        <f>[1]SUMMARY!N988</f>
        <v>4104</v>
      </c>
      <c r="K987" s="23">
        <f t="shared" si="9"/>
        <v>0</v>
      </c>
      <c r="L987" s="8"/>
      <c r="M987" s="8"/>
    </row>
    <row r="988" spans="1:13" x14ac:dyDescent="0.2">
      <c r="A988" s="17">
        <f>[1]SUMMARY!A989</f>
        <v>265</v>
      </c>
      <c r="B988" s="17">
        <f>[1]SUMMARY!B989</f>
        <v>70</v>
      </c>
      <c r="C988" s="17">
        <f>[1]SUMMARY!C989</f>
        <v>16</v>
      </c>
      <c r="D988" s="25" t="str">
        <f>[1]SUMMARY!D989</f>
        <v>KINTO</v>
      </c>
      <c r="E988" s="25" t="str">
        <f>[1]SUMMARY!E989</f>
        <v>ST-51</v>
      </c>
      <c r="F988" s="20"/>
      <c r="G988" s="20">
        <v>14</v>
      </c>
      <c r="H988" s="20">
        <v>14</v>
      </c>
      <c r="I988" s="30">
        <f t="shared" si="10"/>
        <v>0</v>
      </c>
      <c r="J988" s="22">
        <f>[1]SUMMARY!N989</f>
        <v>4731</v>
      </c>
      <c r="K988" s="23">
        <f t="shared" si="9"/>
        <v>0</v>
      </c>
      <c r="L988" s="8"/>
      <c r="M988" s="8"/>
    </row>
    <row r="989" spans="1:13" x14ac:dyDescent="0.2">
      <c r="A989" s="17">
        <f>[1]SUMMARY!A990</f>
        <v>265</v>
      </c>
      <c r="B989" s="17">
        <f>[1]SUMMARY!B990</f>
        <v>70</v>
      </c>
      <c r="C989" s="17">
        <f>[1]SUMMARY!C990</f>
        <v>16</v>
      </c>
      <c r="D989" s="25" t="str">
        <f>[1]SUMMARY!D990</f>
        <v>KINTO</v>
      </c>
      <c r="E989" s="25" t="str">
        <f>[1]SUMMARY!E990</f>
        <v>KAIJU 2</v>
      </c>
      <c r="F989" s="20"/>
      <c r="G989" s="20">
        <v>144</v>
      </c>
      <c r="H989" s="20">
        <v>140</v>
      </c>
      <c r="I989" s="45">
        <f t="shared" si="10"/>
        <v>4</v>
      </c>
      <c r="J989" s="22">
        <f>[1]SUMMARY!N990</f>
        <v>6070.5</v>
      </c>
      <c r="K989" s="23">
        <f t="shared" si="9"/>
        <v>24282</v>
      </c>
      <c r="L989" s="8"/>
      <c r="M989" s="8"/>
    </row>
    <row r="990" spans="1:13" x14ac:dyDescent="0.2">
      <c r="A990" s="17">
        <f>[1]SUMMARY!A991</f>
        <v>265</v>
      </c>
      <c r="B990" s="17">
        <f>[1]SUMMARY!B991</f>
        <v>75</v>
      </c>
      <c r="C990" s="17">
        <f>[1]SUMMARY!C991</f>
        <v>16</v>
      </c>
      <c r="D990" s="25" t="str">
        <f>[1]SUMMARY!D991</f>
        <v>KINTO</v>
      </c>
      <c r="E990" s="25" t="str">
        <f>[1]SUMMARY!E991</f>
        <v>KAIJU 2</v>
      </c>
      <c r="F990" s="20"/>
      <c r="G990" s="20">
        <v>35</v>
      </c>
      <c r="H990" s="20">
        <v>30</v>
      </c>
      <c r="I990" s="30">
        <f t="shared" si="10"/>
        <v>5</v>
      </c>
      <c r="J990" s="22">
        <f>[1]SUMMARY!N991</f>
        <v>6384</v>
      </c>
      <c r="K990" s="23">
        <f t="shared" si="9"/>
        <v>31920</v>
      </c>
      <c r="L990" s="56"/>
      <c r="M990" s="8"/>
    </row>
    <row r="991" spans="1:13" x14ac:dyDescent="0.2">
      <c r="A991" s="17">
        <f>[1]SUMMARY!A992</f>
        <v>205</v>
      </c>
      <c r="B991" s="17">
        <f>[1]SUMMARY!B992</f>
        <v>40</v>
      </c>
      <c r="C991" s="17">
        <f>[1]SUMMARY!C992</f>
        <v>17</v>
      </c>
      <c r="D991" s="25" t="str">
        <f>[1]SUMMARY!D992</f>
        <v>KINTO</v>
      </c>
      <c r="E991" s="25" t="str">
        <f>[1]SUMMARY!E992</f>
        <v>SC-900</v>
      </c>
      <c r="F991" s="20"/>
      <c r="G991" s="20">
        <v>15</v>
      </c>
      <c r="H991" s="20">
        <v>11</v>
      </c>
      <c r="I991" s="45">
        <f t="shared" si="10"/>
        <v>4</v>
      </c>
      <c r="J991" s="22">
        <f>[1]SUMMARY!N992</f>
        <v>2451</v>
      </c>
      <c r="K991" s="23">
        <f t="shared" si="9"/>
        <v>9804</v>
      </c>
      <c r="L991" s="8"/>
      <c r="M991" s="8"/>
    </row>
    <row r="992" spans="1:13" x14ac:dyDescent="0.2">
      <c r="A992" s="17">
        <f>[1]SUMMARY!A993</f>
        <v>205</v>
      </c>
      <c r="B992" s="17">
        <f>[1]SUMMARY!B993</f>
        <v>45</v>
      </c>
      <c r="C992" s="17">
        <f>[1]SUMMARY!C993</f>
        <v>17</v>
      </c>
      <c r="D992" s="25" t="str">
        <f>[1]SUMMARY!D993</f>
        <v>KINTO</v>
      </c>
      <c r="E992" s="25" t="str">
        <f>[1]SUMMARY!E993</f>
        <v>FORZA 001</v>
      </c>
      <c r="F992" s="20"/>
      <c r="G992" s="20">
        <v>225</v>
      </c>
      <c r="H992" s="20">
        <v>225</v>
      </c>
      <c r="I992" s="45">
        <f t="shared" si="10"/>
        <v>0</v>
      </c>
      <c r="J992" s="22">
        <f>[1]SUMMARY!N993</f>
        <v>2964</v>
      </c>
      <c r="K992" s="23">
        <f t="shared" si="9"/>
        <v>0</v>
      </c>
      <c r="L992" s="8"/>
      <c r="M992" s="8"/>
    </row>
    <row r="993" spans="1:13" x14ac:dyDescent="0.2">
      <c r="A993" s="17">
        <f>[1]SUMMARY!A994</f>
        <v>215</v>
      </c>
      <c r="B993" s="17">
        <f>[1]SUMMARY!B994</f>
        <v>45</v>
      </c>
      <c r="C993" s="17">
        <f>[1]SUMMARY!C994</f>
        <v>17</v>
      </c>
      <c r="D993" s="25" t="str">
        <f>[1]SUMMARY!D994</f>
        <v>KINTO</v>
      </c>
      <c r="E993" s="25" t="str">
        <f>[1]SUMMARY!E994</f>
        <v>FORZA 001</v>
      </c>
      <c r="F993" s="20"/>
      <c r="G993" s="20">
        <v>126</v>
      </c>
      <c r="H993" s="20">
        <v>119</v>
      </c>
      <c r="I993" s="45">
        <f t="shared" si="10"/>
        <v>7</v>
      </c>
      <c r="J993" s="22">
        <f>[1]SUMMARY!N994</f>
        <v>3135</v>
      </c>
      <c r="K993" s="23">
        <f t="shared" si="9"/>
        <v>21945</v>
      </c>
      <c r="L993" s="8"/>
      <c r="M993" s="8"/>
    </row>
    <row r="994" spans="1:13" x14ac:dyDescent="0.2">
      <c r="A994" s="17">
        <f>[1]SUMMARY!A995</f>
        <v>215</v>
      </c>
      <c r="B994" s="17">
        <f>[1]SUMMARY!B995</f>
        <v>50</v>
      </c>
      <c r="C994" s="17">
        <f>[1]SUMMARY!C995</f>
        <v>17</v>
      </c>
      <c r="D994" s="25" t="str">
        <f>[1]SUMMARY!D995</f>
        <v>KINTO</v>
      </c>
      <c r="E994" s="25" t="str">
        <f>[1]SUMMARY!E995</f>
        <v>SC-900</v>
      </c>
      <c r="F994" s="20"/>
      <c r="G994" s="20">
        <v>119</v>
      </c>
      <c r="H994" s="20">
        <v>115</v>
      </c>
      <c r="I994" s="45">
        <f t="shared" si="10"/>
        <v>4</v>
      </c>
      <c r="J994" s="22">
        <f>[1]SUMMARY!N995</f>
        <v>2838.6</v>
      </c>
      <c r="K994" s="23">
        <f t="shared" si="9"/>
        <v>11354.4</v>
      </c>
      <c r="L994" s="8"/>
      <c r="M994" s="8"/>
    </row>
    <row r="995" spans="1:13" x14ac:dyDescent="0.2">
      <c r="A995" s="17">
        <f>[1]SUMMARY!A996</f>
        <v>215</v>
      </c>
      <c r="B995" s="17">
        <f>[1]SUMMARY!B996</f>
        <v>55</v>
      </c>
      <c r="C995" s="17">
        <f>[1]SUMMARY!C996</f>
        <v>17</v>
      </c>
      <c r="D995" s="25" t="str">
        <f>[1]SUMMARY!D996</f>
        <v>KINTO</v>
      </c>
      <c r="E995" s="25" t="str">
        <f>[1]SUMMARY!E996</f>
        <v>SC-900</v>
      </c>
      <c r="F995" s="20"/>
      <c r="G995" s="20">
        <v>171</v>
      </c>
      <c r="H995" s="20">
        <v>167</v>
      </c>
      <c r="I995" s="30">
        <f t="shared" si="10"/>
        <v>4</v>
      </c>
      <c r="J995" s="22">
        <f>[1]SUMMARY!N996</f>
        <v>3192</v>
      </c>
      <c r="K995" s="23">
        <f t="shared" si="9"/>
        <v>12768</v>
      </c>
      <c r="L995" s="8"/>
      <c r="M995" s="8"/>
    </row>
    <row r="996" spans="1:13" x14ac:dyDescent="0.2">
      <c r="A996" s="17">
        <f>[1]SUMMARY!A997</f>
        <v>225</v>
      </c>
      <c r="B996" s="17">
        <f>[1]SUMMARY!B997</f>
        <v>55</v>
      </c>
      <c r="C996" s="17">
        <f>[1]SUMMARY!C997</f>
        <v>17</v>
      </c>
      <c r="D996" s="25" t="str">
        <f>[1]SUMMARY!D997</f>
        <v>KINTO</v>
      </c>
      <c r="E996" s="25" t="str">
        <f>[1]SUMMARY!E997</f>
        <v>SC-900</v>
      </c>
      <c r="F996" s="20"/>
      <c r="G996" s="20">
        <v>20</v>
      </c>
      <c r="H996" s="20">
        <v>20</v>
      </c>
      <c r="I996" s="30">
        <f t="shared" si="10"/>
        <v>0</v>
      </c>
      <c r="J996" s="22">
        <f>[1]SUMMARY!N997</f>
        <v>3135</v>
      </c>
      <c r="K996" s="23">
        <f t="shared" si="9"/>
        <v>0</v>
      </c>
      <c r="L996" s="8"/>
      <c r="M996" s="8"/>
    </row>
    <row r="997" spans="1:13" x14ac:dyDescent="0.2">
      <c r="A997" s="17">
        <f>[1]SUMMARY!A998</f>
        <v>225</v>
      </c>
      <c r="B997" s="17">
        <f>[1]SUMMARY!B998</f>
        <v>55</v>
      </c>
      <c r="C997" s="17">
        <f>[1]SUMMARY!C998</f>
        <v>17</v>
      </c>
      <c r="D997" s="25" t="str">
        <f>[1]SUMMARY!D998</f>
        <v>KINTO</v>
      </c>
      <c r="E997" s="25" t="str">
        <f>[1]SUMMARY!E998</f>
        <v>PRESTIGE P07</v>
      </c>
      <c r="F997" s="20"/>
      <c r="G997" s="20">
        <v>54</v>
      </c>
      <c r="H997" s="20">
        <v>50</v>
      </c>
      <c r="I997" s="45">
        <f t="shared" si="10"/>
        <v>4</v>
      </c>
      <c r="J997" s="22">
        <f>[1]SUMMARY!N998</f>
        <v>3520</v>
      </c>
      <c r="K997" s="23">
        <f t="shared" si="9"/>
        <v>14080</v>
      </c>
      <c r="L997" s="8"/>
      <c r="M997" s="8"/>
    </row>
    <row r="998" spans="1:13" x14ac:dyDescent="0.2">
      <c r="A998" s="17">
        <f>[1]SUMMARY!A999</f>
        <v>225</v>
      </c>
      <c r="B998" s="17">
        <f>[1]SUMMARY!B999</f>
        <v>65</v>
      </c>
      <c r="C998" s="17">
        <f>[1]SUMMARY!C999</f>
        <v>17</v>
      </c>
      <c r="D998" s="25" t="str">
        <f>[1]SUMMARY!D999</f>
        <v>KINTO</v>
      </c>
      <c r="E998" s="25" t="str">
        <f>[1]SUMMARY!E999</f>
        <v>ST-51</v>
      </c>
      <c r="F998" s="20"/>
      <c r="G998" s="20">
        <v>32</v>
      </c>
      <c r="H998" s="20">
        <v>32</v>
      </c>
      <c r="I998" s="30">
        <f t="shared" si="10"/>
        <v>0</v>
      </c>
      <c r="J998" s="22">
        <f>[1]SUMMARY!N999</f>
        <v>3534</v>
      </c>
      <c r="K998" s="23">
        <f t="shared" si="9"/>
        <v>0</v>
      </c>
      <c r="L998" s="8"/>
      <c r="M998" s="8"/>
    </row>
    <row r="999" spans="1:13" x14ac:dyDescent="0.2">
      <c r="A999" s="17">
        <f>[1]SUMMARY!A1000</f>
        <v>265</v>
      </c>
      <c r="B999" s="17">
        <f>[1]SUMMARY!B1000</f>
        <v>65</v>
      </c>
      <c r="C999" s="17">
        <f>[1]SUMMARY!C1000</f>
        <v>17</v>
      </c>
      <c r="D999" s="25" t="str">
        <f>[1]SUMMARY!D1000</f>
        <v>KINTO</v>
      </c>
      <c r="E999" s="25" t="str">
        <f>[1]SUMMARY!E1000</f>
        <v>KAIJU 2</v>
      </c>
      <c r="F999" s="20"/>
      <c r="G999" s="20">
        <v>301</v>
      </c>
      <c r="H999" s="20">
        <v>296</v>
      </c>
      <c r="I999" s="45">
        <f t="shared" si="10"/>
        <v>5</v>
      </c>
      <c r="J999" s="22">
        <f>[1]SUMMARY!N1000</f>
        <v>6270</v>
      </c>
      <c r="K999" s="23">
        <f t="shared" si="9"/>
        <v>31350</v>
      </c>
      <c r="L999" s="8"/>
      <c r="M999" s="8"/>
    </row>
    <row r="1000" spans="1:13" x14ac:dyDescent="0.2">
      <c r="A1000" s="17">
        <f>[1]SUMMARY!A1001</f>
        <v>265</v>
      </c>
      <c r="B1000" s="17">
        <f>[1]SUMMARY!B1001</f>
        <v>65</v>
      </c>
      <c r="C1000" s="17">
        <f>[1]SUMMARY!C1001</f>
        <v>17</v>
      </c>
      <c r="D1000" s="25" t="str">
        <f>[1]SUMMARY!D1001</f>
        <v>KINTO</v>
      </c>
      <c r="E1000" s="25" t="str">
        <f>[1]SUMMARY!E1001</f>
        <v>SM-5</v>
      </c>
      <c r="F1000" s="20"/>
      <c r="G1000" s="20">
        <v>20</v>
      </c>
      <c r="H1000" s="20">
        <v>20</v>
      </c>
      <c r="I1000" s="30">
        <f t="shared" si="10"/>
        <v>0</v>
      </c>
      <c r="J1000" s="22">
        <f>[1]SUMMARY!N1001</f>
        <v>4730</v>
      </c>
      <c r="K1000" s="23">
        <f t="shared" si="9"/>
        <v>0</v>
      </c>
      <c r="L1000" s="8"/>
      <c r="M1000" s="8"/>
    </row>
    <row r="1001" spans="1:13" x14ac:dyDescent="0.2">
      <c r="A1001" s="17">
        <f>[1]SUMMARY!A1002</f>
        <v>265</v>
      </c>
      <c r="B1001" s="17">
        <f>[1]SUMMARY!B1002</f>
        <v>65</v>
      </c>
      <c r="C1001" s="17">
        <f>[1]SUMMARY!C1002</f>
        <v>17</v>
      </c>
      <c r="D1001" s="25" t="str">
        <f>[1]SUMMARY!D1002</f>
        <v>KINTO</v>
      </c>
      <c r="E1001" s="25" t="str">
        <f>[1]SUMMARY!E1002</f>
        <v>ST-51</v>
      </c>
      <c r="F1001" s="20"/>
      <c r="G1001" s="20">
        <v>40</v>
      </c>
      <c r="H1001" s="20">
        <v>40</v>
      </c>
      <c r="I1001" s="30">
        <f t="shared" si="10"/>
        <v>0</v>
      </c>
      <c r="J1001" s="22">
        <f>[1]SUMMARY!N1002</f>
        <v>4873.5</v>
      </c>
      <c r="K1001" s="23">
        <f t="shared" si="9"/>
        <v>0</v>
      </c>
      <c r="L1001" s="8"/>
      <c r="M1001" s="8"/>
    </row>
    <row r="1002" spans="1:13" x14ac:dyDescent="0.2">
      <c r="A1002" s="17">
        <f>[1]SUMMARY!A1003</f>
        <v>225</v>
      </c>
      <c r="B1002" s="17">
        <f>[1]SUMMARY!B1003</f>
        <v>40</v>
      </c>
      <c r="C1002" s="17">
        <f>[1]SUMMARY!C1003</f>
        <v>18</v>
      </c>
      <c r="D1002" s="25" t="str">
        <f>[1]SUMMARY!D1003</f>
        <v>KINTO</v>
      </c>
      <c r="E1002" s="25" t="str">
        <f>[1]SUMMARY!E1003</f>
        <v>SC-900</v>
      </c>
      <c r="F1002" s="20"/>
      <c r="G1002" s="20">
        <v>16</v>
      </c>
      <c r="H1002" s="20">
        <v>16</v>
      </c>
      <c r="I1002" s="30">
        <f t="shared" si="10"/>
        <v>0</v>
      </c>
      <c r="J1002" s="22">
        <f>[1]SUMMARY!N1003</f>
        <v>2736</v>
      </c>
      <c r="K1002" s="23">
        <f t="shared" si="9"/>
        <v>0</v>
      </c>
      <c r="L1002" s="8"/>
      <c r="M1002" s="8"/>
    </row>
    <row r="1003" spans="1:13" x14ac:dyDescent="0.2">
      <c r="A1003" s="17">
        <f>[1]SUMMARY!A1004</f>
        <v>225</v>
      </c>
      <c r="B1003" s="17">
        <f>[1]SUMMARY!B1004</f>
        <v>45</v>
      </c>
      <c r="C1003" s="17">
        <f>[1]SUMMARY!C1004</f>
        <v>18</v>
      </c>
      <c r="D1003" s="25" t="str">
        <f>[1]SUMMARY!D1004</f>
        <v>KINTO</v>
      </c>
      <c r="E1003" s="25" t="str">
        <f>[1]SUMMARY!E1004</f>
        <v>FORZA 001</v>
      </c>
      <c r="F1003" s="20"/>
      <c r="G1003" s="20">
        <v>175</v>
      </c>
      <c r="H1003" s="20">
        <v>175</v>
      </c>
      <c r="I1003" s="45">
        <f t="shared" si="10"/>
        <v>0</v>
      </c>
      <c r="J1003" s="22">
        <f>[1]SUMMARY!N1004</f>
        <v>3534</v>
      </c>
      <c r="K1003" s="23">
        <f t="shared" si="9"/>
        <v>0</v>
      </c>
      <c r="L1003" s="8"/>
      <c r="M1003" s="8"/>
    </row>
    <row r="1004" spans="1:13" x14ac:dyDescent="0.2">
      <c r="A1004" s="17">
        <f>[1]SUMMARY!A1005</f>
        <v>235</v>
      </c>
      <c r="B1004" s="17">
        <f>[1]SUMMARY!B1005</f>
        <v>40</v>
      </c>
      <c r="C1004" s="17">
        <f>[1]SUMMARY!C1005</f>
        <v>18</v>
      </c>
      <c r="D1004" s="25" t="str">
        <f>[1]SUMMARY!D1005</f>
        <v>KINTO</v>
      </c>
      <c r="E1004" s="25" t="str">
        <f>[1]SUMMARY!E1005</f>
        <v>SC-900</v>
      </c>
      <c r="F1004" s="20"/>
      <c r="G1004" s="20">
        <v>24</v>
      </c>
      <c r="H1004" s="20">
        <v>24</v>
      </c>
      <c r="I1004" s="30">
        <f t="shared" si="10"/>
        <v>0</v>
      </c>
      <c r="J1004" s="22">
        <f>[1]SUMMARY!N1005</f>
        <v>3192</v>
      </c>
      <c r="K1004" s="23">
        <f t="shared" si="9"/>
        <v>0</v>
      </c>
      <c r="L1004" s="8"/>
      <c r="M1004" s="8"/>
    </row>
    <row r="1005" spans="1:13" x14ac:dyDescent="0.2">
      <c r="A1005" s="17">
        <f>[1]SUMMARY!A1006</f>
        <v>235</v>
      </c>
      <c r="B1005" s="17">
        <f>[1]SUMMARY!B1006</f>
        <v>40</v>
      </c>
      <c r="C1005" s="17">
        <f>[1]SUMMARY!C1006</f>
        <v>18</v>
      </c>
      <c r="D1005" s="25" t="str">
        <f>[1]SUMMARY!D1006</f>
        <v>KINTO</v>
      </c>
      <c r="E1005" s="25" t="str">
        <f>[1]SUMMARY!E1006</f>
        <v>FORZA 001</v>
      </c>
      <c r="F1005" s="20"/>
      <c r="G1005" s="20">
        <v>71</v>
      </c>
      <c r="H1005" s="20">
        <v>71</v>
      </c>
      <c r="I1005" s="45">
        <f t="shared" si="10"/>
        <v>0</v>
      </c>
      <c r="J1005" s="22">
        <f>[1]SUMMARY!N1006</f>
        <v>3591</v>
      </c>
      <c r="K1005" s="23">
        <f t="shared" si="9"/>
        <v>0</v>
      </c>
      <c r="L1005" s="8"/>
      <c r="M1005" s="8"/>
    </row>
    <row r="1006" spans="1:13" x14ac:dyDescent="0.2">
      <c r="A1006" s="17">
        <f>[1]SUMMARY!A1007</f>
        <v>275</v>
      </c>
      <c r="B1006" s="17">
        <f>[1]SUMMARY!B1007</f>
        <v>40</v>
      </c>
      <c r="C1006" s="17">
        <f>[1]SUMMARY!C1007</f>
        <v>18</v>
      </c>
      <c r="D1006" s="25" t="str">
        <f>[1]SUMMARY!D1007</f>
        <v>KINTO</v>
      </c>
      <c r="E1006" s="25" t="str">
        <f>[1]SUMMARY!E1007</f>
        <v>V36</v>
      </c>
      <c r="F1006" s="20"/>
      <c r="G1006" s="20">
        <v>4</v>
      </c>
      <c r="H1006" s="20">
        <v>4</v>
      </c>
      <c r="I1006" s="30">
        <f t="shared" si="10"/>
        <v>0</v>
      </c>
      <c r="J1006" s="22">
        <f>[1]SUMMARY!N1007</f>
        <v>4446</v>
      </c>
      <c r="K1006" s="23">
        <f t="shared" si="9"/>
        <v>0</v>
      </c>
      <c r="L1006" s="8"/>
      <c r="M1006" s="8"/>
    </row>
    <row r="1007" spans="1:13" x14ac:dyDescent="0.2">
      <c r="A1007" s="17">
        <f>[1]SUMMARY!A1008</f>
        <v>285</v>
      </c>
      <c r="B1007" s="17">
        <f>[1]SUMMARY!B1008</f>
        <v>40</v>
      </c>
      <c r="C1007" s="17">
        <f>[1]SUMMARY!C1008</f>
        <v>18</v>
      </c>
      <c r="D1007" s="25" t="str">
        <f>[1]SUMMARY!D1008</f>
        <v>KINTO</v>
      </c>
      <c r="E1007" s="25" t="str">
        <f>[1]SUMMARY!E1008</f>
        <v>X68+</v>
      </c>
      <c r="F1007" s="20"/>
      <c r="G1007" s="20">
        <v>4</v>
      </c>
      <c r="H1007" s="20">
        <v>4</v>
      </c>
      <c r="I1007" s="30">
        <f t="shared" si="10"/>
        <v>0</v>
      </c>
      <c r="J1007" s="22">
        <f>[1]SUMMARY!N1008</f>
        <v>4845</v>
      </c>
      <c r="K1007" s="23">
        <f t="shared" si="9"/>
        <v>0</v>
      </c>
      <c r="L1007" s="8"/>
      <c r="M1007" s="8"/>
    </row>
    <row r="1008" spans="1:13" x14ac:dyDescent="0.2">
      <c r="A1008" s="17">
        <f>[1]SUMMARY!A1009</f>
        <v>235</v>
      </c>
      <c r="B1008" s="17">
        <f>[1]SUMMARY!B1009</f>
        <v>45</v>
      </c>
      <c r="C1008" s="17">
        <f>[1]SUMMARY!C1009</f>
        <v>18</v>
      </c>
      <c r="D1008" s="25" t="str">
        <f>[1]SUMMARY!D1009</f>
        <v>KINTO</v>
      </c>
      <c r="E1008" s="25" t="str">
        <f>[1]SUMMARY!E1009</f>
        <v>SC-900</v>
      </c>
      <c r="F1008" s="20"/>
      <c r="G1008" s="20">
        <v>19</v>
      </c>
      <c r="H1008" s="20">
        <v>19</v>
      </c>
      <c r="I1008" s="30">
        <f t="shared" si="10"/>
        <v>0</v>
      </c>
      <c r="J1008" s="22">
        <f>[1]SUMMARY!N1009</f>
        <v>3334.5</v>
      </c>
      <c r="K1008" s="23">
        <f t="shared" si="9"/>
        <v>0</v>
      </c>
      <c r="L1008" s="8"/>
      <c r="M1008" s="8"/>
    </row>
    <row r="1009" spans="1:13" x14ac:dyDescent="0.2">
      <c r="A1009" s="17">
        <f>[1]SUMMARY!A1010</f>
        <v>245</v>
      </c>
      <c r="B1009" s="17">
        <f>[1]SUMMARY!B1010</f>
        <v>45</v>
      </c>
      <c r="C1009" s="17">
        <f>[1]SUMMARY!C1010</f>
        <v>18</v>
      </c>
      <c r="D1009" s="25" t="str">
        <f>[1]SUMMARY!D1010</f>
        <v>KINTO</v>
      </c>
      <c r="E1009" s="25" t="str">
        <f>[1]SUMMARY!E1010</f>
        <v>X68+</v>
      </c>
      <c r="F1009" s="20"/>
      <c r="G1009" s="20">
        <v>6</v>
      </c>
      <c r="H1009" s="20">
        <v>6</v>
      </c>
      <c r="I1009" s="30">
        <f t="shared" si="10"/>
        <v>0</v>
      </c>
      <c r="J1009" s="22">
        <f>[1]SUMMARY!N1010</f>
        <v>3990</v>
      </c>
      <c r="K1009" s="23">
        <f t="shared" si="9"/>
        <v>0</v>
      </c>
      <c r="L1009" s="8"/>
      <c r="M1009" s="8"/>
    </row>
    <row r="1010" spans="1:13" x14ac:dyDescent="0.2">
      <c r="A1010" s="17">
        <f>[1]SUMMARY!A1011</f>
        <v>245</v>
      </c>
      <c r="B1010" s="17">
        <f>[1]SUMMARY!B1011</f>
        <v>45</v>
      </c>
      <c r="C1010" s="17">
        <f>[1]SUMMARY!C1011</f>
        <v>18</v>
      </c>
      <c r="D1010" s="25" t="str">
        <f>[1]SUMMARY!D1011</f>
        <v>KINTO</v>
      </c>
      <c r="E1010" s="25" t="str">
        <f>[1]SUMMARY!E1011</f>
        <v>V36</v>
      </c>
      <c r="F1010" s="20"/>
      <c r="G1010" s="20">
        <v>4</v>
      </c>
      <c r="H1010" s="20">
        <v>4</v>
      </c>
      <c r="I1010" s="30">
        <f t="shared" si="10"/>
        <v>0</v>
      </c>
      <c r="J1010" s="22">
        <f>[1]SUMMARY!N1011</f>
        <v>3740</v>
      </c>
      <c r="K1010" s="23">
        <f t="shared" si="9"/>
        <v>0</v>
      </c>
      <c r="L1010" s="8"/>
      <c r="M1010" s="8"/>
    </row>
    <row r="1011" spans="1:13" x14ac:dyDescent="0.2">
      <c r="A1011" s="17">
        <f>[1]SUMMARY!A1012</f>
        <v>235</v>
      </c>
      <c r="B1011" s="17">
        <f>[1]SUMMARY!B1012</f>
        <v>50</v>
      </c>
      <c r="C1011" s="17">
        <f>[1]SUMMARY!C1012</f>
        <v>18</v>
      </c>
      <c r="D1011" s="25" t="str">
        <f>[1]SUMMARY!D1012</f>
        <v>KINTO</v>
      </c>
      <c r="E1011" s="25" t="str">
        <f>[1]SUMMARY!E1012</f>
        <v>PRESTIGE P07</v>
      </c>
      <c r="F1011" s="20"/>
      <c r="G1011" s="20">
        <v>14</v>
      </c>
      <c r="H1011" s="20">
        <v>14</v>
      </c>
      <c r="I1011" s="45">
        <f t="shared" si="10"/>
        <v>0</v>
      </c>
      <c r="J1011" s="22">
        <f>[1]SUMMARY!N1012</f>
        <v>3960</v>
      </c>
      <c r="K1011" s="23">
        <f t="shared" si="9"/>
        <v>0</v>
      </c>
      <c r="L1011" s="8"/>
      <c r="M1011" s="8"/>
    </row>
    <row r="1012" spans="1:13" x14ac:dyDescent="0.2">
      <c r="A1012" s="17">
        <f>[1]SUMMARY!A1013</f>
        <v>255</v>
      </c>
      <c r="B1012" s="17">
        <f>[1]SUMMARY!B1013</f>
        <v>50</v>
      </c>
      <c r="C1012" s="17">
        <f>[1]SUMMARY!C1013</f>
        <v>18</v>
      </c>
      <c r="D1012" s="25" t="str">
        <f>[1]SUMMARY!D1013</f>
        <v>KINTO</v>
      </c>
      <c r="E1012" s="25" t="str">
        <f>[1]SUMMARY!E1013</f>
        <v>X68+</v>
      </c>
      <c r="F1012" s="20"/>
      <c r="G1012" s="20">
        <v>2</v>
      </c>
      <c r="H1012" s="20">
        <v>2</v>
      </c>
      <c r="I1012" s="30">
        <f t="shared" si="10"/>
        <v>0</v>
      </c>
      <c r="J1012" s="22">
        <f>[1]SUMMARY!N1013</f>
        <v>4674</v>
      </c>
      <c r="K1012" s="23">
        <f t="shared" si="9"/>
        <v>0</v>
      </c>
      <c r="L1012" s="8"/>
      <c r="M1012" s="8"/>
    </row>
    <row r="1013" spans="1:13" x14ac:dyDescent="0.2">
      <c r="A1013" s="17">
        <f>[1]SUMMARY!A1014</f>
        <v>255</v>
      </c>
      <c r="B1013" s="17">
        <f>[1]SUMMARY!B1014</f>
        <v>55</v>
      </c>
      <c r="C1013" s="17">
        <f>[1]SUMMARY!C1014</f>
        <v>18</v>
      </c>
      <c r="D1013" s="25" t="str">
        <f>[1]SUMMARY!D1014</f>
        <v>KINTO</v>
      </c>
      <c r="E1013" s="25" t="str">
        <f>[1]SUMMARY!E1014</f>
        <v>V36</v>
      </c>
      <c r="F1013" s="20"/>
      <c r="G1013" s="20">
        <v>12</v>
      </c>
      <c r="H1013" s="20">
        <v>12</v>
      </c>
      <c r="I1013" s="30">
        <f t="shared" si="10"/>
        <v>0</v>
      </c>
      <c r="J1013" s="22">
        <f>[1]SUMMARY!N1014</f>
        <v>5060</v>
      </c>
      <c r="K1013" s="23">
        <f t="shared" si="9"/>
        <v>0</v>
      </c>
      <c r="L1013" s="8"/>
      <c r="M1013" s="8"/>
    </row>
    <row r="1014" spans="1:13" x14ac:dyDescent="0.2">
      <c r="A1014" s="17">
        <f>[1]SUMMARY!A1015</f>
        <v>235</v>
      </c>
      <c r="B1014" s="17">
        <f>[1]SUMMARY!B1015</f>
        <v>60</v>
      </c>
      <c r="C1014" s="17">
        <f>[1]SUMMARY!C1015</f>
        <v>18</v>
      </c>
      <c r="D1014" s="25" t="str">
        <f>[1]SUMMARY!D1015</f>
        <v>KINTO</v>
      </c>
      <c r="E1014" s="25" t="str">
        <f>[1]SUMMARY!E1015</f>
        <v>ST51</v>
      </c>
      <c r="F1014" s="20"/>
      <c r="G1014" s="20">
        <v>35</v>
      </c>
      <c r="H1014" s="20">
        <v>35</v>
      </c>
      <c r="I1014" s="45">
        <f t="shared" si="10"/>
        <v>0</v>
      </c>
      <c r="J1014" s="22">
        <f>[1]SUMMARY!N1015</f>
        <v>3990</v>
      </c>
      <c r="K1014" s="23">
        <f t="shared" si="9"/>
        <v>0</v>
      </c>
      <c r="L1014" s="8"/>
      <c r="M1014" s="8"/>
    </row>
    <row r="1015" spans="1:13" x14ac:dyDescent="0.2">
      <c r="A1015" s="17">
        <f>[1]SUMMARY!A1016</f>
        <v>265</v>
      </c>
      <c r="B1015" s="17">
        <f>[1]SUMMARY!B1016</f>
        <v>60</v>
      </c>
      <c r="C1015" s="17">
        <f>[1]SUMMARY!C1016</f>
        <v>18</v>
      </c>
      <c r="D1015" s="25" t="str">
        <f>[1]SUMMARY!D1016</f>
        <v>KINTO</v>
      </c>
      <c r="E1015" s="25" t="str">
        <f>[1]SUMMARY!E1016</f>
        <v>V36</v>
      </c>
      <c r="F1015" s="20"/>
      <c r="G1015" s="20">
        <v>61</v>
      </c>
      <c r="H1015" s="20">
        <v>57</v>
      </c>
      <c r="I1015" s="45">
        <f t="shared" si="10"/>
        <v>4</v>
      </c>
      <c r="J1015" s="22">
        <f>[1]SUMMARY!N1016</f>
        <v>4840</v>
      </c>
      <c r="K1015" s="23">
        <f t="shared" si="9"/>
        <v>19360</v>
      </c>
      <c r="L1015" s="8"/>
      <c r="M1015" s="8"/>
    </row>
    <row r="1016" spans="1:13" x14ac:dyDescent="0.2">
      <c r="A1016" s="17">
        <f>[1]SUMMARY!A1017</f>
        <v>265</v>
      </c>
      <c r="B1016" s="17">
        <f>[1]SUMMARY!B1017</f>
        <v>60</v>
      </c>
      <c r="C1016" s="17">
        <f>[1]SUMMARY!C1017</f>
        <v>18</v>
      </c>
      <c r="D1016" s="25" t="str">
        <f>[1]SUMMARY!D1017</f>
        <v>KINTO</v>
      </c>
      <c r="E1016" s="25" t="str">
        <f>[1]SUMMARY!E1017</f>
        <v>ST-51</v>
      </c>
      <c r="F1016" s="20"/>
      <c r="G1016" s="20">
        <v>37</v>
      </c>
      <c r="H1016" s="20">
        <v>37</v>
      </c>
      <c r="I1016" s="30">
        <f t="shared" si="10"/>
        <v>0</v>
      </c>
      <c r="J1016" s="22">
        <f>[1]SUMMARY!N1017</f>
        <v>5016</v>
      </c>
      <c r="K1016" s="23">
        <f t="shared" si="9"/>
        <v>0</v>
      </c>
      <c r="L1016" s="8"/>
      <c r="M1016" s="8"/>
    </row>
    <row r="1017" spans="1:13" x14ac:dyDescent="0.2">
      <c r="A1017" s="17">
        <f>[1]SUMMARY!A1018</f>
        <v>265</v>
      </c>
      <c r="B1017" s="17">
        <f>[1]SUMMARY!B1018</f>
        <v>60</v>
      </c>
      <c r="C1017" s="17">
        <f>[1]SUMMARY!C1018</f>
        <v>18</v>
      </c>
      <c r="D1017" s="25" t="str">
        <f>[1]SUMMARY!D1018</f>
        <v>KINTO</v>
      </c>
      <c r="E1017" s="25" t="str">
        <f>[1]SUMMARY!E1018</f>
        <v>KAIJU 2</v>
      </c>
      <c r="F1017" s="20"/>
      <c r="G1017" s="20">
        <v>353</v>
      </c>
      <c r="H1017" s="20">
        <v>349</v>
      </c>
      <c r="I1017" s="45">
        <f t="shared" si="10"/>
        <v>4</v>
      </c>
      <c r="J1017" s="22">
        <f>[1]SUMMARY!N1018</f>
        <v>6555</v>
      </c>
      <c r="K1017" s="23">
        <f t="shared" si="9"/>
        <v>26220</v>
      </c>
      <c r="L1017" s="8"/>
      <c r="M1017" s="8"/>
    </row>
    <row r="1018" spans="1:13" x14ac:dyDescent="0.2">
      <c r="A1018" s="17">
        <f>[1]SUMMARY!A1019</f>
        <v>275</v>
      </c>
      <c r="B1018" s="17">
        <f>[1]SUMMARY!B1019</f>
        <v>65</v>
      </c>
      <c r="C1018" s="17">
        <f>[1]SUMMARY!C1019</f>
        <v>18</v>
      </c>
      <c r="D1018" s="25" t="str">
        <f>[1]SUMMARY!D1019</f>
        <v>KINTO</v>
      </c>
      <c r="E1018" s="25" t="str">
        <f>[1]SUMMARY!E1019</f>
        <v>KAIJU 2</v>
      </c>
      <c r="F1018" s="20"/>
      <c r="G1018" s="20">
        <v>50</v>
      </c>
      <c r="H1018" s="20">
        <v>47</v>
      </c>
      <c r="I1018" s="45">
        <f t="shared" si="10"/>
        <v>3</v>
      </c>
      <c r="J1018" s="22">
        <f>[1]SUMMARY!N1019</f>
        <v>6840</v>
      </c>
      <c r="K1018" s="23">
        <f t="shared" si="9"/>
        <v>20520</v>
      </c>
      <c r="L1018" s="8"/>
      <c r="M1018" s="8"/>
    </row>
    <row r="1019" spans="1:13" x14ac:dyDescent="0.2">
      <c r="A1019" s="17">
        <f>[1]SUMMARY!A1020</f>
        <v>245</v>
      </c>
      <c r="B1019" s="17">
        <f>[1]SUMMARY!B1020</f>
        <v>35</v>
      </c>
      <c r="C1019" s="17">
        <f>[1]SUMMARY!C1020</f>
        <v>19</v>
      </c>
      <c r="D1019" s="25" t="str">
        <f>[1]SUMMARY!D1020</f>
        <v>KINTO</v>
      </c>
      <c r="E1019" s="25" t="str">
        <f>[1]SUMMARY!E1020</f>
        <v>SC-900</v>
      </c>
      <c r="F1019" s="20"/>
      <c r="G1019" s="20"/>
      <c r="H1019" s="20"/>
      <c r="I1019" s="30">
        <f t="shared" si="10"/>
        <v>0</v>
      </c>
      <c r="J1019" s="22">
        <f>[1]SUMMARY!N1020</f>
        <v>3078</v>
      </c>
      <c r="K1019" s="23">
        <f t="shared" si="9"/>
        <v>0</v>
      </c>
      <c r="L1019" s="8"/>
      <c r="M1019" s="8"/>
    </row>
    <row r="1020" spans="1:13" x14ac:dyDescent="0.2">
      <c r="A1020" s="17">
        <f>[1]SUMMARY!A1021</f>
        <v>265</v>
      </c>
      <c r="B1020" s="17">
        <f>[1]SUMMARY!B1021</f>
        <v>50</v>
      </c>
      <c r="C1020" s="17">
        <f>[1]SUMMARY!C1021</f>
        <v>20</v>
      </c>
      <c r="D1020" s="25" t="str">
        <f>[1]SUMMARY!D1021</f>
        <v>KINTO</v>
      </c>
      <c r="E1020" s="25" t="str">
        <f>[1]SUMMARY!E1021</f>
        <v>V36</v>
      </c>
      <c r="F1020" s="20"/>
      <c r="G1020" s="20">
        <v>66</v>
      </c>
      <c r="H1020" s="20">
        <v>66</v>
      </c>
      <c r="I1020" s="30">
        <f t="shared" si="10"/>
        <v>0</v>
      </c>
      <c r="J1020" s="22">
        <f>[1]SUMMARY!N1021</f>
        <v>5187</v>
      </c>
      <c r="K1020" s="23">
        <f t="shared" si="9"/>
        <v>0</v>
      </c>
      <c r="L1020" s="8"/>
      <c r="M1020" s="8"/>
    </row>
    <row r="1021" spans="1:13" x14ac:dyDescent="0.2">
      <c r="A1021" s="17">
        <f>[1]SUMMARY!A1022</f>
        <v>265</v>
      </c>
      <c r="B1021" s="17">
        <f>[1]SUMMARY!B1022</f>
        <v>50</v>
      </c>
      <c r="C1021" s="17">
        <f>[1]SUMMARY!C1022</f>
        <v>20</v>
      </c>
      <c r="D1021" s="25" t="str">
        <f>[1]SUMMARY!D1022</f>
        <v>KINTO</v>
      </c>
      <c r="E1021" s="25" t="str">
        <f>[1]SUMMARY!E1022</f>
        <v>KAIJU 2</v>
      </c>
      <c r="F1021" s="20"/>
      <c r="G1021" s="20">
        <v>188</v>
      </c>
      <c r="H1021" s="20">
        <v>185</v>
      </c>
      <c r="I1021" s="45">
        <f t="shared" si="10"/>
        <v>3</v>
      </c>
      <c r="J1021" s="22">
        <f>[1]SUMMARY!N1022</f>
        <v>6783</v>
      </c>
      <c r="K1021" s="23">
        <f t="shared" si="9"/>
        <v>20349</v>
      </c>
      <c r="L1021" s="8"/>
      <c r="M1021" s="8"/>
    </row>
    <row r="1022" spans="1:13" x14ac:dyDescent="0.2">
      <c r="A1022" s="17">
        <f>[1]SUMMARY!A1023</f>
        <v>275</v>
      </c>
      <c r="B1022" s="17">
        <f>[1]SUMMARY!B1023</f>
        <v>55</v>
      </c>
      <c r="C1022" s="17">
        <f>[1]SUMMARY!C1023</f>
        <v>20</v>
      </c>
      <c r="D1022" s="25" t="str">
        <f>[1]SUMMARY!D1023</f>
        <v>KINTO</v>
      </c>
      <c r="E1022" s="25" t="str">
        <f>[1]SUMMARY!E1023</f>
        <v>KAIJU 2</v>
      </c>
      <c r="F1022" s="20"/>
      <c r="G1022" s="20">
        <v>114</v>
      </c>
      <c r="H1022" s="20">
        <v>110</v>
      </c>
      <c r="I1022" s="45">
        <f t="shared" si="10"/>
        <v>4</v>
      </c>
      <c r="J1022" s="22">
        <f>[1]SUMMARY!N1023</f>
        <v>7125</v>
      </c>
      <c r="K1022" s="23">
        <f t="shared" si="9"/>
        <v>28500</v>
      </c>
      <c r="L1022" s="28">
        <f>SUM(K948:K1022)</f>
        <v>649183.19999999995</v>
      </c>
      <c r="M1022" s="29" t="s">
        <v>43</v>
      </c>
    </row>
    <row r="1023" spans="1:13" x14ac:dyDescent="0.2">
      <c r="A1023" s="17">
        <f>[1]SUMMARY!A1024</f>
        <v>265</v>
      </c>
      <c r="B1023" s="17">
        <f>[1]SUMMARY!B1024</f>
        <v>65</v>
      </c>
      <c r="C1023" s="17">
        <f>[1]SUMMARY!C1024</f>
        <v>17</v>
      </c>
      <c r="D1023" s="25" t="str">
        <f>[1]SUMMARY!D1024</f>
        <v>KUMHO</v>
      </c>
      <c r="E1023" s="25" t="str">
        <f>[1]SUMMARY!E1024</f>
        <v>HP17</v>
      </c>
      <c r="F1023" s="20"/>
      <c r="G1023" s="20"/>
      <c r="H1023" s="20"/>
      <c r="I1023" s="21">
        <f t="shared" si="10"/>
        <v>0</v>
      </c>
      <c r="J1023" s="22">
        <f>[1]SUMMARY!N1024</f>
        <v>7500</v>
      </c>
      <c r="K1023" s="23">
        <f t="shared" si="9"/>
        <v>0</v>
      </c>
      <c r="L1023" s="33"/>
      <c r="M1023" s="33"/>
    </row>
    <row r="1024" spans="1:13" x14ac:dyDescent="0.2">
      <c r="A1024" s="17">
        <f>[1]SUMMARY!A1025</f>
        <v>265</v>
      </c>
      <c r="B1024" s="17">
        <f>[1]SUMMARY!B1025</f>
        <v>60</v>
      </c>
      <c r="C1024" s="17">
        <f>[1]SUMMARY!C1025</f>
        <v>18</v>
      </c>
      <c r="D1024" s="25" t="str">
        <f>[1]SUMMARY!D1025</f>
        <v xml:space="preserve">LAND SPIDER </v>
      </c>
      <c r="E1024" s="25" t="str">
        <f>[1]SUMMARY!E1025</f>
        <v>WILDTRAXX TH</v>
      </c>
      <c r="F1024" s="20"/>
      <c r="G1024" s="20">
        <v>9</v>
      </c>
      <c r="H1024" s="20">
        <v>9</v>
      </c>
      <c r="I1024" s="21">
        <f t="shared" si="10"/>
        <v>0</v>
      </c>
      <c r="J1024" s="22">
        <f>[1]SUMMARY!N1025</f>
        <v>5399</v>
      </c>
      <c r="K1024" s="23">
        <f t="shared" si="9"/>
        <v>0</v>
      </c>
      <c r="L1024" s="28">
        <f t="shared" ref="L1024:L1025" si="11">SUM(K1024)</f>
        <v>0</v>
      </c>
      <c r="M1024" s="29" t="s">
        <v>44</v>
      </c>
    </row>
    <row r="1025" spans="1:13" x14ac:dyDescent="0.2">
      <c r="A1025" s="17">
        <f>[1]SUMMARY!A1026</f>
        <v>215</v>
      </c>
      <c r="B1025" s="17">
        <f>[1]SUMMARY!B1026</f>
        <v>70</v>
      </c>
      <c r="C1025" s="17">
        <f>[1]SUMMARY!C1026</f>
        <v>16</v>
      </c>
      <c r="D1025" s="25" t="str">
        <f>[1]SUMMARY!D1026</f>
        <v>LAUFENN</v>
      </c>
      <c r="E1025" s="25" t="str">
        <f>[1]SUMMARY!E1026</f>
        <v>FIT VAN8 6PR</v>
      </c>
      <c r="F1025" s="20"/>
      <c r="G1025" s="20"/>
      <c r="H1025" s="20"/>
      <c r="I1025" s="21">
        <f t="shared" si="10"/>
        <v>0</v>
      </c>
      <c r="J1025" s="22">
        <f>[1]SUMMARY!N1026</f>
        <v>4292</v>
      </c>
      <c r="K1025" s="23">
        <f t="shared" si="9"/>
        <v>0</v>
      </c>
      <c r="L1025" s="28">
        <f t="shared" si="11"/>
        <v>0</v>
      </c>
      <c r="M1025" s="29" t="s">
        <v>45</v>
      </c>
    </row>
    <row r="1026" spans="1:13" x14ac:dyDescent="0.2">
      <c r="A1026" s="17">
        <f>[1]SUMMARY!A1027</f>
        <v>235</v>
      </c>
      <c r="B1026" s="17">
        <f>[1]SUMMARY!B1027</f>
        <v>55</v>
      </c>
      <c r="C1026" s="17">
        <f>[1]SUMMARY!C1027</f>
        <v>19</v>
      </c>
      <c r="D1026" s="25" t="str">
        <f>[1]SUMMARY!D1027</f>
        <v>LAUFENN</v>
      </c>
      <c r="E1026" s="25" t="str">
        <f>[1]SUMMARY!E1027</f>
        <v>S FIT A6</v>
      </c>
      <c r="F1026" s="20"/>
      <c r="G1026" s="20">
        <v>4</v>
      </c>
      <c r="H1026" s="20">
        <v>4</v>
      </c>
      <c r="I1026" s="21">
        <f t="shared" si="10"/>
        <v>0</v>
      </c>
      <c r="J1026" s="22">
        <f>[1]SUMMARY!N1027</f>
        <v>6920</v>
      </c>
      <c r="K1026" s="23">
        <f t="shared" si="9"/>
        <v>0</v>
      </c>
      <c r="L1026" s="8"/>
      <c r="M1026" s="8"/>
    </row>
    <row r="1027" spans="1:13" x14ac:dyDescent="0.2">
      <c r="A1027" s="17">
        <f>[1]SUMMARY!A1028</f>
        <v>145</v>
      </c>
      <c r="B1027" s="17">
        <f>[1]SUMMARY!B1028</f>
        <v>0</v>
      </c>
      <c r="C1027" s="17">
        <f>[1]SUMMARY!C1028</f>
        <v>12</v>
      </c>
      <c r="D1027" s="25" t="str">
        <f>[1]SUMMARY!D1028</f>
        <v>LEAO</v>
      </c>
      <c r="E1027" s="25" t="str">
        <f>[1]SUMMARY!E1028</f>
        <v>LMA1 8PR</v>
      </c>
      <c r="F1027" s="20"/>
      <c r="G1027" s="20"/>
      <c r="H1027" s="20"/>
      <c r="I1027" s="21">
        <f t="shared" si="10"/>
        <v>0</v>
      </c>
      <c r="J1027" s="22">
        <f>[1]SUMMARY!N1028</f>
        <v>1707.2</v>
      </c>
      <c r="K1027" s="23">
        <f t="shared" si="9"/>
        <v>0</v>
      </c>
      <c r="L1027" s="8"/>
      <c r="M1027" s="8"/>
    </row>
    <row r="1028" spans="1:13" x14ac:dyDescent="0.2">
      <c r="A1028" s="17">
        <f>[1]SUMMARY!A1029</f>
        <v>175</v>
      </c>
      <c r="B1028" s="17">
        <f>[1]SUMMARY!B1029</f>
        <v>0</v>
      </c>
      <c r="C1028" s="17">
        <f>[1]SUMMARY!C1029</f>
        <v>13</v>
      </c>
      <c r="D1028" s="25" t="str">
        <f>[1]SUMMARY!D1029</f>
        <v>LEAO</v>
      </c>
      <c r="E1028" s="25">
        <f>[1]SUMMARY!E1029</f>
        <v>0</v>
      </c>
      <c r="F1028" s="20"/>
      <c r="G1028" s="20"/>
      <c r="H1028" s="20"/>
      <c r="I1028" s="21">
        <f t="shared" si="10"/>
        <v>0</v>
      </c>
      <c r="J1028" s="22">
        <f>[1]SUMMARY!N1029</f>
        <v>2181</v>
      </c>
      <c r="K1028" s="23">
        <f t="shared" si="9"/>
        <v>0</v>
      </c>
      <c r="L1028" s="8"/>
      <c r="M1028" s="8"/>
    </row>
    <row r="1029" spans="1:13" x14ac:dyDescent="0.2">
      <c r="A1029" s="17">
        <f>[1]SUMMARY!A1030</f>
        <v>165</v>
      </c>
      <c r="B1029" s="17">
        <f>[1]SUMMARY!B1030</f>
        <v>70</v>
      </c>
      <c r="C1029" s="17">
        <f>[1]SUMMARY!C1030</f>
        <v>13</v>
      </c>
      <c r="D1029" s="25" t="str">
        <f>[1]SUMMARY!D1030</f>
        <v>LEAO</v>
      </c>
      <c r="E1029" s="25">
        <f>[1]SUMMARY!E1030</f>
        <v>0</v>
      </c>
      <c r="F1029" s="20"/>
      <c r="G1029" s="20"/>
      <c r="H1029" s="20"/>
      <c r="I1029" s="21">
        <f t="shared" si="10"/>
        <v>0</v>
      </c>
      <c r="J1029" s="22">
        <f>[1]SUMMARY!N1030</f>
        <v>1416.2</v>
      </c>
      <c r="K1029" s="23">
        <f t="shared" si="9"/>
        <v>0</v>
      </c>
      <c r="L1029" s="8"/>
      <c r="M1029" s="8"/>
    </row>
    <row r="1030" spans="1:13" x14ac:dyDescent="0.2">
      <c r="A1030" s="17">
        <f>[1]SUMMARY!A1031</f>
        <v>245</v>
      </c>
      <c r="B1030" s="17">
        <f>[1]SUMMARY!B1031</f>
        <v>40</v>
      </c>
      <c r="C1030" s="17">
        <f>[1]SUMMARY!C1031</f>
        <v>18</v>
      </c>
      <c r="D1030" s="25" t="str">
        <f>[1]SUMMARY!D1031</f>
        <v>LEAO</v>
      </c>
      <c r="E1030" s="25" t="str">
        <f>[1]SUMMARY!E1031</f>
        <v>LION SPORT 3 XL</v>
      </c>
      <c r="F1030" s="20"/>
      <c r="G1030" s="20"/>
      <c r="H1030" s="20"/>
      <c r="I1030" s="21">
        <f t="shared" si="10"/>
        <v>0</v>
      </c>
      <c r="J1030" s="22">
        <f>[1]SUMMARY!N1031</f>
        <v>4035.2</v>
      </c>
      <c r="K1030" s="23">
        <f t="shared" si="9"/>
        <v>0</v>
      </c>
      <c r="L1030" s="28">
        <f>SUM(K1027:K1030)</f>
        <v>0</v>
      </c>
      <c r="M1030" s="29" t="s">
        <v>46</v>
      </c>
    </row>
    <row r="1031" spans="1:13" x14ac:dyDescent="0.2">
      <c r="A1031" s="17">
        <f>[1]SUMMARY!A1032</f>
        <v>225</v>
      </c>
      <c r="B1031" s="17">
        <f>[1]SUMMARY!B1032</f>
        <v>50</v>
      </c>
      <c r="C1031" s="17">
        <f>[1]SUMMARY!C1032</f>
        <v>18</v>
      </c>
      <c r="D1031" s="25" t="str">
        <f>[1]SUMMARY!D1032</f>
        <v>LEXANI</v>
      </c>
      <c r="E1031" s="25" t="str">
        <f>[1]SUMMARY!E1032</f>
        <v>LX207</v>
      </c>
      <c r="F1031" s="20"/>
      <c r="G1031" s="20"/>
      <c r="H1031" s="20"/>
      <c r="I1031" s="21">
        <f t="shared" si="10"/>
        <v>0</v>
      </c>
      <c r="J1031" s="22">
        <f>[1]SUMMARY!N1032</f>
        <v>6500</v>
      </c>
      <c r="K1031" s="23">
        <f t="shared" si="9"/>
        <v>0</v>
      </c>
      <c r="L1031" s="8"/>
      <c r="M1031" s="8"/>
    </row>
    <row r="1032" spans="1:13" x14ac:dyDescent="0.2">
      <c r="A1032" s="17">
        <f>[1]SUMMARY!A1033</f>
        <v>255</v>
      </c>
      <c r="B1032" s="17">
        <f>[1]SUMMARY!B1033</f>
        <v>35</v>
      </c>
      <c r="C1032" s="17">
        <f>[1]SUMMARY!C1033</f>
        <v>20</v>
      </c>
      <c r="D1032" s="25" t="str">
        <f>[1]SUMMARY!D1033</f>
        <v>LEXANI</v>
      </c>
      <c r="E1032" s="25" t="str">
        <f>[1]SUMMARY!E1033</f>
        <v>LX207</v>
      </c>
      <c r="F1032" s="20"/>
      <c r="G1032" s="20">
        <v>2</v>
      </c>
      <c r="H1032" s="20">
        <v>2</v>
      </c>
      <c r="I1032" s="21">
        <f t="shared" si="10"/>
        <v>0</v>
      </c>
      <c r="J1032" s="22">
        <f>[1]SUMMARY!N1033</f>
        <v>17400</v>
      </c>
      <c r="K1032" s="23">
        <f t="shared" si="9"/>
        <v>0</v>
      </c>
      <c r="L1032" s="8"/>
      <c r="M1032" s="8"/>
    </row>
    <row r="1033" spans="1:13" x14ac:dyDescent="0.2">
      <c r="A1033" s="17">
        <f>[1]SUMMARY!A1034</f>
        <v>285</v>
      </c>
      <c r="B1033" s="17">
        <f>[1]SUMMARY!B1034</f>
        <v>40</v>
      </c>
      <c r="C1033" s="17">
        <f>[1]SUMMARY!C1034</f>
        <v>22</v>
      </c>
      <c r="D1033" s="25" t="str">
        <f>[1]SUMMARY!D1034</f>
        <v>LEXANI</v>
      </c>
      <c r="E1033" s="25" t="str">
        <f>[1]SUMMARY!E1034</f>
        <v>LX20</v>
      </c>
      <c r="F1033" s="20"/>
      <c r="G1033" s="20"/>
      <c r="H1033" s="20"/>
      <c r="I1033" s="21">
        <f t="shared" si="10"/>
        <v>0</v>
      </c>
      <c r="J1033" s="22">
        <f>[1]SUMMARY!N1034</f>
        <v>12800</v>
      </c>
      <c r="K1033" s="23">
        <f t="shared" si="9"/>
        <v>0</v>
      </c>
      <c r="L1033" s="8"/>
      <c r="M1033" s="8"/>
    </row>
    <row r="1034" spans="1:13" x14ac:dyDescent="0.2">
      <c r="A1034" s="17">
        <f>[1]SUMMARY!A1035</f>
        <v>285</v>
      </c>
      <c r="B1034" s="17">
        <f>[1]SUMMARY!B1035</f>
        <v>45</v>
      </c>
      <c r="C1034" s="17">
        <f>[1]SUMMARY!C1035</f>
        <v>22</v>
      </c>
      <c r="D1034" s="25" t="str">
        <f>[1]SUMMARY!D1035</f>
        <v>LEXANI</v>
      </c>
      <c r="E1034" s="25">
        <f>[1]SUMMARY!E1035</f>
        <v>0</v>
      </c>
      <c r="F1034" s="20"/>
      <c r="G1034" s="20"/>
      <c r="H1034" s="20"/>
      <c r="I1034" s="21">
        <f t="shared" si="10"/>
        <v>0</v>
      </c>
      <c r="J1034" s="22">
        <f>[1]SUMMARY!N1035</f>
        <v>11000</v>
      </c>
      <c r="K1034" s="23">
        <f t="shared" si="9"/>
        <v>0</v>
      </c>
      <c r="L1034" s="28">
        <f>SUM(K1031:K1034)</f>
        <v>0</v>
      </c>
      <c r="M1034" s="29" t="s">
        <v>47</v>
      </c>
    </row>
    <row r="1035" spans="1:13" x14ac:dyDescent="0.2">
      <c r="A1035" s="17">
        <f>[1]SUMMARY!A1036</f>
        <v>175</v>
      </c>
      <c r="B1035" s="17">
        <f>[1]SUMMARY!B1036</f>
        <v>0</v>
      </c>
      <c r="C1035" s="17">
        <f>[1]SUMMARY!C1036</f>
        <v>13</v>
      </c>
      <c r="D1035" s="25" t="str">
        <f>[1]SUMMARY!D1036</f>
        <v>LINGLONG</v>
      </c>
      <c r="E1035" s="25" t="str">
        <f>[1]SUMMARY!E1036</f>
        <v>R666</v>
      </c>
      <c r="F1035" s="20"/>
      <c r="G1035" s="20"/>
      <c r="H1035" s="20"/>
      <c r="I1035" s="21">
        <f t="shared" si="10"/>
        <v>0</v>
      </c>
      <c r="J1035" s="22">
        <f>[1]SUMMARY!N1036</f>
        <v>2181</v>
      </c>
      <c r="K1035" s="23">
        <f t="shared" si="9"/>
        <v>0</v>
      </c>
      <c r="L1035" s="8"/>
      <c r="M1035" s="8"/>
    </row>
    <row r="1036" spans="1:13" x14ac:dyDescent="0.2">
      <c r="A1036" s="17">
        <f>[1]SUMMARY!A1037</f>
        <v>205</v>
      </c>
      <c r="B1036" s="17">
        <f>[1]SUMMARY!B1037</f>
        <v>85</v>
      </c>
      <c r="C1036" s="17">
        <f>[1]SUMMARY!C1037</f>
        <v>16</v>
      </c>
      <c r="D1036" s="25" t="str">
        <f>[1]SUMMARY!D1037</f>
        <v>LINGLONG</v>
      </c>
      <c r="E1036" s="25" t="str">
        <f>[1]SUMMARY!E1037</f>
        <v>12PR LAL812</v>
      </c>
      <c r="F1036" s="20"/>
      <c r="G1036" s="20"/>
      <c r="H1036" s="20"/>
      <c r="I1036" s="21">
        <f t="shared" si="10"/>
        <v>0</v>
      </c>
      <c r="J1036" s="22">
        <f>[1]SUMMARY!N1037</f>
        <v>5868.5</v>
      </c>
      <c r="K1036" s="23">
        <f t="shared" si="9"/>
        <v>0</v>
      </c>
      <c r="L1036" s="28">
        <f>SUM(K1035:K1036)</f>
        <v>0</v>
      </c>
      <c r="M1036" s="29" t="s">
        <v>48</v>
      </c>
    </row>
    <row r="1037" spans="1:13" x14ac:dyDescent="0.2">
      <c r="A1037" s="17">
        <f>[1]SUMMARY!A1038</f>
        <v>265</v>
      </c>
      <c r="B1037" s="17">
        <f>[1]SUMMARY!B1038</f>
        <v>40</v>
      </c>
      <c r="C1037" s="17">
        <f>[1]SUMMARY!C1038</f>
        <v>22</v>
      </c>
      <c r="D1037" s="25" t="str">
        <f>[1]SUMMARY!D1038</f>
        <v>LINGLONG</v>
      </c>
      <c r="E1037" s="25" t="str">
        <f>[1]SUMMARY!E1038</f>
        <v>GREEN-MAX</v>
      </c>
      <c r="F1037" s="20"/>
      <c r="G1037" s="20"/>
      <c r="H1037" s="20"/>
      <c r="I1037" s="21">
        <f t="shared" si="10"/>
        <v>0</v>
      </c>
      <c r="J1037" s="22">
        <f>[1]SUMMARY!N1038</f>
        <v>5155.08</v>
      </c>
      <c r="K1037" s="23">
        <f t="shared" si="9"/>
        <v>0</v>
      </c>
      <c r="L1037" s="35"/>
      <c r="M1037" s="35"/>
    </row>
    <row r="1038" spans="1:13" x14ac:dyDescent="0.2">
      <c r="A1038" s="17">
        <f>[1]SUMMARY!A1039</f>
        <v>155</v>
      </c>
      <c r="B1038" s="17">
        <f>[1]SUMMARY!B1039</f>
        <v>0</v>
      </c>
      <c r="C1038" s="17">
        <f>[1]SUMMARY!C1039</f>
        <v>12</v>
      </c>
      <c r="D1038" s="25" t="str">
        <f>[1]SUMMARY!D1039</f>
        <v>MRF</v>
      </c>
      <c r="E1038" s="25" t="str">
        <f>[1]SUMMARY!E1039</f>
        <v>STEEL MASTER M154</v>
      </c>
      <c r="F1038" s="20"/>
      <c r="G1038" s="20">
        <v>4</v>
      </c>
      <c r="H1038" s="20">
        <v>4</v>
      </c>
      <c r="I1038" s="21">
        <f t="shared" si="10"/>
        <v>0</v>
      </c>
      <c r="J1038" s="22">
        <f>[1]SUMMARY!N1039</f>
        <v>2300</v>
      </c>
      <c r="K1038" s="23">
        <f t="shared" si="9"/>
        <v>0</v>
      </c>
      <c r="L1038" s="35"/>
      <c r="M1038" s="35"/>
    </row>
    <row r="1039" spans="1:13" x14ac:dyDescent="0.2">
      <c r="A1039" s="17">
        <f>[1]SUMMARY!A1040</f>
        <v>185</v>
      </c>
      <c r="B1039" s="17">
        <f>[1]SUMMARY!B1040</f>
        <v>0</v>
      </c>
      <c r="C1039" s="17" t="str">
        <f>[1]SUMMARY!C1040</f>
        <v>14C</v>
      </c>
      <c r="D1039" s="25" t="str">
        <f>[1]SUMMARY!D1040</f>
        <v>MRF</v>
      </c>
      <c r="E1039" s="25" t="str">
        <f>[1]SUMMARY!E1040</f>
        <v>8PR STEEL MUSCLE/ MASTER</v>
      </c>
      <c r="F1039" s="20"/>
      <c r="G1039" s="20"/>
      <c r="H1039" s="20"/>
      <c r="I1039" s="21">
        <f t="shared" si="10"/>
        <v>0</v>
      </c>
      <c r="J1039" s="22">
        <f>[1]SUMMARY!N1040</f>
        <v>5868.5</v>
      </c>
      <c r="K1039" s="23">
        <f t="shared" si="9"/>
        <v>0</v>
      </c>
    </row>
    <row r="1040" spans="1:13" x14ac:dyDescent="0.2">
      <c r="A1040" s="17">
        <f>[1]SUMMARY!A1041</f>
        <v>195</v>
      </c>
      <c r="B1040" s="17">
        <f>[1]SUMMARY!B1041</f>
        <v>0</v>
      </c>
      <c r="C1040" s="17" t="str">
        <f>[1]SUMMARY!C1041</f>
        <v>14C</v>
      </c>
      <c r="D1040" s="25" t="str">
        <f>[1]SUMMARY!D1041</f>
        <v>MRF</v>
      </c>
      <c r="E1040" s="25" t="str">
        <f>[1]SUMMARY!E1041</f>
        <v>8PR M151</v>
      </c>
      <c r="F1040" s="20"/>
      <c r="G1040" s="20"/>
      <c r="H1040" s="20"/>
      <c r="I1040" s="21">
        <f t="shared" si="10"/>
        <v>0</v>
      </c>
      <c r="J1040" s="22">
        <f>[1]SUMMARY!N1041</f>
        <v>3136.25</v>
      </c>
      <c r="K1040" s="23">
        <f t="shared" si="9"/>
        <v>0</v>
      </c>
      <c r="L1040" s="28">
        <f>SUM(K1038:K1040)</f>
        <v>0</v>
      </c>
      <c r="M1040" s="29" t="s">
        <v>49</v>
      </c>
    </row>
    <row r="1041" spans="1:13" x14ac:dyDescent="0.2">
      <c r="A1041" s="17">
        <f>[1]SUMMARY!A1042</f>
        <v>37</v>
      </c>
      <c r="B1041" s="17">
        <f>[1]SUMMARY!B1042</f>
        <v>13.5</v>
      </c>
      <c r="C1041" s="17">
        <f>[1]SUMMARY!C1042</f>
        <v>20</v>
      </c>
      <c r="D1041" s="25" t="str">
        <f>[1]SUMMARY!D1042</f>
        <v>MASTERCRAFT</v>
      </c>
      <c r="E1041" s="25" t="str">
        <f>[1]SUMMARY!E1042</f>
        <v>MXT</v>
      </c>
      <c r="F1041" s="20"/>
      <c r="G1041" s="20"/>
      <c r="H1041" s="20"/>
      <c r="I1041" s="21">
        <f t="shared" si="10"/>
        <v>0</v>
      </c>
      <c r="J1041" s="22">
        <f>[1]SUMMARY!N1042</f>
        <v>23420</v>
      </c>
      <c r="K1041" s="23">
        <f t="shared" si="9"/>
        <v>0</v>
      </c>
      <c r="L1041" s="28">
        <f>SUM(K1041)</f>
        <v>0</v>
      </c>
      <c r="M1041" s="29" t="s">
        <v>50</v>
      </c>
    </row>
    <row r="1042" spans="1:13" x14ac:dyDescent="0.2">
      <c r="A1042" s="17">
        <f>[1]SUMMARY!A1043</f>
        <v>175</v>
      </c>
      <c r="B1042" s="17">
        <f>[1]SUMMARY!B1043</f>
        <v>65</v>
      </c>
      <c r="C1042" s="17">
        <f>[1]SUMMARY!C1043</f>
        <v>14</v>
      </c>
      <c r="D1042" s="25" t="str">
        <f>[1]SUMMARY!D1043</f>
        <v>MASSIMO</v>
      </c>
      <c r="E1042" s="25" t="str">
        <f>[1]SUMMARY!E1043</f>
        <v>OTTIMA</v>
      </c>
      <c r="F1042" s="20"/>
      <c r="G1042" s="20">
        <v>18</v>
      </c>
      <c r="H1042" s="20">
        <v>18</v>
      </c>
      <c r="I1042" s="21">
        <f t="shared" si="10"/>
        <v>0</v>
      </c>
      <c r="J1042" s="22">
        <f>[1]SUMMARY!N1043</f>
        <v>1628.23</v>
      </c>
      <c r="K1042" s="23">
        <f t="shared" si="9"/>
        <v>0</v>
      </c>
      <c r="L1042" s="8"/>
      <c r="M1042" s="8"/>
    </row>
    <row r="1043" spans="1:13" x14ac:dyDescent="0.2">
      <c r="A1043" s="17">
        <f>[1]SUMMARY!A1044</f>
        <v>185</v>
      </c>
      <c r="B1043" s="17">
        <f>[1]SUMMARY!B1044</f>
        <v>55</v>
      </c>
      <c r="C1043" s="17">
        <f>[1]SUMMARY!C1044</f>
        <v>15</v>
      </c>
      <c r="D1043" s="25" t="str">
        <f>[1]SUMMARY!D1044</f>
        <v>MASSIMO</v>
      </c>
      <c r="E1043" s="25" t="str">
        <f>[1]SUMMARY!E1044</f>
        <v>OTTIMA</v>
      </c>
      <c r="F1043" s="20"/>
      <c r="G1043" s="20">
        <v>12</v>
      </c>
      <c r="H1043" s="20">
        <v>12</v>
      </c>
      <c r="I1043" s="21">
        <f t="shared" si="10"/>
        <v>0</v>
      </c>
      <c r="J1043" s="22">
        <f>[1]SUMMARY!N1044</f>
        <v>1894.46</v>
      </c>
      <c r="K1043" s="23">
        <f t="shared" si="9"/>
        <v>0</v>
      </c>
      <c r="L1043" s="8"/>
      <c r="M1043" s="8"/>
    </row>
    <row r="1044" spans="1:13" x14ac:dyDescent="0.2">
      <c r="A1044" s="17">
        <f>[1]SUMMARY!A1045</f>
        <v>185</v>
      </c>
      <c r="B1044" s="17">
        <f>[1]SUMMARY!B1045</f>
        <v>60</v>
      </c>
      <c r="C1044" s="17">
        <f>[1]SUMMARY!C1045</f>
        <v>15</v>
      </c>
      <c r="D1044" s="25" t="str">
        <f>[1]SUMMARY!D1045</f>
        <v>MASSIMO</v>
      </c>
      <c r="E1044" s="25" t="str">
        <f>[1]SUMMARY!E1045</f>
        <v>OTTIMA</v>
      </c>
      <c r="F1044" s="20"/>
      <c r="G1044" s="20">
        <v>12</v>
      </c>
      <c r="H1044" s="20">
        <v>8</v>
      </c>
      <c r="I1044" s="21">
        <f t="shared" si="10"/>
        <v>4</v>
      </c>
      <c r="J1044" s="22">
        <f>[1]SUMMARY!N1045</f>
        <v>1870.19</v>
      </c>
      <c r="K1044" s="23">
        <f t="shared" si="9"/>
        <v>7480.76</v>
      </c>
      <c r="L1044" s="8"/>
      <c r="M1044" s="8"/>
    </row>
    <row r="1045" spans="1:13" x14ac:dyDescent="0.2">
      <c r="A1045" s="17">
        <f>[1]SUMMARY!A1046</f>
        <v>195</v>
      </c>
      <c r="B1045" s="17">
        <f>[1]SUMMARY!B1046</f>
        <v>55</v>
      </c>
      <c r="C1045" s="17">
        <f>[1]SUMMARY!C1046</f>
        <v>15</v>
      </c>
      <c r="D1045" s="25" t="str">
        <f>[1]SUMMARY!D1046</f>
        <v>MASSIMO</v>
      </c>
      <c r="E1045" s="25" t="str">
        <f>[1]SUMMARY!E1046</f>
        <v>OTTIMA</v>
      </c>
      <c r="F1045" s="20"/>
      <c r="G1045" s="20">
        <v>12</v>
      </c>
      <c r="H1045" s="20">
        <v>12</v>
      </c>
      <c r="I1045" s="21">
        <f t="shared" si="10"/>
        <v>0</v>
      </c>
      <c r="J1045" s="22">
        <f>[1]SUMMARY!N1046</f>
        <v>1974.87</v>
      </c>
      <c r="K1045" s="23">
        <f t="shared" si="9"/>
        <v>0</v>
      </c>
      <c r="L1045" s="8"/>
      <c r="M1045" s="8"/>
    </row>
    <row r="1046" spans="1:13" x14ac:dyDescent="0.2">
      <c r="A1046" s="17">
        <f>[1]SUMMARY!A1047</f>
        <v>185</v>
      </c>
      <c r="B1046" s="17">
        <f>[1]SUMMARY!B1047</f>
        <v>65</v>
      </c>
      <c r="C1046" s="17">
        <f>[1]SUMMARY!C1047</f>
        <v>15</v>
      </c>
      <c r="D1046" s="25" t="str">
        <f>[1]SUMMARY!D1047</f>
        <v>MASSIMO</v>
      </c>
      <c r="E1046" s="25" t="str">
        <f>[1]SUMMARY!E1047</f>
        <v>OTTIMA</v>
      </c>
      <c r="F1046" s="20"/>
      <c r="G1046" s="20">
        <v>16</v>
      </c>
      <c r="H1046" s="20">
        <v>12</v>
      </c>
      <c r="I1046" s="21">
        <f t="shared" si="10"/>
        <v>4</v>
      </c>
      <c r="J1046" s="22">
        <f>[1]SUMMARY!N1047</f>
        <v>1961.48</v>
      </c>
      <c r="K1046" s="23">
        <f t="shared" si="9"/>
        <v>7845.92</v>
      </c>
      <c r="L1046" s="8"/>
      <c r="M1046" s="8"/>
    </row>
    <row r="1047" spans="1:13" x14ac:dyDescent="0.2">
      <c r="A1047" s="17">
        <f>[1]SUMMARY!A1048</f>
        <v>205</v>
      </c>
      <c r="B1047" s="17">
        <f>[1]SUMMARY!B1048</f>
        <v>65</v>
      </c>
      <c r="C1047" s="17">
        <f>[1]SUMMARY!C1048</f>
        <v>15</v>
      </c>
      <c r="D1047" s="25" t="str">
        <f>[1]SUMMARY!D1048</f>
        <v>MASSIMO</v>
      </c>
      <c r="E1047" s="25" t="str">
        <f>[1]SUMMARY!E1048</f>
        <v>OTTIMA</v>
      </c>
      <c r="F1047" s="20"/>
      <c r="G1047" s="20">
        <v>4</v>
      </c>
      <c r="H1047" s="20"/>
      <c r="I1047" s="21">
        <f t="shared" si="10"/>
        <v>4</v>
      </c>
      <c r="J1047" s="22">
        <f>[1]SUMMARY!N1048</f>
        <v>2449.3000000000002</v>
      </c>
      <c r="K1047" s="23">
        <f t="shared" si="9"/>
        <v>9797.2000000000007</v>
      </c>
      <c r="L1047" s="8"/>
      <c r="M1047" s="8"/>
    </row>
    <row r="1048" spans="1:13" x14ac:dyDescent="0.2">
      <c r="A1048" s="17">
        <f>[1]SUMMARY!A1049</f>
        <v>225</v>
      </c>
      <c r="B1048" s="17">
        <f>[1]SUMMARY!B1049</f>
        <v>70</v>
      </c>
      <c r="C1048" s="17" t="str">
        <f>[1]SUMMARY!C1049</f>
        <v>15C</v>
      </c>
      <c r="D1048" s="25" t="str">
        <f>[1]SUMMARY!D1049</f>
        <v>MASSIMO</v>
      </c>
      <c r="E1048" s="25" t="str">
        <f>[1]SUMMARY!E1049</f>
        <v>DUREVO</v>
      </c>
      <c r="F1048" s="20"/>
      <c r="G1048" s="20">
        <v>12</v>
      </c>
      <c r="H1048" s="20">
        <v>8</v>
      </c>
      <c r="I1048" s="21">
        <f t="shared" si="10"/>
        <v>4</v>
      </c>
      <c r="J1048" s="22">
        <f>[1]SUMMARY!N1049</f>
        <v>3502.54</v>
      </c>
      <c r="K1048" s="23">
        <f t="shared" si="9"/>
        <v>14010.16</v>
      </c>
      <c r="L1048" s="8"/>
      <c r="M1048" s="8"/>
    </row>
    <row r="1049" spans="1:13" x14ac:dyDescent="0.2">
      <c r="A1049" s="17">
        <f>[1]SUMMARY!A1050</f>
        <v>205</v>
      </c>
      <c r="B1049" s="17">
        <f>[1]SUMMARY!B1050</f>
        <v>55</v>
      </c>
      <c r="C1049" s="17">
        <f>[1]SUMMARY!C1050</f>
        <v>16</v>
      </c>
      <c r="D1049" s="25" t="str">
        <f>[1]SUMMARY!D1050</f>
        <v>MASSIMO</v>
      </c>
      <c r="E1049" s="25" t="str">
        <f>[1]SUMMARY!E1050</f>
        <v>OTTIMA</v>
      </c>
      <c r="F1049" s="20"/>
      <c r="G1049" s="20">
        <v>13</v>
      </c>
      <c r="H1049" s="20">
        <v>13</v>
      </c>
      <c r="I1049" s="21">
        <f t="shared" si="10"/>
        <v>0</v>
      </c>
      <c r="J1049" s="22">
        <f>[1]SUMMARY!N1050</f>
        <v>2187.52</v>
      </c>
      <c r="K1049" s="23">
        <f t="shared" si="9"/>
        <v>0</v>
      </c>
      <c r="L1049" s="8"/>
      <c r="M1049" s="8"/>
    </row>
    <row r="1050" spans="1:13" x14ac:dyDescent="0.2">
      <c r="A1050" s="17">
        <f>[1]SUMMARY!A1051</f>
        <v>215</v>
      </c>
      <c r="B1050" s="17">
        <f>[1]SUMMARY!B1051</f>
        <v>55</v>
      </c>
      <c r="C1050" s="17">
        <f>[1]SUMMARY!C1051</f>
        <v>16</v>
      </c>
      <c r="D1050" s="25" t="str">
        <f>[1]SUMMARY!D1051</f>
        <v>MASSIMO</v>
      </c>
      <c r="E1050" s="25" t="str">
        <f>[1]SUMMARY!E1051</f>
        <v>OTTIMA</v>
      </c>
      <c r="F1050" s="20"/>
      <c r="G1050" s="20">
        <v>12</v>
      </c>
      <c r="H1050" s="20">
        <v>12</v>
      </c>
      <c r="I1050" s="21">
        <f t="shared" si="10"/>
        <v>0</v>
      </c>
      <c r="J1050" s="22">
        <f>[1]SUMMARY!N1051</f>
        <v>2589.7199999999998</v>
      </c>
      <c r="K1050" s="23">
        <f t="shared" si="9"/>
        <v>0</v>
      </c>
      <c r="L1050" s="8"/>
      <c r="M1050" s="8"/>
    </row>
    <row r="1051" spans="1:13" x14ac:dyDescent="0.2">
      <c r="A1051" s="17">
        <f>[1]SUMMARY!A1052</f>
        <v>215</v>
      </c>
      <c r="B1051" s="17">
        <f>[1]SUMMARY!B1052</f>
        <v>60</v>
      </c>
      <c r="C1051" s="17">
        <f>[1]SUMMARY!C1052</f>
        <v>16</v>
      </c>
      <c r="D1051" s="25" t="str">
        <f>[1]SUMMARY!D1052</f>
        <v>MASSIMO</v>
      </c>
      <c r="E1051" s="25" t="str">
        <f>[1]SUMMARY!E1052</f>
        <v>AQUILA</v>
      </c>
      <c r="F1051" s="20"/>
      <c r="G1051" s="20">
        <v>4</v>
      </c>
      <c r="H1051" s="20"/>
      <c r="I1051" s="21">
        <f t="shared" si="10"/>
        <v>4</v>
      </c>
      <c r="J1051" s="22">
        <f>[1]SUMMARY!N1052</f>
        <v>2686.05</v>
      </c>
      <c r="K1051" s="23">
        <f t="shared" si="9"/>
        <v>10744.2</v>
      </c>
      <c r="L1051" s="8"/>
      <c r="M1051" s="8"/>
    </row>
    <row r="1052" spans="1:13" x14ac:dyDescent="0.2">
      <c r="A1052" s="17">
        <f>[1]SUMMARY!A1053</f>
        <v>205</v>
      </c>
      <c r="B1052" s="17">
        <f>[1]SUMMARY!B1053</f>
        <v>65</v>
      </c>
      <c r="C1052" s="17">
        <f>[1]SUMMARY!C1053</f>
        <v>16</v>
      </c>
      <c r="D1052" s="25" t="str">
        <f>[1]SUMMARY!D1053</f>
        <v>MASSIMO</v>
      </c>
      <c r="E1052" s="25" t="str">
        <f>[1]SUMMARY!E1053</f>
        <v>AQUILA</v>
      </c>
      <c r="F1052" s="20"/>
      <c r="G1052" s="20">
        <v>12</v>
      </c>
      <c r="H1052" s="20">
        <v>8</v>
      </c>
      <c r="I1052" s="21">
        <f t="shared" si="10"/>
        <v>4</v>
      </c>
      <c r="J1052" s="22">
        <f>[1]SUMMARY!N1053</f>
        <v>2744.6</v>
      </c>
      <c r="K1052" s="23">
        <f t="shared" si="9"/>
        <v>10978.4</v>
      </c>
      <c r="L1052" s="8"/>
      <c r="M1052" s="8"/>
    </row>
    <row r="1053" spans="1:13" x14ac:dyDescent="0.2">
      <c r="A1053" s="17">
        <f>[1]SUMMARY!A1054</f>
        <v>215</v>
      </c>
      <c r="B1053" s="17">
        <f>[1]SUMMARY!B1054</f>
        <v>50</v>
      </c>
      <c r="C1053" s="17">
        <f>[1]SUMMARY!C1054</f>
        <v>17</v>
      </c>
      <c r="D1053" s="25" t="str">
        <f>[1]SUMMARY!D1054</f>
        <v>MASSIMO</v>
      </c>
      <c r="E1053" s="25" t="str">
        <f>[1]SUMMARY!E1054</f>
        <v>OTTIMA</v>
      </c>
      <c r="F1053" s="20"/>
      <c r="G1053" s="20">
        <v>12</v>
      </c>
      <c r="H1053" s="20">
        <v>8</v>
      </c>
      <c r="I1053" s="21">
        <f t="shared" si="10"/>
        <v>4</v>
      </c>
      <c r="J1053" s="22">
        <f>[1]SUMMARY!N1054</f>
        <v>2744.88</v>
      </c>
      <c r="K1053" s="23">
        <f t="shared" si="9"/>
        <v>10979.52</v>
      </c>
    </row>
    <row r="1054" spans="1:13" x14ac:dyDescent="0.2">
      <c r="A1054" s="17">
        <f>[1]SUMMARY!A1055</f>
        <v>265</v>
      </c>
      <c r="B1054" s="17">
        <f>[1]SUMMARY!B1055</f>
        <v>65</v>
      </c>
      <c r="C1054" s="17">
        <f>[1]SUMMARY!C1055</f>
        <v>17</v>
      </c>
      <c r="D1054" s="25" t="str">
        <f>[1]SUMMARY!D1055</f>
        <v>MASSIMO</v>
      </c>
      <c r="E1054" s="25" t="str">
        <f>[1]SUMMARY!E1055</f>
        <v>STELLA</v>
      </c>
      <c r="F1054" s="20"/>
      <c r="G1054" s="20">
        <v>6</v>
      </c>
      <c r="H1054" s="20">
        <v>2</v>
      </c>
      <c r="I1054" s="21">
        <f t="shared" si="10"/>
        <v>4</v>
      </c>
      <c r="J1054" s="22">
        <f>[1]SUMMARY!N1055</f>
        <v>4636.05</v>
      </c>
      <c r="K1054" s="23">
        <f t="shared" ref="K1054:K1308" si="12">J1054*I1054</f>
        <v>18544.2</v>
      </c>
    </row>
    <row r="1055" spans="1:13" x14ac:dyDescent="0.2">
      <c r="A1055" s="17">
        <f>[1]SUMMARY!A1056</f>
        <v>265</v>
      </c>
      <c r="B1055" s="17">
        <f>[1]SUMMARY!B1056</f>
        <v>65</v>
      </c>
      <c r="C1055" s="17">
        <f>[1]SUMMARY!C1056</f>
        <v>17</v>
      </c>
      <c r="D1055" s="25" t="str">
        <f>[1]SUMMARY!D1056</f>
        <v>MASSIMO</v>
      </c>
      <c r="E1055" s="25" t="str">
        <f>[1]SUMMARY!E1056</f>
        <v>ROCCIA</v>
      </c>
      <c r="F1055" s="20"/>
      <c r="G1055" s="20">
        <v>4</v>
      </c>
      <c r="H1055" s="20"/>
      <c r="I1055" s="21">
        <f t="shared" si="10"/>
        <v>4</v>
      </c>
      <c r="J1055" s="22">
        <f>[1]SUMMARY!N1056</f>
        <v>4814.5</v>
      </c>
      <c r="K1055" s="23">
        <f t="shared" si="12"/>
        <v>19258</v>
      </c>
      <c r="L1055" s="8"/>
      <c r="M1055" s="8"/>
    </row>
    <row r="1056" spans="1:13" x14ac:dyDescent="0.2">
      <c r="A1056" s="17">
        <f>[1]SUMMARY!A1057</f>
        <v>265</v>
      </c>
      <c r="B1056" s="17">
        <f>[1]SUMMARY!B1057</f>
        <v>60</v>
      </c>
      <c r="C1056" s="17">
        <f>[1]SUMMARY!C1057</f>
        <v>18</v>
      </c>
      <c r="D1056" s="25" t="str">
        <f>[1]SUMMARY!D1057</f>
        <v>MASSIMO</v>
      </c>
      <c r="E1056" s="25" t="str">
        <f>[1]SUMMARY!E1057</f>
        <v>STELLA</v>
      </c>
      <c r="F1056" s="20"/>
      <c r="G1056" s="20">
        <v>4</v>
      </c>
      <c r="H1056" s="20"/>
      <c r="I1056" s="21">
        <f t="shared" si="10"/>
        <v>4</v>
      </c>
      <c r="J1056" s="22">
        <f>[1]SUMMARY!N1057</f>
        <v>4792.46</v>
      </c>
      <c r="K1056" s="23">
        <f t="shared" si="12"/>
        <v>19169.84</v>
      </c>
      <c r="L1056" s="8"/>
      <c r="M1056" s="8"/>
    </row>
    <row r="1057" spans="1:13" x14ac:dyDescent="0.2">
      <c r="A1057" s="17">
        <f>[1]SUMMARY!A1058</f>
        <v>265</v>
      </c>
      <c r="B1057" s="17">
        <f>[1]SUMMARY!B1058</f>
        <v>60</v>
      </c>
      <c r="C1057" s="17">
        <f>[1]SUMMARY!C1058</f>
        <v>18</v>
      </c>
      <c r="D1057" s="25" t="str">
        <f>[1]SUMMARY!D1058</f>
        <v>MASSIMO</v>
      </c>
      <c r="E1057" s="25" t="str">
        <f>[1]SUMMARY!E1058</f>
        <v>ROCCIA</v>
      </c>
      <c r="F1057" s="20"/>
      <c r="G1057" s="20">
        <v>4</v>
      </c>
      <c r="H1057" s="20"/>
      <c r="I1057" s="21">
        <f t="shared" si="10"/>
        <v>4</v>
      </c>
      <c r="J1057" s="22">
        <f>[1]SUMMARY!N1058</f>
        <v>4809.71</v>
      </c>
      <c r="K1057" s="23">
        <f t="shared" si="12"/>
        <v>19238.84</v>
      </c>
      <c r="L1057" s="8"/>
      <c r="M1057" s="8"/>
    </row>
    <row r="1058" spans="1:13" x14ac:dyDescent="0.2">
      <c r="A1058" s="17">
        <f>[1]SUMMARY!A1059</f>
        <v>265</v>
      </c>
      <c r="B1058" s="17">
        <f>[1]SUMMARY!B1059</f>
        <v>60</v>
      </c>
      <c r="C1058" s="17">
        <f>[1]SUMMARY!C1059</f>
        <v>18</v>
      </c>
      <c r="D1058" s="25" t="str">
        <f>[1]SUMMARY!D1059</f>
        <v>MASSIMO</v>
      </c>
      <c r="E1058" s="25" t="str">
        <f>[1]SUMMARY!E1059</f>
        <v>FORTE A/T</v>
      </c>
      <c r="F1058" s="20"/>
      <c r="G1058" s="20">
        <v>4</v>
      </c>
      <c r="H1058" s="20"/>
      <c r="I1058" s="21">
        <f t="shared" si="10"/>
        <v>4</v>
      </c>
      <c r="J1058" s="22">
        <f>[1]SUMMARY!N1059</f>
        <v>4890.18</v>
      </c>
      <c r="K1058" s="23">
        <f t="shared" si="12"/>
        <v>19560.72</v>
      </c>
      <c r="L1058" s="28">
        <f>SUM(K1042:K1058)</f>
        <v>167607.76</v>
      </c>
      <c r="M1058" s="29" t="s">
        <v>51</v>
      </c>
    </row>
    <row r="1059" spans="1:13" x14ac:dyDescent="0.2">
      <c r="A1059" s="17">
        <f>[1]SUMMARY!A1060</f>
        <v>225</v>
      </c>
      <c r="B1059" s="17">
        <f>[1]SUMMARY!B1060</f>
        <v>40</v>
      </c>
      <c r="C1059" s="17">
        <f>[1]SUMMARY!C1060</f>
        <v>18</v>
      </c>
      <c r="D1059" s="25" t="str">
        <f>[1]SUMMARY!D1060</f>
        <v>MAXTREK</v>
      </c>
      <c r="E1059" s="25" t="str">
        <f>[1]SUMMARY!E1060</f>
        <v>S-1088</v>
      </c>
      <c r="F1059" s="20"/>
      <c r="G1059" s="20"/>
      <c r="H1059" s="20"/>
      <c r="I1059" s="21">
        <f t="shared" si="10"/>
        <v>0</v>
      </c>
      <c r="J1059" s="22">
        <f>[1]SUMMARY!N1060</f>
        <v>3150</v>
      </c>
      <c r="K1059" s="23">
        <f t="shared" si="12"/>
        <v>0</v>
      </c>
      <c r="L1059" s="8"/>
      <c r="M1059" s="8"/>
    </row>
    <row r="1060" spans="1:13" x14ac:dyDescent="0.2">
      <c r="A1060" s="17">
        <f>[1]SUMMARY!A1061</f>
        <v>265</v>
      </c>
      <c r="B1060" s="17">
        <f>[1]SUMMARY!B1061</f>
        <v>50</v>
      </c>
      <c r="C1060" s="17">
        <f>[1]SUMMARY!C1061</f>
        <v>20</v>
      </c>
      <c r="D1060" s="25" t="str">
        <f>[1]SUMMARY!D1061</f>
        <v>MAXTREK</v>
      </c>
      <c r="E1060" s="25" t="str">
        <f>[1]SUMMARY!E1061</f>
        <v>FORTIS UHPT5</v>
      </c>
      <c r="F1060" s="20"/>
      <c r="G1060" s="20"/>
      <c r="H1060" s="20"/>
      <c r="I1060" s="21">
        <f t="shared" si="10"/>
        <v>0</v>
      </c>
      <c r="J1060" s="22">
        <f>[1]SUMMARY!N1061</f>
        <v>6097</v>
      </c>
      <c r="K1060" s="23">
        <f t="shared" si="12"/>
        <v>0</v>
      </c>
      <c r="L1060" s="28">
        <f>SUM(K1059:K1060)</f>
        <v>0</v>
      </c>
      <c r="M1060" s="29" t="s">
        <v>52</v>
      </c>
    </row>
    <row r="1061" spans="1:13" x14ac:dyDescent="0.2">
      <c r="A1061" s="17">
        <f>[1]SUMMARY!A1062</f>
        <v>195</v>
      </c>
      <c r="B1061" s="17">
        <f>[1]SUMMARY!B1062</f>
        <v>50</v>
      </c>
      <c r="C1061" s="17">
        <f>[1]SUMMARY!C1062</f>
        <v>15</v>
      </c>
      <c r="D1061" s="25" t="str">
        <f>[1]SUMMARY!D1062</f>
        <v>MAXXIS</v>
      </c>
      <c r="E1061" s="25" t="str">
        <f>[1]SUMMARY!E1062</f>
        <v>VICTRA Z3</v>
      </c>
      <c r="F1061" s="20"/>
      <c r="G1061" s="20"/>
      <c r="H1061" s="20"/>
      <c r="I1061" s="21">
        <f t="shared" si="10"/>
        <v>0</v>
      </c>
      <c r="J1061" s="22">
        <f>[1]SUMMARY!N1062</f>
        <v>2680.08</v>
      </c>
      <c r="K1061" s="23">
        <f t="shared" si="12"/>
        <v>0</v>
      </c>
      <c r="L1061" s="8"/>
      <c r="M1061" s="8"/>
    </row>
    <row r="1062" spans="1:13" x14ac:dyDescent="0.2">
      <c r="A1062" s="17" t="str">
        <f>[1]SUMMARY!A1063</f>
        <v>38</v>
      </c>
      <c r="B1062" s="17">
        <f>[1]SUMMARY!B1063</f>
        <v>13</v>
      </c>
      <c r="C1062" s="17">
        <f>[1]SUMMARY!C1063</f>
        <v>15</v>
      </c>
      <c r="D1062" s="25" t="str">
        <f>[1]SUMMARY!D1063</f>
        <v>MAXXIS</v>
      </c>
      <c r="E1062" s="25" t="str">
        <f>[1]SUMMARY!E1063</f>
        <v>CREPPY CRAWLER MT-8</v>
      </c>
      <c r="F1062" s="20"/>
      <c r="G1062" s="20"/>
      <c r="H1062" s="20"/>
      <c r="I1062" s="21">
        <f t="shared" si="10"/>
        <v>0</v>
      </c>
      <c r="J1062" s="22">
        <f>[1]SUMMARY!N1063</f>
        <v>15000</v>
      </c>
      <c r="K1062" s="23">
        <f t="shared" si="12"/>
        <v>0</v>
      </c>
      <c r="L1062" s="28">
        <f>SUM(K1061:K1062)</f>
        <v>0</v>
      </c>
      <c r="M1062" s="29" t="s">
        <v>53</v>
      </c>
    </row>
    <row r="1063" spans="1:13" x14ac:dyDescent="0.2">
      <c r="A1063" s="17" t="str">
        <f>[1]SUMMARY!A1064</f>
        <v>215</v>
      </c>
      <c r="B1063" s="17">
        <f>[1]SUMMARY!B1064</f>
        <v>45</v>
      </c>
      <c r="C1063" s="17">
        <f>[1]SUMMARY!C1064</f>
        <v>17</v>
      </c>
      <c r="D1063" s="25" t="str">
        <f>[1]SUMMARY!D1064</f>
        <v>MAZZINI</v>
      </c>
      <c r="E1063" s="25" t="str">
        <f>[1]SUMMARY!E1064</f>
        <v>ECO 607</v>
      </c>
      <c r="F1063" s="20"/>
      <c r="G1063" s="20"/>
      <c r="H1063" s="20"/>
      <c r="I1063" s="21">
        <f t="shared" si="10"/>
        <v>0</v>
      </c>
      <c r="J1063" s="22">
        <f>[1]SUMMARY!N1064</f>
        <v>2036.8</v>
      </c>
      <c r="K1063" s="23">
        <f t="shared" si="12"/>
        <v>0</v>
      </c>
      <c r="L1063" s="8"/>
      <c r="M1063" s="8"/>
    </row>
    <row r="1064" spans="1:13" x14ac:dyDescent="0.2">
      <c r="A1064" s="17" t="str">
        <f>[1]SUMMARY!A1065</f>
        <v>265</v>
      </c>
      <c r="B1064" s="17">
        <f>[1]SUMMARY!B1065</f>
        <v>60</v>
      </c>
      <c r="C1064" s="17">
        <f>[1]SUMMARY!C1065</f>
        <v>18</v>
      </c>
      <c r="D1064" s="25" t="str">
        <f>[1]SUMMARY!D1065</f>
        <v>MAZZINI</v>
      </c>
      <c r="E1064" s="25" t="str">
        <f>[1]SUMMARY!E1065</f>
        <v>SHARK-Z 02</v>
      </c>
      <c r="F1064" s="20"/>
      <c r="G1064" s="20">
        <v>1</v>
      </c>
      <c r="H1064" s="20">
        <v>1</v>
      </c>
      <c r="I1064" s="21">
        <f t="shared" si="10"/>
        <v>0</v>
      </c>
      <c r="J1064" s="22">
        <f>[1]SUMMARY!N1065</f>
        <v>6480</v>
      </c>
      <c r="K1064" s="23">
        <f t="shared" si="12"/>
        <v>0</v>
      </c>
      <c r="L1064" s="28">
        <f>SUM(K1063:K1064)</f>
        <v>0</v>
      </c>
      <c r="M1064" s="29" t="s">
        <v>54</v>
      </c>
    </row>
    <row r="1065" spans="1:13" x14ac:dyDescent="0.2">
      <c r="A1065" s="17" t="str">
        <f>[1]SUMMARY!A1066</f>
        <v>165</v>
      </c>
      <c r="B1065" s="17">
        <f>[1]SUMMARY!B1066</f>
        <v>65</v>
      </c>
      <c r="C1065" s="17">
        <f>[1]SUMMARY!C1066</f>
        <v>14</v>
      </c>
      <c r="D1065" s="25" t="str">
        <f>[1]SUMMARY!D1066</f>
        <v>MICHELIN</v>
      </c>
      <c r="E1065" s="25" t="str">
        <f>[1]SUMMARY!E1066</f>
        <v>ENERGY XM2+</v>
      </c>
      <c r="F1065" s="20"/>
      <c r="G1065" s="20"/>
      <c r="H1065" s="20"/>
      <c r="I1065" s="30">
        <f t="shared" si="10"/>
        <v>0</v>
      </c>
      <c r="J1065" s="22">
        <f>[1]SUMMARY!N1066</f>
        <v>3435.2</v>
      </c>
      <c r="K1065" s="23">
        <f t="shared" si="12"/>
        <v>0</v>
      </c>
      <c r="L1065" s="8"/>
      <c r="M1065" s="8"/>
    </row>
    <row r="1066" spans="1:13" x14ac:dyDescent="0.2">
      <c r="A1066" s="17" t="str">
        <f>[1]SUMMARY!A1067</f>
        <v>175</v>
      </c>
      <c r="B1066" s="17">
        <f>[1]SUMMARY!B1067</f>
        <v>65</v>
      </c>
      <c r="C1066" s="17">
        <f>[1]SUMMARY!C1067</f>
        <v>14</v>
      </c>
      <c r="D1066" s="25" t="str">
        <f>[1]SUMMARY!D1067</f>
        <v>MICHELIN</v>
      </c>
      <c r="E1066" s="25" t="str">
        <f>[1]SUMMARY!E1067</f>
        <v>ENERGY XM2+</v>
      </c>
      <c r="F1066" s="20"/>
      <c r="G1066" s="20">
        <v>136</v>
      </c>
      <c r="H1066" s="20">
        <v>132</v>
      </c>
      <c r="I1066" s="31">
        <f t="shared" si="10"/>
        <v>4</v>
      </c>
      <c r="J1066" s="22">
        <f>[1]SUMMARY!N1067</f>
        <v>3420</v>
      </c>
      <c r="K1066" s="23">
        <f t="shared" si="12"/>
        <v>13680</v>
      </c>
      <c r="L1066" s="8"/>
      <c r="M1066" s="8"/>
    </row>
    <row r="1067" spans="1:13" x14ac:dyDescent="0.2">
      <c r="A1067" s="17" t="str">
        <f>[1]SUMMARY!A1068</f>
        <v>185</v>
      </c>
      <c r="B1067" s="17">
        <f>[1]SUMMARY!B1068</f>
        <v>65</v>
      </c>
      <c r="C1067" s="17">
        <f>[1]SUMMARY!C1068</f>
        <v>14</v>
      </c>
      <c r="D1067" s="25" t="str">
        <f>[1]SUMMARY!D1068</f>
        <v>MICHELIN</v>
      </c>
      <c r="E1067" s="25" t="str">
        <f>[1]SUMMARY!E1068</f>
        <v>ENERGY XM2+</v>
      </c>
      <c r="F1067" s="20"/>
      <c r="G1067" s="20">
        <v>14</v>
      </c>
      <c r="H1067" s="20">
        <v>10</v>
      </c>
      <c r="I1067" s="31">
        <f t="shared" si="10"/>
        <v>4</v>
      </c>
      <c r="J1067" s="22">
        <f>[1]SUMMARY!N1068</f>
        <v>4070.78</v>
      </c>
      <c r="K1067" s="23">
        <f t="shared" si="12"/>
        <v>16283.12</v>
      </c>
      <c r="L1067" s="8"/>
      <c r="M1067" s="8"/>
    </row>
    <row r="1068" spans="1:13" x14ac:dyDescent="0.2">
      <c r="A1068" s="17" t="str">
        <f>[1]SUMMARY!A1069</f>
        <v>175</v>
      </c>
      <c r="B1068" s="17">
        <f>[1]SUMMARY!B1069</f>
        <v>70</v>
      </c>
      <c r="C1068" s="17">
        <f>[1]SUMMARY!C1069</f>
        <v>14</v>
      </c>
      <c r="D1068" s="25" t="str">
        <f>[1]SUMMARY!D1069</f>
        <v>MICHELIN</v>
      </c>
      <c r="E1068" s="25" t="str">
        <f>[1]SUMMARY!E1069</f>
        <v>ENERGY XM2+</v>
      </c>
      <c r="F1068" s="20"/>
      <c r="G1068" s="20">
        <v>16</v>
      </c>
      <c r="H1068" s="20">
        <v>16</v>
      </c>
      <c r="I1068" s="30">
        <f t="shared" si="10"/>
        <v>0</v>
      </c>
      <c r="J1068" s="22">
        <f>[1]SUMMARY!N1069</f>
        <v>4362.3999999999996</v>
      </c>
      <c r="K1068" s="23">
        <f t="shared" si="12"/>
        <v>0</v>
      </c>
      <c r="L1068" s="8"/>
      <c r="M1068" s="8"/>
    </row>
    <row r="1069" spans="1:13" x14ac:dyDescent="0.2">
      <c r="A1069" s="17" t="str">
        <f>[1]SUMMARY!A1070</f>
        <v>185</v>
      </c>
      <c r="B1069" s="17">
        <f>[1]SUMMARY!B1070</f>
        <v>70</v>
      </c>
      <c r="C1069" s="17">
        <f>[1]SUMMARY!C1070</f>
        <v>14</v>
      </c>
      <c r="D1069" s="25" t="str">
        <f>[1]SUMMARY!D1070</f>
        <v>MICHELIN</v>
      </c>
      <c r="E1069" s="25" t="str">
        <f>[1]SUMMARY!E1070</f>
        <v>ENERGY XM2+</v>
      </c>
      <c r="F1069" s="20"/>
      <c r="G1069" s="20">
        <v>47</v>
      </c>
      <c r="H1069" s="20">
        <v>41</v>
      </c>
      <c r="I1069" s="31">
        <f t="shared" si="10"/>
        <v>6</v>
      </c>
      <c r="J1069" s="22">
        <f>[1]SUMMARY!N1070</f>
        <v>4035.6</v>
      </c>
      <c r="K1069" s="23">
        <f t="shared" si="12"/>
        <v>24213.599999999999</v>
      </c>
      <c r="L1069" s="8"/>
      <c r="M1069" s="8"/>
    </row>
    <row r="1070" spans="1:13" x14ac:dyDescent="0.2">
      <c r="A1070" s="17" t="str">
        <f>[1]SUMMARY!A1071</f>
        <v>185</v>
      </c>
      <c r="B1070" s="17">
        <f>[1]SUMMARY!B1071</f>
        <v>0</v>
      </c>
      <c r="C1070" s="17" t="str">
        <f>[1]SUMMARY!C1071</f>
        <v>14C</v>
      </c>
      <c r="D1070" s="25" t="str">
        <f>[1]SUMMARY!D1071</f>
        <v>MICHELIN</v>
      </c>
      <c r="E1070" s="25" t="str">
        <f>[1]SUMMARY!E1071</f>
        <v>AGILIS</v>
      </c>
      <c r="F1070" s="20"/>
      <c r="G1070" s="20"/>
      <c r="H1070" s="20"/>
      <c r="I1070" s="30">
        <f t="shared" si="10"/>
        <v>0</v>
      </c>
      <c r="J1070" s="22">
        <f>[1]SUMMARY!N1071</f>
        <v>5950</v>
      </c>
      <c r="K1070" s="23">
        <f t="shared" si="12"/>
        <v>0</v>
      </c>
      <c r="L1070" s="8"/>
      <c r="M1070" s="8"/>
    </row>
    <row r="1071" spans="1:13" x14ac:dyDescent="0.2">
      <c r="A1071" s="17" t="str">
        <f>[1]SUMMARY!A1072</f>
        <v>185</v>
      </c>
      <c r="B1071" s="17">
        <f>[1]SUMMARY!B1072</f>
        <v>0</v>
      </c>
      <c r="C1071" s="17" t="str">
        <f>[1]SUMMARY!C1072</f>
        <v>14C</v>
      </c>
      <c r="D1071" s="25" t="str">
        <f>[1]SUMMARY!D1072</f>
        <v>MICHELIN</v>
      </c>
      <c r="E1071" s="25" t="str">
        <f>[1]SUMMARY!E1072</f>
        <v>AGILIS 3</v>
      </c>
      <c r="F1071" s="20"/>
      <c r="G1071" s="20">
        <v>77</v>
      </c>
      <c r="H1071" s="20">
        <v>69</v>
      </c>
      <c r="I1071" s="31">
        <f t="shared" si="10"/>
        <v>8</v>
      </c>
      <c r="J1071" s="22">
        <f>[1]SUMMARY!N1072</f>
        <v>4696.8</v>
      </c>
      <c r="K1071" s="23">
        <f t="shared" si="12"/>
        <v>37574.400000000001</v>
      </c>
      <c r="L1071" s="8"/>
      <c r="M1071" s="8"/>
    </row>
    <row r="1072" spans="1:13" x14ac:dyDescent="0.2">
      <c r="A1072" s="17" t="str">
        <f>[1]SUMMARY!A1073</f>
        <v>195</v>
      </c>
      <c r="B1072" s="17">
        <f>[1]SUMMARY!B1073</f>
        <v>80</v>
      </c>
      <c r="C1072" s="17">
        <f>[1]SUMMARY!C1073</f>
        <v>14</v>
      </c>
      <c r="D1072" s="25" t="str">
        <f>[1]SUMMARY!D1073</f>
        <v>MICHELIN</v>
      </c>
      <c r="E1072" s="25" t="str">
        <f>[1]SUMMARY!E1073</f>
        <v>AGILIS 3</v>
      </c>
      <c r="F1072" s="20"/>
      <c r="G1072" s="20">
        <v>22</v>
      </c>
      <c r="H1072" s="20">
        <v>18</v>
      </c>
      <c r="I1072" s="31">
        <f t="shared" si="10"/>
        <v>4</v>
      </c>
      <c r="J1072" s="22">
        <f>[1]SUMMARY!N1073</f>
        <v>5016.8500000000004</v>
      </c>
      <c r="K1072" s="23">
        <f t="shared" si="12"/>
        <v>20067.400000000001</v>
      </c>
      <c r="L1072" s="8"/>
      <c r="M1072" s="8"/>
    </row>
    <row r="1073" spans="1:13" x14ac:dyDescent="0.2">
      <c r="A1073" s="17" t="str">
        <f>[1]SUMMARY!A1074</f>
        <v>195</v>
      </c>
      <c r="B1073" s="17">
        <f>[1]SUMMARY!B1074</f>
        <v>50</v>
      </c>
      <c r="C1073" s="17">
        <f>[1]SUMMARY!C1074</f>
        <v>15</v>
      </c>
      <c r="D1073" s="25" t="str">
        <f>[1]SUMMARY!D1074</f>
        <v>MICHELIN</v>
      </c>
      <c r="E1073" s="25" t="str">
        <f>[1]SUMMARY!E1074</f>
        <v>PILOT SPORT 3</v>
      </c>
      <c r="F1073" s="20"/>
      <c r="G1073" s="20">
        <v>18</v>
      </c>
      <c r="H1073" s="20">
        <v>16</v>
      </c>
      <c r="I1073" s="31">
        <f t="shared" si="10"/>
        <v>2</v>
      </c>
      <c r="J1073" s="22">
        <f>[1]SUMMARY!N1074</f>
        <v>4385.2</v>
      </c>
      <c r="K1073" s="23">
        <f t="shared" si="12"/>
        <v>8770.4</v>
      </c>
      <c r="L1073" s="8"/>
      <c r="M1073" s="8"/>
    </row>
    <row r="1074" spans="1:13" x14ac:dyDescent="0.2">
      <c r="A1074" s="17" t="str">
        <f>[1]SUMMARY!A1075</f>
        <v>185</v>
      </c>
      <c r="B1074" s="17">
        <f>[1]SUMMARY!B1075</f>
        <v>55</v>
      </c>
      <c r="C1074" s="17">
        <f>[1]SUMMARY!C1075</f>
        <v>15</v>
      </c>
      <c r="D1074" s="25" t="str">
        <f>[1]SUMMARY!D1075</f>
        <v>MICHELIN</v>
      </c>
      <c r="E1074" s="25" t="str">
        <f>[1]SUMMARY!E1075</f>
        <v>ENERGY XM2+</v>
      </c>
      <c r="F1074" s="20"/>
      <c r="G1074" s="20">
        <v>72</v>
      </c>
      <c r="H1074" s="20">
        <v>68</v>
      </c>
      <c r="I1074" s="31">
        <f t="shared" si="10"/>
        <v>4</v>
      </c>
      <c r="J1074" s="22">
        <f>[1]SUMMARY!N1075</f>
        <v>4316.8</v>
      </c>
      <c r="K1074" s="23">
        <f t="shared" si="12"/>
        <v>17267.2</v>
      </c>
      <c r="L1074" s="8"/>
      <c r="M1074" s="8"/>
    </row>
    <row r="1075" spans="1:13" x14ac:dyDescent="0.2">
      <c r="A1075" s="17">
        <f>[1]SUMMARY!A1076</f>
        <v>195</v>
      </c>
      <c r="B1075" s="17">
        <f>[1]SUMMARY!B1076</f>
        <v>55</v>
      </c>
      <c r="C1075" s="17">
        <f>[1]SUMMARY!C1076</f>
        <v>15</v>
      </c>
      <c r="D1075" s="25" t="str">
        <f>[1]SUMMARY!D1076</f>
        <v>MICHELIN</v>
      </c>
      <c r="E1075" s="25" t="str">
        <f>[1]SUMMARY!E1076</f>
        <v>PILOT SPORT 3</v>
      </c>
      <c r="F1075" s="20"/>
      <c r="G1075" s="20">
        <v>4</v>
      </c>
      <c r="H1075" s="20">
        <v>4</v>
      </c>
      <c r="I1075" s="30">
        <f t="shared" si="10"/>
        <v>0</v>
      </c>
      <c r="J1075" s="22">
        <f>[1]SUMMARY!N1076</f>
        <v>4630</v>
      </c>
      <c r="K1075" s="23">
        <f t="shared" si="12"/>
        <v>0</v>
      </c>
      <c r="L1075" s="8"/>
      <c r="M1075" s="8"/>
    </row>
    <row r="1076" spans="1:13" x14ac:dyDescent="0.2">
      <c r="A1076" s="17">
        <f>[1]SUMMARY!A1077</f>
        <v>195</v>
      </c>
      <c r="B1076" s="17">
        <f>[1]SUMMARY!B1077</f>
        <v>55</v>
      </c>
      <c r="C1076" s="17">
        <f>[1]SUMMARY!C1077</f>
        <v>15</v>
      </c>
      <c r="D1076" s="25" t="str">
        <f>[1]SUMMARY!D1077</f>
        <v>MICHELIN</v>
      </c>
      <c r="E1076" s="25" t="str">
        <f>[1]SUMMARY!E1077</f>
        <v>ENERGY XM2+</v>
      </c>
      <c r="F1076" s="20">
        <v>4</v>
      </c>
      <c r="G1076" s="20">
        <v>38</v>
      </c>
      <c r="H1076" s="20">
        <v>38</v>
      </c>
      <c r="I1076" s="31">
        <f t="shared" si="10"/>
        <v>4</v>
      </c>
      <c r="J1076" s="22">
        <f>[1]SUMMARY!N1077</f>
        <v>4613.2</v>
      </c>
      <c r="K1076" s="23">
        <f t="shared" si="12"/>
        <v>18452.8</v>
      </c>
      <c r="L1076" s="8"/>
      <c r="M1076" s="8"/>
    </row>
    <row r="1077" spans="1:13" x14ac:dyDescent="0.2">
      <c r="A1077" s="17" t="str">
        <f>[1]SUMMARY!A1078</f>
        <v>185</v>
      </c>
      <c r="B1077" s="17">
        <f>[1]SUMMARY!B1078</f>
        <v>60</v>
      </c>
      <c r="C1077" s="17">
        <f>[1]SUMMARY!C1078</f>
        <v>15</v>
      </c>
      <c r="D1077" s="25" t="str">
        <f>[1]SUMMARY!D1078</f>
        <v>MICHELIN</v>
      </c>
      <c r="E1077" s="25" t="str">
        <f>[1]SUMMARY!E1078</f>
        <v>ENERGY XM2+</v>
      </c>
      <c r="F1077" s="20"/>
      <c r="G1077" s="20">
        <v>132</v>
      </c>
      <c r="H1077" s="20">
        <v>128</v>
      </c>
      <c r="I1077" s="31">
        <f t="shared" si="10"/>
        <v>4</v>
      </c>
      <c r="J1077" s="22">
        <f>[1]SUMMARY!N1078</f>
        <v>4157</v>
      </c>
      <c r="K1077" s="23">
        <f t="shared" si="12"/>
        <v>16628</v>
      </c>
      <c r="L1077" s="8"/>
      <c r="M1077" s="8"/>
    </row>
    <row r="1078" spans="1:13" x14ac:dyDescent="0.2">
      <c r="A1078" s="17" t="str">
        <f>[1]SUMMARY!A1079</f>
        <v>195</v>
      </c>
      <c r="B1078" s="17">
        <f>[1]SUMMARY!B1079</f>
        <v>60</v>
      </c>
      <c r="C1078" s="17">
        <f>[1]SUMMARY!C1079</f>
        <v>15</v>
      </c>
      <c r="D1078" s="25" t="str">
        <f>[1]SUMMARY!D1079</f>
        <v>MICHELIN</v>
      </c>
      <c r="E1078" s="25" t="str">
        <f>[1]SUMMARY!E1079</f>
        <v>PRIMACY 4ST</v>
      </c>
      <c r="F1078" s="20"/>
      <c r="G1078" s="20">
        <v>12</v>
      </c>
      <c r="H1078" s="20">
        <v>12</v>
      </c>
      <c r="I1078" s="30">
        <f t="shared" si="10"/>
        <v>0</v>
      </c>
      <c r="J1078" s="22">
        <f>[1]SUMMARY!N1079</f>
        <v>4894.3999999999996</v>
      </c>
      <c r="K1078" s="23">
        <f t="shared" si="12"/>
        <v>0</v>
      </c>
      <c r="L1078" s="8"/>
      <c r="M1078" s="8"/>
    </row>
    <row r="1079" spans="1:13" x14ac:dyDescent="0.2">
      <c r="A1079" s="17" t="str">
        <f>[1]SUMMARY!A1080</f>
        <v>195</v>
      </c>
      <c r="B1079" s="17">
        <f>[1]SUMMARY!B1080</f>
        <v>60</v>
      </c>
      <c r="C1079" s="17">
        <f>[1]SUMMARY!C1080</f>
        <v>15</v>
      </c>
      <c r="D1079" s="25" t="str">
        <f>[1]SUMMARY!D1080</f>
        <v>MICHELIN</v>
      </c>
      <c r="E1079" s="25" t="str">
        <f>[1]SUMMARY!E1080</f>
        <v>ENERGY XM2+</v>
      </c>
      <c r="F1079" s="20"/>
      <c r="G1079" s="20"/>
      <c r="H1079" s="20"/>
      <c r="I1079" s="30">
        <f t="shared" si="10"/>
        <v>0</v>
      </c>
      <c r="J1079" s="22">
        <f>[1]SUMMARY!N1080</f>
        <v>0</v>
      </c>
      <c r="K1079" s="23">
        <f t="shared" si="12"/>
        <v>0</v>
      </c>
      <c r="L1079" s="8"/>
      <c r="M1079" s="8"/>
    </row>
    <row r="1080" spans="1:13" x14ac:dyDescent="0.2">
      <c r="A1080" s="17" t="str">
        <f>[1]SUMMARY!A1081</f>
        <v>175</v>
      </c>
      <c r="B1080" s="17">
        <f>[1]SUMMARY!B1081</f>
        <v>65</v>
      </c>
      <c r="C1080" s="17">
        <f>[1]SUMMARY!C1081</f>
        <v>15</v>
      </c>
      <c r="D1080" s="25" t="str">
        <f>[1]SUMMARY!D1081</f>
        <v>MICHELIN</v>
      </c>
      <c r="E1080" s="25" t="str">
        <f>[1]SUMMARY!E1081</f>
        <v>ENERGY XM2+</v>
      </c>
      <c r="F1080" s="20"/>
      <c r="G1080" s="20">
        <v>49</v>
      </c>
      <c r="H1080" s="20">
        <v>45</v>
      </c>
      <c r="I1080" s="31">
        <f t="shared" si="10"/>
        <v>4</v>
      </c>
      <c r="J1080" s="22">
        <f>[1]SUMMARY!N1081</f>
        <v>3818.37</v>
      </c>
      <c r="K1080" s="23">
        <f t="shared" si="12"/>
        <v>15273.48</v>
      </c>
      <c r="L1080" s="8"/>
      <c r="M1080" s="8"/>
    </row>
    <row r="1081" spans="1:13" x14ac:dyDescent="0.2">
      <c r="A1081" s="17" t="str">
        <f>[1]SUMMARY!A1082</f>
        <v>185</v>
      </c>
      <c r="B1081" s="17">
        <f>[1]SUMMARY!B1082</f>
        <v>65</v>
      </c>
      <c r="C1081" s="17">
        <f>[1]SUMMARY!C1082</f>
        <v>15</v>
      </c>
      <c r="D1081" s="25" t="str">
        <f>[1]SUMMARY!D1082</f>
        <v>MICHELIN</v>
      </c>
      <c r="E1081" s="25" t="str">
        <f>[1]SUMMARY!E1082</f>
        <v>ENERGY XM2+</v>
      </c>
      <c r="F1081" s="20"/>
      <c r="G1081" s="20">
        <v>59</v>
      </c>
      <c r="H1081" s="20">
        <v>55</v>
      </c>
      <c r="I1081" s="31">
        <f t="shared" si="10"/>
        <v>4</v>
      </c>
      <c r="J1081" s="22">
        <f>[1]SUMMARY!N1082</f>
        <v>4837.22</v>
      </c>
      <c r="K1081" s="23">
        <f t="shared" si="12"/>
        <v>19348.88</v>
      </c>
      <c r="L1081" s="8"/>
      <c r="M1081" s="8"/>
    </row>
    <row r="1082" spans="1:13" x14ac:dyDescent="0.2">
      <c r="A1082" s="17">
        <f>[1]SUMMARY!A1083</f>
        <v>195</v>
      </c>
      <c r="B1082" s="17">
        <f>[1]SUMMARY!B1083</f>
        <v>65</v>
      </c>
      <c r="C1082" s="17">
        <f>[1]SUMMARY!C1083</f>
        <v>15</v>
      </c>
      <c r="D1082" s="25" t="str">
        <f>[1]SUMMARY!D1083</f>
        <v>MICHELIN</v>
      </c>
      <c r="E1082" s="25" t="str">
        <f>[1]SUMMARY!E1083</f>
        <v>ENERGY XM2+</v>
      </c>
      <c r="F1082" s="20"/>
      <c r="G1082" s="20">
        <v>20</v>
      </c>
      <c r="H1082" s="20">
        <v>18</v>
      </c>
      <c r="I1082" s="31">
        <f t="shared" si="10"/>
        <v>2</v>
      </c>
      <c r="J1082" s="22">
        <f>[1]SUMMARY!N1083</f>
        <v>4573.75</v>
      </c>
      <c r="K1082" s="23">
        <f t="shared" si="12"/>
        <v>9147.5</v>
      </c>
      <c r="L1082" s="8"/>
      <c r="M1082" s="8"/>
    </row>
    <row r="1083" spans="1:13" x14ac:dyDescent="0.2">
      <c r="A1083" s="17" t="str">
        <f>[1]SUMMARY!A1084</f>
        <v>205</v>
      </c>
      <c r="B1083" s="17">
        <f>[1]SUMMARY!B1084</f>
        <v>65</v>
      </c>
      <c r="C1083" s="17">
        <f>[1]SUMMARY!C1084</f>
        <v>15</v>
      </c>
      <c r="D1083" s="25" t="str">
        <f>[1]SUMMARY!D1084</f>
        <v>MICHELIN</v>
      </c>
      <c r="E1083" s="25" t="str">
        <f>[1]SUMMARY!E1084</f>
        <v>ENERGY XM2</v>
      </c>
      <c r="F1083" s="20"/>
      <c r="G1083" s="20">
        <v>13</v>
      </c>
      <c r="H1083" s="20">
        <v>13</v>
      </c>
      <c r="I1083" s="30">
        <f t="shared" si="10"/>
        <v>0</v>
      </c>
      <c r="J1083" s="22">
        <f>[1]SUMMARY!N1084</f>
        <v>4000</v>
      </c>
      <c r="K1083" s="23">
        <f t="shared" si="12"/>
        <v>0</v>
      </c>
      <c r="L1083" s="8"/>
      <c r="M1083" s="8"/>
    </row>
    <row r="1084" spans="1:13" x14ac:dyDescent="0.2">
      <c r="A1084" s="17" t="str">
        <f>[1]SUMMARY!A1085</f>
        <v>205</v>
      </c>
      <c r="B1084" s="17">
        <f>[1]SUMMARY!B1085</f>
        <v>65</v>
      </c>
      <c r="C1084" s="17">
        <f>[1]SUMMARY!C1085</f>
        <v>15</v>
      </c>
      <c r="D1084" s="25" t="str">
        <f>[1]SUMMARY!D1085</f>
        <v>MICHELIN</v>
      </c>
      <c r="E1084" s="25" t="str">
        <f>[1]SUMMARY!E1085</f>
        <v>ENERGY XM2+</v>
      </c>
      <c r="F1084" s="20"/>
      <c r="G1084" s="20">
        <v>94</v>
      </c>
      <c r="H1084" s="20">
        <v>88</v>
      </c>
      <c r="I1084" s="31">
        <f t="shared" si="10"/>
        <v>6</v>
      </c>
      <c r="J1084" s="22">
        <f>[1]SUMMARY!N1085</f>
        <v>4327.2700000000004</v>
      </c>
      <c r="K1084" s="23">
        <f t="shared" si="12"/>
        <v>25963.620000000003</v>
      </c>
      <c r="L1084" s="8"/>
      <c r="M1084" s="8"/>
    </row>
    <row r="1085" spans="1:13" x14ac:dyDescent="0.2">
      <c r="A1085" s="17" t="str">
        <f>[1]SUMMARY!A1086</f>
        <v>195</v>
      </c>
      <c r="B1085" s="17">
        <f>[1]SUMMARY!B1086</f>
        <v>70</v>
      </c>
      <c r="C1085" s="17" t="str">
        <f>[1]SUMMARY!C1086</f>
        <v>15C</v>
      </c>
      <c r="D1085" s="25" t="str">
        <f>[1]SUMMARY!D1086</f>
        <v>MICHELIN</v>
      </c>
      <c r="E1085" s="25" t="str">
        <f>[1]SUMMARY!E1086</f>
        <v>AGILIS 3 104/102S TL MI</v>
      </c>
      <c r="F1085" s="20">
        <v>4</v>
      </c>
      <c r="G1085" s="20">
        <v>4</v>
      </c>
      <c r="H1085" s="20">
        <v>8</v>
      </c>
      <c r="I1085" s="30">
        <f t="shared" si="10"/>
        <v>0</v>
      </c>
      <c r="J1085" s="22">
        <f>[1]SUMMARY!N1086</f>
        <v>4600</v>
      </c>
      <c r="K1085" s="23">
        <f t="shared" si="12"/>
        <v>0</v>
      </c>
      <c r="L1085" s="8"/>
      <c r="M1085" s="8"/>
    </row>
    <row r="1086" spans="1:13" x14ac:dyDescent="0.2">
      <c r="A1086" s="17" t="str">
        <f>[1]SUMMARY!A1087</f>
        <v>205</v>
      </c>
      <c r="B1086" s="17">
        <f>[1]SUMMARY!B1087</f>
        <v>70</v>
      </c>
      <c r="C1086" s="17" t="str">
        <f>[1]SUMMARY!C1087</f>
        <v>15C</v>
      </c>
      <c r="D1086" s="25" t="str">
        <f>[1]SUMMARY!D1087</f>
        <v>MICHELIN</v>
      </c>
      <c r="E1086" s="25" t="str">
        <f>[1]SUMMARY!E1087</f>
        <v>AGILIS 3</v>
      </c>
      <c r="F1086" s="20"/>
      <c r="G1086" s="20">
        <v>53</v>
      </c>
      <c r="H1086" s="20">
        <v>49</v>
      </c>
      <c r="I1086" s="31">
        <f t="shared" si="10"/>
        <v>4</v>
      </c>
      <c r="J1086" s="22">
        <f>[1]SUMMARY!N1087</f>
        <v>5966.43</v>
      </c>
      <c r="K1086" s="23">
        <f t="shared" si="12"/>
        <v>23865.72</v>
      </c>
      <c r="L1086" s="8"/>
      <c r="M1086" s="8"/>
    </row>
    <row r="1087" spans="1:13" x14ac:dyDescent="0.2">
      <c r="A1087" s="17" t="str">
        <f>[1]SUMMARY!A1088</f>
        <v>205</v>
      </c>
      <c r="B1087" s="17">
        <f>[1]SUMMARY!B1088</f>
        <v>70</v>
      </c>
      <c r="C1087" s="17">
        <f>[1]SUMMARY!C1088</f>
        <v>15</v>
      </c>
      <c r="D1087" s="25" t="str">
        <f>[1]SUMMARY!D1088</f>
        <v>MICHELIN</v>
      </c>
      <c r="E1087" s="25" t="str">
        <f>[1]SUMMARY!E1088</f>
        <v>PRIMACY SUV+</v>
      </c>
      <c r="F1087" s="20"/>
      <c r="G1087" s="20">
        <v>2</v>
      </c>
      <c r="H1087" s="20">
        <v>2</v>
      </c>
      <c r="I1087" s="30">
        <f t="shared" si="10"/>
        <v>0</v>
      </c>
      <c r="J1087" s="22">
        <f>[1]SUMMARY!N1088</f>
        <v>5114.8</v>
      </c>
      <c r="K1087" s="23">
        <f t="shared" si="12"/>
        <v>0</v>
      </c>
      <c r="L1087" s="8"/>
      <c r="M1087" s="8"/>
    </row>
    <row r="1088" spans="1:13" x14ac:dyDescent="0.2">
      <c r="A1088" s="17" t="str">
        <f>[1]SUMMARY!A1089</f>
        <v>215</v>
      </c>
      <c r="B1088" s="17">
        <f>[1]SUMMARY!B1089</f>
        <v>70</v>
      </c>
      <c r="C1088" s="17" t="str">
        <f>[1]SUMMARY!C1089</f>
        <v>15C</v>
      </c>
      <c r="D1088" s="25" t="str">
        <f>[1]SUMMARY!D1089</f>
        <v>MICHELIN</v>
      </c>
      <c r="E1088" s="25" t="str">
        <f>[1]SUMMARY!E1089</f>
        <v>AGILIS 3</v>
      </c>
      <c r="F1088" s="20"/>
      <c r="G1088" s="20">
        <v>45</v>
      </c>
      <c r="H1088" s="20">
        <v>39</v>
      </c>
      <c r="I1088" s="31">
        <f t="shared" si="10"/>
        <v>6</v>
      </c>
      <c r="J1088" s="22">
        <f>[1]SUMMARY!N1089</f>
        <v>6572</v>
      </c>
      <c r="K1088" s="23">
        <f t="shared" si="12"/>
        <v>39432</v>
      </c>
      <c r="L1088" s="8"/>
      <c r="M1088" s="8"/>
    </row>
    <row r="1089" spans="1:13" x14ac:dyDescent="0.2">
      <c r="A1089" s="17" t="str">
        <f>[1]SUMMARY!A1090</f>
        <v>225</v>
      </c>
      <c r="B1089" s="17">
        <f>[1]SUMMARY!B1090</f>
        <v>70</v>
      </c>
      <c r="C1089" s="17" t="str">
        <f>[1]SUMMARY!C1090</f>
        <v>15C</v>
      </c>
      <c r="D1089" s="25" t="str">
        <f>[1]SUMMARY!D1090</f>
        <v>MICHELIN</v>
      </c>
      <c r="E1089" s="25" t="str">
        <f>[1]SUMMARY!E1090</f>
        <v>AGILIS 3</v>
      </c>
      <c r="F1089" s="20"/>
      <c r="G1089" s="20">
        <v>69</v>
      </c>
      <c r="H1089" s="20">
        <v>65</v>
      </c>
      <c r="I1089" s="31">
        <f t="shared" si="10"/>
        <v>4</v>
      </c>
      <c r="J1089" s="22">
        <f>[1]SUMMARY!N1090</f>
        <v>6361.2</v>
      </c>
      <c r="K1089" s="23">
        <f t="shared" si="12"/>
        <v>25444.799999999999</v>
      </c>
      <c r="L1089" s="8"/>
      <c r="M1089" s="8"/>
    </row>
    <row r="1090" spans="1:13" x14ac:dyDescent="0.2">
      <c r="A1090" s="17" t="str">
        <f>[1]SUMMARY!A1091</f>
        <v>235</v>
      </c>
      <c r="B1090" s="17">
        <f>[1]SUMMARY!B1091</f>
        <v>70</v>
      </c>
      <c r="C1090" s="17">
        <f>[1]SUMMARY!C1091</f>
        <v>15</v>
      </c>
      <c r="D1090" s="25" t="str">
        <f>[1]SUMMARY!D1091</f>
        <v>MICHELIN</v>
      </c>
      <c r="E1090" s="25" t="str">
        <f>[1]SUMMARY!E1091</f>
        <v>LTX TRAIL</v>
      </c>
      <c r="F1090" s="20"/>
      <c r="G1090" s="20">
        <v>105</v>
      </c>
      <c r="H1090" s="20">
        <v>101</v>
      </c>
      <c r="I1090" s="31">
        <f t="shared" si="10"/>
        <v>4</v>
      </c>
      <c r="J1090" s="22">
        <f>[1]SUMMARY!N1091</f>
        <v>6948.35</v>
      </c>
      <c r="K1090" s="23">
        <f t="shared" si="12"/>
        <v>27793.4</v>
      </c>
      <c r="L1090" s="8"/>
      <c r="M1090" s="8"/>
    </row>
    <row r="1091" spans="1:13" x14ac:dyDescent="0.2">
      <c r="A1091" s="17" t="str">
        <f>[1]SUMMARY!A1092</f>
        <v>225</v>
      </c>
      <c r="B1091" s="17">
        <f>[1]SUMMARY!B1092</f>
        <v>75</v>
      </c>
      <c r="C1091" s="17">
        <f>[1]SUMMARY!C1092</f>
        <v>15</v>
      </c>
      <c r="D1091" s="25" t="str">
        <f>[1]SUMMARY!D1092</f>
        <v>MICHELIN</v>
      </c>
      <c r="E1091" s="25" t="str">
        <f>[1]SUMMARY!E1092</f>
        <v>SYNCHRONE</v>
      </c>
      <c r="F1091" s="20"/>
      <c r="G1091" s="20"/>
      <c r="H1091" s="20"/>
      <c r="I1091" s="30">
        <f t="shared" si="10"/>
        <v>0</v>
      </c>
      <c r="J1091" s="22">
        <f>[1]SUMMARY!N1092</f>
        <v>7500</v>
      </c>
      <c r="K1091" s="23">
        <f t="shared" si="12"/>
        <v>0</v>
      </c>
      <c r="L1091" s="8"/>
      <c r="M1091" s="8"/>
    </row>
    <row r="1092" spans="1:13" x14ac:dyDescent="0.2">
      <c r="A1092" s="17" t="str">
        <f>[1]SUMMARY!A1093</f>
        <v>235</v>
      </c>
      <c r="B1092" s="17">
        <f>[1]SUMMARY!B1093</f>
        <v>75</v>
      </c>
      <c r="C1092" s="17">
        <f>[1]SUMMARY!C1093</f>
        <v>15</v>
      </c>
      <c r="D1092" s="25" t="str">
        <f>[1]SUMMARY!D1093</f>
        <v>MICHELIN</v>
      </c>
      <c r="E1092" s="25" t="str">
        <f>[1]SUMMARY!E1093</f>
        <v>LTX TRAIL</v>
      </c>
      <c r="F1092" s="20"/>
      <c r="G1092" s="20">
        <v>4</v>
      </c>
      <c r="H1092" s="20">
        <v>4</v>
      </c>
      <c r="I1092" s="30">
        <f t="shared" si="10"/>
        <v>0</v>
      </c>
      <c r="J1092" s="22">
        <f>[1]SUMMARY!N1093</f>
        <v>6657.6</v>
      </c>
      <c r="K1092" s="23">
        <f t="shared" si="12"/>
        <v>0</v>
      </c>
      <c r="L1092" s="8"/>
      <c r="M1092" s="8"/>
    </row>
    <row r="1093" spans="1:13" x14ac:dyDescent="0.2">
      <c r="A1093" s="17" t="str">
        <f>[1]SUMMARY!A1094</f>
        <v>195</v>
      </c>
      <c r="B1093" s="17">
        <f>[1]SUMMARY!B1094</f>
        <v>0</v>
      </c>
      <c r="C1093" s="17" t="str">
        <f>[1]SUMMARY!C1094</f>
        <v>15C</v>
      </c>
      <c r="D1093" s="25" t="str">
        <f>[1]SUMMARY!D1094</f>
        <v>MICHELIN</v>
      </c>
      <c r="E1093" s="25" t="str">
        <f>[1]SUMMARY!E1094</f>
        <v>AGILIS</v>
      </c>
      <c r="F1093" s="20"/>
      <c r="G1093" s="20"/>
      <c r="H1093" s="20"/>
      <c r="I1093" s="30">
        <f t="shared" si="10"/>
        <v>0</v>
      </c>
      <c r="J1093" s="22">
        <f>[1]SUMMARY!N1094</f>
        <v>4988</v>
      </c>
      <c r="K1093" s="23">
        <f t="shared" si="12"/>
        <v>0</v>
      </c>
      <c r="L1093" s="8"/>
      <c r="M1093" s="8"/>
    </row>
    <row r="1094" spans="1:13" x14ac:dyDescent="0.2">
      <c r="A1094" s="17" t="str">
        <f>[1]SUMMARY!A1095</f>
        <v>195</v>
      </c>
      <c r="B1094" s="17">
        <f>[1]SUMMARY!B1095</f>
        <v>80</v>
      </c>
      <c r="C1094" s="17" t="str">
        <f>[1]SUMMARY!C1095</f>
        <v>15C</v>
      </c>
      <c r="D1094" s="25" t="str">
        <f>[1]SUMMARY!D1095</f>
        <v>MICHELIN</v>
      </c>
      <c r="E1094" s="25" t="str">
        <f>[1]SUMMARY!E1095</f>
        <v>AGILIS 3</v>
      </c>
      <c r="F1094" s="20"/>
      <c r="G1094" s="20">
        <v>78</v>
      </c>
      <c r="H1094" s="20">
        <v>74</v>
      </c>
      <c r="I1094" s="31">
        <f t="shared" si="10"/>
        <v>4</v>
      </c>
      <c r="J1094" s="22">
        <f>[1]SUMMARY!N1095</f>
        <v>5315.32</v>
      </c>
      <c r="K1094" s="23">
        <f t="shared" si="12"/>
        <v>21261.279999999999</v>
      </c>
      <c r="L1094" s="8"/>
      <c r="M1094" s="8"/>
    </row>
    <row r="1095" spans="1:13" x14ac:dyDescent="0.2">
      <c r="A1095" s="17" t="str">
        <f>[1]SUMMARY!A1096</f>
        <v>195</v>
      </c>
      <c r="B1095" s="17">
        <f>[1]SUMMARY!B1096</f>
        <v>50</v>
      </c>
      <c r="C1095" s="17">
        <f>[1]SUMMARY!C1096</f>
        <v>16</v>
      </c>
      <c r="D1095" s="25" t="str">
        <f>[1]SUMMARY!D1096</f>
        <v>MICHELIN</v>
      </c>
      <c r="E1095" s="25" t="str">
        <f>[1]SUMMARY!E1096</f>
        <v>ENERGY XM2+</v>
      </c>
      <c r="F1095" s="20"/>
      <c r="G1095" s="20">
        <v>29</v>
      </c>
      <c r="H1095" s="20">
        <v>25</v>
      </c>
      <c r="I1095" s="31">
        <f t="shared" si="10"/>
        <v>4</v>
      </c>
      <c r="J1095" s="22">
        <f>[1]SUMMARY!N1096</f>
        <v>5358</v>
      </c>
      <c r="K1095" s="23">
        <f t="shared" si="12"/>
        <v>21432</v>
      </c>
      <c r="L1095" s="8"/>
      <c r="M1095" s="8"/>
    </row>
    <row r="1096" spans="1:13" x14ac:dyDescent="0.2">
      <c r="A1096" s="17" t="str">
        <f>[1]SUMMARY!A1097</f>
        <v>185</v>
      </c>
      <c r="B1096" s="17">
        <f>[1]SUMMARY!B1097</f>
        <v>55</v>
      </c>
      <c r="C1096" s="17">
        <f>[1]SUMMARY!C1097</f>
        <v>16</v>
      </c>
      <c r="D1096" s="25" t="str">
        <f>[1]SUMMARY!D1097</f>
        <v>MICHELIN</v>
      </c>
      <c r="E1096" s="25" t="str">
        <f>[1]SUMMARY!E1097</f>
        <v>ENERGY XM2+</v>
      </c>
      <c r="F1096" s="20"/>
      <c r="G1096" s="20">
        <v>77</v>
      </c>
      <c r="H1096" s="20">
        <v>69</v>
      </c>
      <c r="I1096" s="31">
        <f t="shared" si="10"/>
        <v>8</v>
      </c>
      <c r="J1096" s="22">
        <f>[1]SUMMARY!N1097</f>
        <v>5042.6499999999996</v>
      </c>
      <c r="K1096" s="23">
        <f t="shared" si="12"/>
        <v>40341.199999999997</v>
      </c>
      <c r="L1096" s="8"/>
      <c r="M1096" s="8"/>
    </row>
    <row r="1097" spans="1:13" x14ac:dyDescent="0.2">
      <c r="A1097" s="17" t="str">
        <f>[1]SUMMARY!A1098</f>
        <v>205</v>
      </c>
      <c r="B1097" s="17">
        <f>[1]SUMMARY!B1099</f>
        <v>55</v>
      </c>
      <c r="C1097" s="17">
        <f>[1]SUMMARY!C1098</f>
        <v>16</v>
      </c>
      <c r="D1097" s="25" t="str">
        <f>[1]SUMMARY!D1098</f>
        <v>MICHELIN</v>
      </c>
      <c r="E1097" s="25" t="str">
        <f>[1]SUMMARY!E1098</f>
        <v>ENERGY XM2+</v>
      </c>
      <c r="F1097" s="20"/>
      <c r="G1097" s="20">
        <v>155</v>
      </c>
      <c r="H1097" s="20">
        <v>155</v>
      </c>
      <c r="I1097" s="31">
        <f t="shared" si="10"/>
        <v>0</v>
      </c>
      <c r="J1097" s="22">
        <f>[1]SUMMARY!N1098</f>
        <v>4722.47</v>
      </c>
      <c r="K1097" s="23">
        <f t="shared" si="12"/>
        <v>0</v>
      </c>
      <c r="L1097" s="8"/>
      <c r="M1097" s="8"/>
    </row>
    <row r="1098" spans="1:13" x14ac:dyDescent="0.2">
      <c r="A1098" s="17" t="str">
        <f>[1]SUMMARY!A1099</f>
        <v>215</v>
      </c>
      <c r="B1098" s="17">
        <f>[1]SUMMARY!B1099</f>
        <v>55</v>
      </c>
      <c r="C1098" s="17">
        <f>[1]SUMMARY!C1099</f>
        <v>16</v>
      </c>
      <c r="D1098" s="25" t="str">
        <f>[1]SUMMARY!D1099</f>
        <v>MICHELIN</v>
      </c>
      <c r="E1098" s="25" t="str">
        <f>[1]SUMMARY!E1099</f>
        <v>PRIMACY 4ST</v>
      </c>
      <c r="F1098" s="20"/>
      <c r="G1098" s="20">
        <v>28</v>
      </c>
      <c r="H1098" s="20">
        <v>28</v>
      </c>
      <c r="I1098" s="30">
        <f t="shared" si="10"/>
        <v>0</v>
      </c>
      <c r="J1098" s="22">
        <f>[1]SUMMARY!N1099</f>
        <v>6665.8</v>
      </c>
      <c r="K1098" s="23">
        <f t="shared" si="12"/>
        <v>0</v>
      </c>
      <c r="L1098" s="8"/>
      <c r="M1098" s="8"/>
    </row>
    <row r="1099" spans="1:13" x14ac:dyDescent="0.2">
      <c r="A1099" s="17" t="str">
        <f>[1]SUMMARY!A1100</f>
        <v>255</v>
      </c>
      <c r="B1099" s="17">
        <f>[1]SUMMARY!B1100</f>
        <v>55</v>
      </c>
      <c r="C1099" s="17">
        <f>[1]SUMMARY!C1100</f>
        <v>16</v>
      </c>
      <c r="D1099" s="25" t="str">
        <f>[1]SUMMARY!D1100</f>
        <v>MICHELIN</v>
      </c>
      <c r="E1099" s="25" t="str">
        <f>[1]SUMMARY!E1100</f>
        <v>PRIMACY 4ST</v>
      </c>
      <c r="F1099" s="20"/>
      <c r="G1099" s="20"/>
      <c r="H1099" s="20"/>
      <c r="I1099" s="30">
        <f t="shared" si="10"/>
        <v>0</v>
      </c>
      <c r="J1099" s="22">
        <f>[1]SUMMARY!N1100</f>
        <v>7334</v>
      </c>
      <c r="K1099" s="23">
        <f t="shared" si="12"/>
        <v>0</v>
      </c>
      <c r="L1099" s="8"/>
      <c r="M1099" s="8"/>
    </row>
    <row r="1100" spans="1:13" x14ac:dyDescent="0.2">
      <c r="A1100" s="17" t="str">
        <f>[1]SUMMARY!A1101</f>
        <v>195</v>
      </c>
      <c r="B1100" s="17">
        <f>[1]SUMMARY!B1101</f>
        <v>60</v>
      </c>
      <c r="C1100" s="17">
        <f>[1]SUMMARY!C1101</f>
        <v>16</v>
      </c>
      <c r="D1100" s="25" t="str">
        <f>[1]SUMMARY!D1101</f>
        <v>MICHELIN</v>
      </c>
      <c r="E1100" s="25" t="str">
        <f>[1]SUMMARY!E1101</f>
        <v>ENERGY XM2+</v>
      </c>
      <c r="F1100" s="20"/>
      <c r="G1100" s="20">
        <v>29</v>
      </c>
      <c r="H1100" s="20">
        <v>27</v>
      </c>
      <c r="I1100" s="31">
        <f t="shared" si="10"/>
        <v>2</v>
      </c>
      <c r="J1100" s="22">
        <f>[1]SUMMARY!N1101</f>
        <v>6186.4</v>
      </c>
      <c r="K1100" s="23">
        <f t="shared" si="12"/>
        <v>12372.8</v>
      </c>
      <c r="L1100" s="8"/>
      <c r="M1100" s="8"/>
    </row>
    <row r="1101" spans="1:13" x14ac:dyDescent="0.2">
      <c r="A1101" s="17" t="str">
        <f>[1]SUMMARY!A1102</f>
        <v>195</v>
      </c>
      <c r="B1101" s="17">
        <f>[1]SUMMARY!B1102</f>
        <v>60</v>
      </c>
      <c r="C1101" s="17">
        <f>[1]SUMMARY!C1102</f>
        <v>16</v>
      </c>
      <c r="D1101" s="25" t="str">
        <f>[1]SUMMARY!D1102</f>
        <v>MICHELIN</v>
      </c>
      <c r="E1101" s="25" t="str">
        <f>[1]SUMMARY!E1102</f>
        <v>PRIMACY 5</v>
      </c>
      <c r="F1101" s="20"/>
      <c r="G1101" s="20"/>
      <c r="H1101" s="20"/>
      <c r="I1101" s="30">
        <f t="shared" si="10"/>
        <v>0</v>
      </c>
      <c r="J1101" s="22">
        <f>[1]SUMMARY!N1102</f>
        <v>5528.01</v>
      </c>
      <c r="K1101" s="23">
        <f t="shared" si="12"/>
        <v>0</v>
      </c>
      <c r="L1101" s="8"/>
      <c r="M1101" s="8"/>
    </row>
    <row r="1102" spans="1:13" x14ac:dyDescent="0.2">
      <c r="A1102" s="17" t="str">
        <f>[1]SUMMARY!A1103</f>
        <v>205</v>
      </c>
      <c r="B1102" s="17">
        <f>[1]SUMMARY!B1103</f>
        <v>60</v>
      </c>
      <c r="C1102" s="17">
        <f>[1]SUMMARY!C1103</f>
        <v>16</v>
      </c>
      <c r="D1102" s="25" t="str">
        <f>[1]SUMMARY!D1103</f>
        <v>MICHELIN</v>
      </c>
      <c r="E1102" s="25" t="str">
        <f>[1]SUMMARY!E1103</f>
        <v>ENERGY XM2+</v>
      </c>
      <c r="F1102" s="20"/>
      <c r="G1102" s="20">
        <v>81</v>
      </c>
      <c r="H1102" s="20">
        <v>77</v>
      </c>
      <c r="I1102" s="31">
        <f t="shared" si="10"/>
        <v>4</v>
      </c>
      <c r="J1102" s="22">
        <f>[1]SUMMARY!N1103</f>
        <v>5692.4</v>
      </c>
      <c r="K1102" s="23">
        <f t="shared" si="12"/>
        <v>22769.599999999999</v>
      </c>
      <c r="L1102" s="8"/>
      <c r="M1102" s="8"/>
    </row>
    <row r="1103" spans="1:13" x14ac:dyDescent="0.2">
      <c r="A1103" s="17" t="str">
        <f>[1]SUMMARY!A1104</f>
        <v>205</v>
      </c>
      <c r="B1103" s="17">
        <f>[1]SUMMARY!B1104</f>
        <v>60</v>
      </c>
      <c r="C1103" s="17">
        <f>[1]SUMMARY!C1104</f>
        <v>16</v>
      </c>
      <c r="D1103" s="25" t="str">
        <f>[1]SUMMARY!D1104</f>
        <v>MICHELIN</v>
      </c>
      <c r="E1103" s="25" t="str">
        <f>[1]SUMMARY!E1104</f>
        <v>XM2+</v>
      </c>
      <c r="F1103" s="20"/>
      <c r="G1103" s="20"/>
      <c r="H1103" s="20"/>
      <c r="I1103" s="30">
        <f t="shared" si="10"/>
        <v>0</v>
      </c>
      <c r="J1103" s="22">
        <f>[1]SUMMARY!N1104</f>
        <v>5800</v>
      </c>
      <c r="K1103" s="23">
        <f t="shared" si="12"/>
        <v>0</v>
      </c>
      <c r="L1103" s="8"/>
      <c r="M1103" s="8"/>
    </row>
    <row r="1104" spans="1:13" x14ac:dyDescent="0.2">
      <c r="A1104" s="17" t="str">
        <f>[1]SUMMARY!A1105</f>
        <v>205</v>
      </c>
      <c r="B1104" s="17">
        <f>[1]SUMMARY!B1105</f>
        <v>60</v>
      </c>
      <c r="C1104" s="17">
        <f>[1]SUMMARY!C1105</f>
        <v>16</v>
      </c>
      <c r="D1104" s="25" t="str">
        <f>[1]SUMMARY!D1105</f>
        <v>MICHELIN</v>
      </c>
      <c r="E1104" s="25" t="str">
        <f>[1]SUMMARY!E1105</f>
        <v>PRIMACY 5</v>
      </c>
      <c r="F1104" s="20"/>
      <c r="G1104" s="20"/>
      <c r="H1104" s="20"/>
      <c r="I1104" s="30">
        <f t="shared" si="10"/>
        <v>0</v>
      </c>
      <c r="J1104" s="22">
        <f>[1]SUMMARY!N1105</f>
        <v>5692.4</v>
      </c>
      <c r="K1104" s="23">
        <f t="shared" si="12"/>
        <v>0</v>
      </c>
      <c r="L1104" s="8"/>
      <c r="M1104" s="8"/>
    </row>
    <row r="1105" spans="1:13" x14ac:dyDescent="0.2">
      <c r="A1105" s="17" t="str">
        <f>[1]SUMMARY!A1106</f>
        <v>235</v>
      </c>
      <c r="B1105" s="17">
        <f>[1]SUMMARY!B1106</f>
        <v>60</v>
      </c>
      <c r="C1105" s="17">
        <f>[1]SUMMARY!C1106</f>
        <v>16</v>
      </c>
      <c r="D1105" s="25" t="str">
        <f>[1]SUMMARY!D1106</f>
        <v>MICHELIN</v>
      </c>
      <c r="E1105" s="25" t="str">
        <f>[1]SUMMARY!E1106</f>
        <v>PRIMACY SUV+</v>
      </c>
      <c r="F1105" s="20"/>
      <c r="G1105" s="20"/>
      <c r="H1105" s="20"/>
      <c r="I1105" s="30">
        <f t="shared" si="10"/>
        <v>0</v>
      </c>
      <c r="J1105" s="22">
        <f>[1]SUMMARY!N1106</f>
        <v>10800</v>
      </c>
      <c r="K1105" s="23">
        <f t="shared" si="12"/>
        <v>0</v>
      </c>
      <c r="L1105" s="8"/>
      <c r="M1105" s="8"/>
    </row>
    <row r="1106" spans="1:13" x14ac:dyDescent="0.2">
      <c r="A1106" s="17" t="str">
        <f>[1]SUMMARY!A1107</f>
        <v>235</v>
      </c>
      <c r="B1106" s="17">
        <f>[1]SUMMARY!B1107</f>
        <v>60</v>
      </c>
      <c r="C1106" s="17">
        <f>[1]SUMMARY!C1107</f>
        <v>16</v>
      </c>
      <c r="D1106" s="25" t="str">
        <f>[1]SUMMARY!D1107</f>
        <v>MICHELIN</v>
      </c>
      <c r="E1106" s="25" t="str">
        <f>[1]SUMMARY!E1107</f>
        <v>PRIMACY 4ST</v>
      </c>
      <c r="F1106" s="20"/>
      <c r="G1106" s="20"/>
      <c r="H1106" s="20"/>
      <c r="I1106" s="30">
        <f t="shared" si="10"/>
        <v>0</v>
      </c>
      <c r="J1106" s="22">
        <f>[1]SUMMARY!N1107</f>
        <v>7468.1625000000004</v>
      </c>
      <c r="K1106" s="23">
        <f t="shared" si="12"/>
        <v>0</v>
      </c>
      <c r="L1106" s="8"/>
      <c r="M1106" s="8"/>
    </row>
    <row r="1107" spans="1:13" x14ac:dyDescent="0.2">
      <c r="A1107" s="17" t="str">
        <f>[1]SUMMARY!A1108</f>
        <v>205</v>
      </c>
      <c r="B1107" s="17">
        <f>[1]SUMMARY!B1108</f>
        <v>65</v>
      </c>
      <c r="C1107" s="17">
        <f>[1]SUMMARY!C1108</f>
        <v>16</v>
      </c>
      <c r="D1107" s="25" t="str">
        <f>[1]SUMMARY!D1108</f>
        <v>MICHELIN</v>
      </c>
      <c r="E1107" s="25" t="str">
        <f>[1]SUMMARY!E1108</f>
        <v>PRIMACY 4ST</v>
      </c>
      <c r="F1107" s="20"/>
      <c r="G1107" s="20">
        <v>134</v>
      </c>
      <c r="H1107" s="20">
        <v>134</v>
      </c>
      <c r="I1107" s="30">
        <f t="shared" si="10"/>
        <v>0</v>
      </c>
      <c r="J1107" s="22">
        <f>[1]SUMMARY!N1108</f>
        <v>4944.08</v>
      </c>
      <c r="K1107" s="23">
        <f t="shared" si="12"/>
        <v>0</v>
      </c>
      <c r="L1107" s="8"/>
      <c r="M1107" s="8"/>
    </row>
    <row r="1108" spans="1:13" x14ac:dyDescent="0.2">
      <c r="A1108" s="17" t="str">
        <f>[1]SUMMARY!A1109</f>
        <v>205</v>
      </c>
      <c r="B1108" s="17">
        <f>[1]SUMMARY!B1109</f>
        <v>65</v>
      </c>
      <c r="C1108" s="17">
        <f>[1]SUMMARY!C1109</f>
        <v>16</v>
      </c>
      <c r="D1108" s="25" t="str">
        <f>[1]SUMMARY!D1109</f>
        <v>MICHELIN</v>
      </c>
      <c r="E1108" s="25" t="str">
        <f>[1]SUMMARY!E1109</f>
        <v>PRIMACY 5</v>
      </c>
      <c r="F1108" s="20"/>
      <c r="G1108" s="20">
        <v>46</v>
      </c>
      <c r="H1108" s="20">
        <v>36</v>
      </c>
      <c r="I1108" s="30">
        <f t="shared" si="10"/>
        <v>10</v>
      </c>
      <c r="J1108" s="22">
        <f>[1]SUMMARY!N1109</f>
        <v>4970.3999999999996</v>
      </c>
      <c r="K1108" s="23">
        <f t="shared" si="12"/>
        <v>49704</v>
      </c>
      <c r="L1108" s="8"/>
      <c r="M1108" s="8"/>
    </row>
    <row r="1109" spans="1:13" x14ac:dyDescent="0.2">
      <c r="A1109" s="17" t="str">
        <f>[1]SUMMARY!A1110</f>
        <v>215</v>
      </c>
      <c r="B1109" s="17">
        <f>[1]SUMMARY!B1110</f>
        <v>65</v>
      </c>
      <c r="C1109" s="17">
        <f>[1]SUMMARY!C1110</f>
        <v>16</v>
      </c>
      <c r="D1109" s="25" t="str">
        <f>[1]SUMMARY!D1110</f>
        <v>MICHELIN</v>
      </c>
      <c r="E1109" s="25" t="str">
        <f>[1]SUMMARY!E1110</f>
        <v>ENERGY XM2+</v>
      </c>
      <c r="F1109" s="20"/>
      <c r="G1109" s="20">
        <v>61</v>
      </c>
      <c r="H1109" s="20">
        <v>57</v>
      </c>
      <c r="I1109" s="31">
        <f t="shared" si="10"/>
        <v>4</v>
      </c>
      <c r="J1109" s="22">
        <f>[1]SUMMARY!N1110</f>
        <v>5644.5</v>
      </c>
      <c r="K1109" s="23">
        <f t="shared" si="12"/>
        <v>22578</v>
      </c>
      <c r="L1109" s="8"/>
      <c r="M1109" s="8"/>
    </row>
    <row r="1110" spans="1:13" x14ac:dyDescent="0.2">
      <c r="A1110" s="17" t="str">
        <f>[1]SUMMARY!A1111</f>
        <v>235</v>
      </c>
      <c r="B1110" s="17">
        <f>[1]SUMMARY!B1111</f>
        <v>65</v>
      </c>
      <c r="C1110" s="17" t="str">
        <f>[1]SUMMARY!C1111</f>
        <v>16C</v>
      </c>
      <c r="D1110" s="25" t="str">
        <f>[1]SUMMARY!D1111</f>
        <v>MICHELIN</v>
      </c>
      <c r="E1110" s="25" t="str">
        <f>[1]SUMMARY!E1111</f>
        <v>AGILIS 3</v>
      </c>
      <c r="F1110" s="20">
        <v>4</v>
      </c>
      <c r="G1110" s="20">
        <v>86</v>
      </c>
      <c r="H1110" s="20">
        <v>82</v>
      </c>
      <c r="I1110" s="31">
        <f t="shared" si="10"/>
        <v>8</v>
      </c>
      <c r="J1110" s="22">
        <f>[1]SUMMARY!N1111</f>
        <v>8337.2000000000007</v>
      </c>
      <c r="K1110" s="23">
        <f t="shared" si="12"/>
        <v>66697.600000000006</v>
      </c>
      <c r="L1110" s="8"/>
      <c r="M1110" s="8"/>
    </row>
    <row r="1111" spans="1:13" x14ac:dyDescent="0.2">
      <c r="A1111" s="17" t="str">
        <f>[1]SUMMARY!A1112</f>
        <v>215</v>
      </c>
      <c r="B1111" s="17">
        <f>[1]SUMMARY!B1112</f>
        <v>70</v>
      </c>
      <c r="C1111" s="17">
        <f>[1]SUMMARY!C1112</f>
        <v>16</v>
      </c>
      <c r="D1111" s="25" t="str">
        <f>[1]SUMMARY!D1112</f>
        <v>MICHELIN</v>
      </c>
      <c r="E1111" s="25" t="str">
        <f>[1]SUMMARY!E1112</f>
        <v>PRIMACY SUV+</v>
      </c>
      <c r="F1111" s="20"/>
      <c r="G1111" s="20">
        <v>6</v>
      </c>
      <c r="H1111" s="20">
        <v>6</v>
      </c>
      <c r="I1111" s="30">
        <f t="shared" si="10"/>
        <v>0</v>
      </c>
      <c r="J1111" s="22">
        <f>[1]SUMMARY!N1112</f>
        <v>7410</v>
      </c>
      <c r="K1111" s="23">
        <f t="shared" si="12"/>
        <v>0</v>
      </c>
      <c r="L1111" s="8"/>
      <c r="M1111" s="8"/>
    </row>
    <row r="1112" spans="1:13" x14ac:dyDescent="0.2">
      <c r="A1112" s="17" t="str">
        <f>[1]SUMMARY!A1113</f>
        <v>215</v>
      </c>
      <c r="B1112" s="17">
        <f>[1]SUMMARY!B1113</f>
        <v>70</v>
      </c>
      <c r="C1112" s="17" t="str">
        <f>[1]SUMMARY!C1113</f>
        <v>16C</v>
      </c>
      <c r="D1112" s="25" t="str">
        <f>[1]SUMMARY!D1113</f>
        <v>MICHELIN</v>
      </c>
      <c r="E1112" s="25" t="str">
        <f>[1]SUMMARY!E1113</f>
        <v>AGILIS 3 TL</v>
      </c>
      <c r="F1112" s="20"/>
      <c r="G1112" s="20">
        <v>85</v>
      </c>
      <c r="H1112" s="20">
        <v>81</v>
      </c>
      <c r="I1112" s="31">
        <f t="shared" si="10"/>
        <v>4</v>
      </c>
      <c r="J1112" s="22">
        <f>[1]SUMMARY!N1113</f>
        <v>6264.16</v>
      </c>
      <c r="K1112" s="23">
        <f t="shared" si="12"/>
        <v>25056.639999999999</v>
      </c>
      <c r="L1112" s="8"/>
      <c r="M1112" s="8"/>
    </row>
    <row r="1113" spans="1:13" x14ac:dyDescent="0.2">
      <c r="A1113" s="17" t="str">
        <f>[1]SUMMARY!A1114</f>
        <v>265</v>
      </c>
      <c r="B1113" s="17">
        <f>[1]SUMMARY!B1114</f>
        <v>70</v>
      </c>
      <c r="C1113" s="17">
        <f>[1]SUMMARY!C1114</f>
        <v>16</v>
      </c>
      <c r="D1113" s="25" t="str">
        <f>[1]SUMMARY!D1114</f>
        <v>MICHELIN</v>
      </c>
      <c r="E1113" s="25" t="str">
        <f>[1]SUMMARY!E1114</f>
        <v>Latitude CROSS</v>
      </c>
      <c r="F1113" s="20"/>
      <c r="G1113" s="20"/>
      <c r="H1113" s="20"/>
      <c r="I1113" s="30">
        <f t="shared" si="10"/>
        <v>0</v>
      </c>
      <c r="J1113" s="22">
        <f>[1]SUMMARY!N1114</f>
        <v>6780</v>
      </c>
      <c r="K1113" s="23">
        <f t="shared" si="12"/>
        <v>0</v>
      </c>
      <c r="L1113" s="8"/>
      <c r="M1113" s="8"/>
    </row>
    <row r="1114" spans="1:13" x14ac:dyDescent="0.2">
      <c r="A1114" s="17" t="str">
        <f>[1]SUMMARY!A1115</f>
        <v>265</v>
      </c>
      <c r="B1114" s="17">
        <f>[1]SUMMARY!B1115</f>
        <v>70</v>
      </c>
      <c r="C1114" s="17">
        <f>[1]SUMMARY!C1115</f>
        <v>16</v>
      </c>
      <c r="D1114" s="25" t="str">
        <f>[1]SUMMARY!D1115</f>
        <v>MICHELIN</v>
      </c>
      <c r="E1114" s="25" t="str">
        <f>[1]SUMMARY!E1115</f>
        <v>PRIMACY SUV</v>
      </c>
      <c r="F1114" s="20"/>
      <c r="G1114" s="20">
        <v>38</v>
      </c>
      <c r="H1114" s="20">
        <v>38</v>
      </c>
      <c r="I1114" s="31">
        <f t="shared" si="10"/>
        <v>0</v>
      </c>
      <c r="J1114" s="22">
        <f>[1]SUMMARY!N1115</f>
        <v>8588</v>
      </c>
      <c r="K1114" s="23">
        <f t="shared" si="12"/>
        <v>0</v>
      </c>
      <c r="L1114" s="8"/>
      <c r="M1114" s="8"/>
    </row>
    <row r="1115" spans="1:13" x14ac:dyDescent="0.2">
      <c r="A1115" s="17" t="str">
        <f>[1]SUMMARY!A1116</f>
        <v>265</v>
      </c>
      <c r="B1115" s="17">
        <f>[1]SUMMARY!B1116</f>
        <v>70</v>
      </c>
      <c r="C1115" s="17">
        <f>[1]SUMMARY!C1116</f>
        <v>16</v>
      </c>
      <c r="D1115" s="25" t="str">
        <f>[1]SUMMARY!D1116</f>
        <v>MICHELIN</v>
      </c>
      <c r="E1115" s="25" t="str">
        <f>[1]SUMMARY!E1116</f>
        <v>LTX TRAIL</v>
      </c>
      <c r="F1115" s="20"/>
      <c r="G1115" s="20">
        <v>52</v>
      </c>
      <c r="H1115" s="20">
        <v>48</v>
      </c>
      <c r="I1115" s="31">
        <f t="shared" si="10"/>
        <v>4</v>
      </c>
      <c r="J1115" s="22">
        <f>[1]SUMMARY!N1116</f>
        <v>7624.77</v>
      </c>
      <c r="K1115" s="23">
        <f t="shared" si="12"/>
        <v>30499.08</v>
      </c>
      <c r="L1115" s="8"/>
      <c r="M1115" s="8"/>
    </row>
    <row r="1116" spans="1:13" x14ac:dyDescent="0.2">
      <c r="A1116" s="17" t="str">
        <f>[1]SUMMARY!A1117</f>
        <v>215</v>
      </c>
      <c r="B1116" s="17">
        <f>[1]SUMMARY!B1117</f>
        <v>45</v>
      </c>
      <c r="C1116" s="17">
        <f>[1]SUMMARY!C1117</f>
        <v>17</v>
      </c>
      <c r="D1116" s="25" t="str">
        <f>[1]SUMMARY!D1117</f>
        <v>MICHELIN</v>
      </c>
      <c r="E1116" s="25" t="str">
        <f>[1]SUMMARY!E1117</f>
        <v>PS4</v>
      </c>
      <c r="F1116" s="20">
        <v>2</v>
      </c>
      <c r="G1116" s="20"/>
      <c r="H1116" s="20">
        <v>2</v>
      </c>
      <c r="I1116" s="30">
        <f t="shared" si="10"/>
        <v>0</v>
      </c>
      <c r="J1116" s="22">
        <f>[1]SUMMARY!N1117</f>
        <v>6340</v>
      </c>
      <c r="K1116" s="23">
        <f t="shared" si="12"/>
        <v>0</v>
      </c>
      <c r="L1116" s="8"/>
      <c r="M1116" s="8"/>
    </row>
    <row r="1117" spans="1:13" x14ac:dyDescent="0.2">
      <c r="A1117" s="17" t="str">
        <f>[1]SUMMARY!A1118</f>
        <v>215</v>
      </c>
      <c r="B1117" s="17">
        <f>[1]SUMMARY!B1118</f>
        <v>45</v>
      </c>
      <c r="C1117" s="17">
        <f>[1]SUMMARY!C1118</f>
        <v>17</v>
      </c>
      <c r="D1117" s="25" t="str">
        <f>[1]SUMMARY!D1118</f>
        <v>MICHELIN</v>
      </c>
      <c r="E1117" s="25" t="str">
        <f>[1]SUMMARY!E1118</f>
        <v>PS5</v>
      </c>
      <c r="F1117" s="20"/>
      <c r="G1117" s="20"/>
      <c r="H1117" s="20"/>
      <c r="I1117" s="30">
        <f t="shared" si="10"/>
        <v>0</v>
      </c>
      <c r="J1117" s="22">
        <f>[1]SUMMARY!N1118</f>
        <v>8400</v>
      </c>
      <c r="K1117" s="23">
        <f t="shared" si="12"/>
        <v>0</v>
      </c>
      <c r="L1117" s="8"/>
      <c r="M1117" s="8"/>
    </row>
    <row r="1118" spans="1:13" x14ac:dyDescent="0.2">
      <c r="A1118" s="17" t="str">
        <f>[1]SUMMARY!A1119</f>
        <v>225</v>
      </c>
      <c r="B1118" s="17">
        <f>[1]SUMMARY!B1119</f>
        <v>45</v>
      </c>
      <c r="C1118" s="17">
        <f>[1]SUMMARY!C1119</f>
        <v>17</v>
      </c>
      <c r="D1118" s="25" t="str">
        <f>[1]SUMMARY!D1119</f>
        <v>MICHELIN</v>
      </c>
      <c r="E1118" s="25" t="str">
        <f>[1]SUMMARY!E1119</f>
        <v>PRIMACY 4ST</v>
      </c>
      <c r="F1118" s="20"/>
      <c r="G1118" s="20">
        <v>1</v>
      </c>
      <c r="H1118" s="20">
        <v>1</v>
      </c>
      <c r="I1118" s="30">
        <f t="shared" si="10"/>
        <v>0</v>
      </c>
      <c r="J1118" s="22">
        <f>[1]SUMMARY!N1119</f>
        <v>7858.4</v>
      </c>
      <c r="K1118" s="23">
        <f t="shared" si="12"/>
        <v>0</v>
      </c>
      <c r="L1118" s="8"/>
      <c r="M1118" s="8"/>
    </row>
    <row r="1119" spans="1:13" x14ac:dyDescent="0.2">
      <c r="A1119" s="17" t="str">
        <f>[1]SUMMARY!A1120</f>
        <v>225</v>
      </c>
      <c r="B1119" s="17">
        <f>[1]SUMMARY!B1120</f>
        <v>45</v>
      </c>
      <c r="C1119" s="17">
        <f>[1]SUMMARY!C1120</f>
        <v>17</v>
      </c>
      <c r="D1119" s="25" t="str">
        <f>[1]SUMMARY!D1120</f>
        <v>MICHELIN</v>
      </c>
      <c r="E1119" s="25" t="str">
        <f>[1]SUMMARY!E1120</f>
        <v>PRIMACY 5</v>
      </c>
      <c r="F1119" s="20"/>
      <c r="G1119" s="20">
        <v>4</v>
      </c>
      <c r="H1119" s="20">
        <v>4</v>
      </c>
      <c r="I1119" s="30">
        <f t="shared" si="10"/>
        <v>0</v>
      </c>
      <c r="J1119" s="22">
        <f>[1]SUMMARY!N1120</f>
        <v>7486</v>
      </c>
      <c r="K1119" s="23">
        <f t="shared" si="12"/>
        <v>0</v>
      </c>
      <c r="L1119" s="8"/>
      <c r="M1119" s="8"/>
    </row>
    <row r="1120" spans="1:13" x14ac:dyDescent="0.2">
      <c r="A1120" s="17" t="str">
        <f>[1]SUMMARY!A1121</f>
        <v>205</v>
      </c>
      <c r="B1120" s="17">
        <f>[1]SUMMARY!B1121</f>
        <v>50</v>
      </c>
      <c r="C1120" s="17">
        <f>[1]SUMMARY!C1121</f>
        <v>17</v>
      </c>
      <c r="D1120" s="25" t="str">
        <f>[1]SUMMARY!D1121</f>
        <v>MICHELIN</v>
      </c>
      <c r="E1120" s="25" t="str">
        <f>[1]SUMMARY!E1121</f>
        <v>PRIMACY 4ST</v>
      </c>
      <c r="F1120" s="20"/>
      <c r="G1120" s="20">
        <v>10</v>
      </c>
      <c r="H1120" s="20">
        <v>10</v>
      </c>
      <c r="I1120" s="30">
        <f t="shared" si="10"/>
        <v>0</v>
      </c>
      <c r="J1120" s="22">
        <f>[1]SUMMARY!N1121</f>
        <v>6650</v>
      </c>
      <c r="K1120" s="23">
        <f t="shared" si="12"/>
        <v>0</v>
      </c>
      <c r="L1120" s="8"/>
      <c r="M1120" s="8"/>
    </row>
    <row r="1121" spans="1:13" x14ac:dyDescent="0.2">
      <c r="A1121" s="17" t="str">
        <f>[1]SUMMARY!A1122</f>
        <v>205</v>
      </c>
      <c r="B1121" s="17">
        <f>[1]SUMMARY!B1122</f>
        <v>50</v>
      </c>
      <c r="C1121" s="17">
        <f>[1]SUMMARY!C1122</f>
        <v>17</v>
      </c>
      <c r="D1121" s="25" t="str">
        <f>[1]SUMMARY!D1122</f>
        <v>MICHELIN</v>
      </c>
      <c r="E1121" s="25" t="str">
        <f>[1]SUMMARY!E1122</f>
        <v>PILOT SPORT 4 ZP</v>
      </c>
      <c r="F1121" s="20"/>
      <c r="G1121" s="20"/>
      <c r="H1121" s="20"/>
      <c r="I1121" s="30">
        <f t="shared" si="10"/>
        <v>0</v>
      </c>
      <c r="J1121" s="22">
        <f>[1]SUMMARY!N1122</f>
        <v>9310</v>
      </c>
      <c r="K1121" s="23">
        <f t="shared" si="12"/>
        <v>0</v>
      </c>
      <c r="L1121" s="8"/>
      <c r="M1121" s="8"/>
    </row>
    <row r="1122" spans="1:13" x14ac:dyDescent="0.2">
      <c r="A1122" s="17" t="str">
        <f>[1]SUMMARY!A1123</f>
        <v>205</v>
      </c>
      <c r="B1122" s="17">
        <f>[1]SUMMARY!B1123</f>
        <v>50</v>
      </c>
      <c r="C1122" s="17">
        <f>[1]SUMMARY!C1123</f>
        <v>17</v>
      </c>
      <c r="D1122" s="25" t="str">
        <f>[1]SUMMARY!D1123</f>
        <v>MICHELIN</v>
      </c>
      <c r="E1122" s="25" t="str">
        <f>[1]SUMMARY!E1123</f>
        <v>PILOT SPORT 4</v>
      </c>
      <c r="F1122" s="20"/>
      <c r="G1122" s="20">
        <v>14</v>
      </c>
      <c r="H1122" s="20">
        <v>14</v>
      </c>
      <c r="I1122" s="30">
        <f t="shared" si="10"/>
        <v>0</v>
      </c>
      <c r="J1122" s="22">
        <f>[1]SUMMARY!N1123</f>
        <v>6535.98</v>
      </c>
      <c r="K1122" s="23">
        <f t="shared" si="12"/>
        <v>0</v>
      </c>
      <c r="L1122" s="8"/>
      <c r="M1122" s="8"/>
    </row>
    <row r="1123" spans="1:13" x14ac:dyDescent="0.2">
      <c r="A1123" s="17" t="str">
        <f>[1]SUMMARY!A1124</f>
        <v>215</v>
      </c>
      <c r="B1123" s="17">
        <f>[1]SUMMARY!B1124</f>
        <v>50</v>
      </c>
      <c r="C1123" s="17">
        <f>[1]SUMMARY!C1124</f>
        <v>17</v>
      </c>
      <c r="D1123" s="25" t="str">
        <f>[1]SUMMARY!D1124</f>
        <v>MICHELIN</v>
      </c>
      <c r="E1123" s="25" t="str">
        <f>[1]SUMMARY!E1124</f>
        <v>PRIMACY 4ST</v>
      </c>
      <c r="F1123" s="20"/>
      <c r="G1123" s="20">
        <v>6</v>
      </c>
      <c r="H1123" s="20">
        <v>4</v>
      </c>
      <c r="I1123" s="31">
        <f t="shared" si="10"/>
        <v>2</v>
      </c>
      <c r="J1123" s="22">
        <f>[1]SUMMARY!N1124</f>
        <v>7440.4</v>
      </c>
      <c r="K1123" s="23">
        <f t="shared" si="12"/>
        <v>14880.8</v>
      </c>
      <c r="L1123" s="8"/>
      <c r="M1123" s="8"/>
    </row>
    <row r="1124" spans="1:13" x14ac:dyDescent="0.2">
      <c r="A1124" s="17" t="str">
        <f>[1]SUMMARY!A1125</f>
        <v>215</v>
      </c>
      <c r="B1124" s="17">
        <f>[1]SUMMARY!B1125</f>
        <v>50</v>
      </c>
      <c r="C1124" s="17">
        <f>[1]SUMMARY!C1125</f>
        <v>17</v>
      </c>
      <c r="D1124" s="25" t="str">
        <f>[1]SUMMARY!D1125</f>
        <v>MICHELIN</v>
      </c>
      <c r="E1124" s="25" t="str">
        <f>[1]SUMMARY!E1125</f>
        <v>PRIMACY 5</v>
      </c>
      <c r="F1124" s="20"/>
      <c r="G1124" s="20">
        <v>16</v>
      </c>
      <c r="H1124" s="20">
        <v>12</v>
      </c>
      <c r="I1124" s="31">
        <f t="shared" si="10"/>
        <v>4</v>
      </c>
      <c r="J1124" s="22">
        <f>[1]SUMMARY!N1125</f>
        <v>7440.4</v>
      </c>
      <c r="K1124" s="23">
        <f t="shared" si="12"/>
        <v>29761.599999999999</v>
      </c>
      <c r="L1124" s="8"/>
      <c r="M1124" s="8"/>
    </row>
    <row r="1125" spans="1:13" x14ac:dyDescent="0.2">
      <c r="A1125" s="17" t="str">
        <f>[1]SUMMARY!A1126</f>
        <v>205</v>
      </c>
      <c r="B1125" s="17">
        <f>[1]SUMMARY!B1126</f>
        <v>55</v>
      </c>
      <c r="C1125" s="17">
        <f>[1]SUMMARY!C1126</f>
        <v>17</v>
      </c>
      <c r="D1125" s="25" t="str">
        <f>[1]SUMMARY!D1126</f>
        <v>MICHELIN</v>
      </c>
      <c r="E1125" s="25" t="str">
        <f>[1]SUMMARY!E1126</f>
        <v>PRIMACY 4ST</v>
      </c>
      <c r="F1125" s="20"/>
      <c r="G1125" s="20">
        <v>22</v>
      </c>
      <c r="H1125" s="20">
        <v>22</v>
      </c>
      <c r="I1125" s="30">
        <f t="shared" si="10"/>
        <v>0</v>
      </c>
      <c r="J1125" s="22">
        <f>[1]SUMMARY!N1126</f>
        <v>7159.2</v>
      </c>
      <c r="K1125" s="23">
        <f t="shared" si="12"/>
        <v>0</v>
      </c>
      <c r="L1125" s="8"/>
      <c r="M1125" s="8"/>
    </row>
    <row r="1126" spans="1:13" x14ac:dyDescent="0.2">
      <c r="A1126" s="17" t="str">
        <f>[1]SUMMARY!A1127</f>
        <v>205</v>
      </c>
      <c r="B1126" s="17">
        <f>[1]SUMMARY!B1127</f>
        <v>55</v>
      </c>
      <c r="C1126" s="17">
        <f>[1]SUMMARY!C1127</f>
        <v>17</v>
      </c>
      <c r="D1126" s="25" t="str">
        <f>[1]SUMMARY!D1127</f>
        <v>MICHELIN</v>
      </c>
      <c r="E1126" s="25" t="str">
        <f>[1]SUMMARY!E1127</f>
        <v>PRIMACY 5</v>
      </c>
      <c r="F1126" s="20"/>
      <c r="G1126" s="20">
        <v>2</v>
      </c>
      <c r="H1126" s="20">
        <v>2</v>
      </c>
      <c r="I1126" s="30">
        <f t="shared" si="10"/>
        <v>0</v>
      </c>
      <c r="J1126" s="22">
        <f>[1]SUMMARY!N1127</f>
        <v>7159.2</v>
      </c>
      <c r="K1126" s="23">
        <f t="shared" si="12"/>
        <v>0</v>
      </c>
      <c r="L1126" s="8"/>
      <c r="M1126" s="8"/>
    </row>
    <row r="1127" spans="1:13" x14ac:dyDescent="0.2">
      <c r="A1127" s="17" t="str">
        <f>[1]SUMMARY!A1128</f>
        <v>215</v>
      </c>
      <c r="B1127" s="17">
        <f>[1]SUMMARY!B1128</f>
        <v>55</v>
      </c>
      <c r="C1127" s="17">
        <f>[1]SUMMARY!C1128</f>
        <v>17</v>
      </c>
      <c r="D1127" s="25" t="str">
        <f>[1]SUMMARY!D1128</f>
        <v>MICHELIN</v>
      </c>
      <c r="E1127" s="25" t="str">
        <f>[1]SUMMARY!E1128</f>
        <v>PRIMACY 4ST</v>
      </c>
      <c r="F1127" s="20"/>
      <c r="G1127" s="20">
        <v>65</v>
      </c>
      <c r="H1127" s="20">
        <v>61</v>
      </c>
      <c r="I1127" s="31">
        <f t="shared" si="10"/>
        <v>4</v>
      </c>
      <c r="J1127" s="22">
        <f>[1]SUMMARY!N1128</f>
        <v>7212.4</v>
      </c>
      <c r="K1127" s="23">
        <f t="shared" si="12"/>
        <v>28849.599999999999</v>
      </c>
      <c r="L1127" s="8"/>
      <c r="M1127" s="8"/>
    </row>
    <row r="1128" spans="1:13" x14ac:dyDescent="0.2">
      <c r="A1128" s="17" t="str">
        <f>[1]SUMMARY!A1129</f>
        <v>215</v>
      </c>
      <c r="B1128" s="17">
        <f>[1]SUMMARY!B1129</f>
        <v>55</v>
      </c>
      <c r="C1128" s="17">
        <f>[1]SUMMARY!C1129</f>
        <v>17</v>
      </c>
      <c r="D1128" s="25" t="str">
        <f>[1]SUMMARY!D1129</f>
        <v>MICHELIN</v>
      </c>
      <c r="E1128" s="25" t="str">
        <f>[1]SUMMARY!E1129</f>
        <v>PILOST SPORT 5</v>
      </c>
      <c r="F1128" s="20"/>
      <c r="G1128" s="20">
        <v>4</v>
      </c>
      <c r="H1128" s="20">
        <v>4</v>
      </c>
      <c r="I1128" s="30">
        <f t="shared" si="10"/>
        <v>0</v>
      </c>
      <c r="J1128" s="22">
        <f>[1]SUMMARY!N1129</f>
        <v>9147.0300000000007</v>
      </c>
      <c r="K1128" s="23">
        <f t="shared" si="12"/>
        <v>0</v>
      </c>
      <c r="L1128" s="8"/>
      <c r="M1128" s="8"/>
    </row>
    <row r="1129" spans="1:13" x14ac:dyDescent="0.2">
      <c r="A1129" s="17">
        <f>[1]SUMMARY!A1130</f>
        <v>225</v>
      </c>
      <c r="B1129" s="17">
        <f>[1]SUMMARY!B1130</f>
        <v>55</v>
      </c>
      <c r="C1129" s="17">
        <f>[1]SUMMARY!C1130</f>
        <v>17</v>
      </c>
      <c r="D1129" s="25" t="str">
        <f>[1]SUMMARY!D1130</f>
        <v>MICHELIN</v>
      </c>
      <c r="E1129" s="25" t="str">
        <f>[1]SUMMARY!E1130</f>
        <v>SYNCHRONE</v>
      </c>
      <c r="F1129" s="20"/>
      <c r="G1129" s="20"/>
      <c r="H1129" s="20"/>
      <c r="I1129" s="30">
        <f t="shared" si="10"/>
        <v>0</v>
      </c>
      <c r="J1129" s="22">
        <f>[1]SUMMARY!N1130</f>
        <v>8049.48</v>
      </c>
      <c r="K1129" s="23">
        <f t="shared" si="12"/>
        <v>0</v>
      </c>
      <c r="L1129" s="8"/>
      <c r="M1129" s="8"/>
    </row>
    <row r="1130" spans="1:13" x14ac:dyDescent="0.2">
      <c r="A1130" s="17" t="str">
        <f>[1]SUMMARY!A1131</f>
        <v>225</v>
      </c>
      <c r="B1130" s="17">
        <f>[1]SUMMARY!B1131</f>
        <v>55</v>
      </c>
      <c r="C1130" s="17">
        <f>[1]SUMMARY!C1131</f>
        <v>17</v>
      </c>
      <c r="D1130" s="25" t="str">
        <f>[1]SUMMARY!D1131</f>
        <v>MICHELIN</v>
      </c>
      <c r="E1130" s="25" t="str">
        <f>[1]SUMMARY!E1131</f>
        <v>PRIMACY 4ST</v>
      </c>
      <c r="F1130" s="20"/>
      <c r="G1130" s="20">
        <v>24</v>
      </c>
      <c r="H1130" s="20">
        <v>20</v>
      </c>
      <c r="I1130" s="31">
        <f t="shared" si="10"/>
        <v>4</v>
      </c>
      <c r="J1130" s="22">
        <f>[1]SUMMARY!N1131</f>
        <v>7774.8</v>
      </c>
      <c r="K1130" s="23">
        <f t="shared" si="12"/>
        <v>31099.200000000001</v>
      </c>
      <c r="L1130" s="8"/>
      <c r="M1130" s="8"/>
    </row>
    <row r="1131" spans="1:13" x14ac:dyDescent="0.2">
      <c r="A1131" s="17" t="str">
        <f>[1]SUMMARY!A1132</f>
        <v>225</v>
      </c>
      <c r="B1131" s="17">
        <f>[1]SUMMARY!B1132</f>
        <v>55</v>
      </c>
      <c r="C1131" s="17">
        <f>[1]SUMMARY!C1132</f>
        <v>17</v>
      </c>
      <c r="D1131" s="25" t="str">
        <f>[1]SUMMARY!D1132</f>
        <v>MICHELIN</v>
      </c>
      <c r="E1131" s="25" t="str">
        <f>[1]SUMMARY!E1132</f>
        <v>PRIMACY 5</v>
      </c>
      <c r="F1131" s="20"/>
      <c r="G1131" s="20">
        <v>12</v>
      </c>
      <c r="H1131" s="20">
        <v>8</v>
      </c>
      <c r="I1131" s="30">
        <f t="shared" si="10"/>
        <v>4</v>
      </c>
      <c r="J1131" s="22">
        <f>[1]SUMMARY!N1132</f>
        <v>7885.47</v>
      </c>
      <c r="K1131" s="23">
        <f t="shared" si="12"/>
        <v>31541.88</v>
      </c>
      <c r="L1131" s="8"/>
      <c r="M1131" s="8"/>
    </row>
    <row r="1132" spans="1:13" x14ac:dyDescent="0.2">
      <c r="A1132" s="17" t="str">
        <f>[1]SUMMARY!A1133</f>
        <v>235</v>
      </c>
      <c r="B1132" s="17">
        <f>[1]SUMMARY!B1133</f>
        <v>55</v>
      </c>
      <c r="C1132" s="17">
        <f>[1]SUMMARY!C1133</f>
        <v>17</v>
      </c>
      <c r="D1132" s="25" t="str">
        <f>[1]SUMMARY!D1133</f>
        <v>MICHELIN</v>
      </c>
      <c r="E1132" s="25" t="str">
        <f>[1]SUMMARY!E1133</f>
        <v>PRIMACY 4ST</v>
      </c>
      <c r="F1132" s="20"/>
      <c r="G1132" s="20">
        <v>6</v>
      </c>
      <c r="H1132" s="20">
        <v>6</v>
      </c>
      <c r="I1132" s="30">
        <f t="shared" si="10"/>
        <v>0</v>
      </c>
      <c r="J1132" s="22">
        <f>[1]SUMMARY!N1133</f>
        <v>8276.4</v>
      </c>
      <c r="K1132" s="23">
        <f t="shared" si="12"/>
        <v>0</v>
      </c>
      <c r="L1132" s="8"/>
      <c r="M1132" s="8"/>
    </row>
    <row r="1133" spans="1:13" x14ac:dyDescent="0.2">
      <c r="A1133" s="17" t="str">
        <f>[1]SUMMARY!A1134</f>
        <v>215</v>
      </c>
      <c r="B1133" s="17">
        <f>[1]SUMMARY!B1134</f>
        <v>60</v>
      </c>
      <c r="C1133" s="17">
        <f>[1]SUMMARY!C1134</f>
        <v>17</v>
      </c>
      <c r="D1133" s="25" t="str">
        <f>[1]SUMMARY!D1134</f>
        <v>MICHELIN</v>
      </c>
      <c r="E1133" s="25" t="str">
        <f>[1]SUMMARY!E1134</f>
        <v>PRIMACY 4ST</v>
      </c>
      <c r="F1133" s="20"/>
      <c r="G1133" s="20">
        <v>40</v>
      </c>
      <c r="H1133" s="20">
        <v>40</v>
      </c>
      <c r="I1133" s="30">
        <f t="shared" si="10"/>
        <v>0</v>
      </c>
      <c r="J1133" s="22">
        <f>[1]SUMMARY!N1134</f>
        <v>6940.92</v>
      </c>
      <c r="K1133" s="23">
        <f t="shared" si="12"/>
        <v>0</v>
      </c>
      <c r="L1133" s="8"/>
      <c r="M1133" s="8"/>
    </row>
    <row r="1134" spans="1:13" x14ac:dyDescent="0.2">
      <c r="A1134" s="17" t="str">
        <f>[1]SUMMARY!A1135</f>
        <v>215</v>
      </c>
      <c r="B1134" s="17">
        <f>[1]SUMMARY!B1135</f>
        <v>60</v>
      </c>
      <c r="C1134" s="17">
        <f>[1]SUMMARY!C1135</f>
        <v>17</v>
      </c>
      <c r="D1134" s="25" t="str">
        <f>[1]SUMMARY!D1135</f>
        <v>MICHELIN</v>
      </c>
      <c r="E1134" s="25" t="str">
        <f>[1]SUMMARY!E1135</f>
        <v>PRIMACY 5</v>
      </c>
      <c r="F1134" s="20"/>
      <c r="G1134" s="20">
        <v>23</v>
      </c>
      <c r="H1134" s="20">
        <v>23</v>
      </c>
      <c r="I1134" s="31">
        <f t="shared" si="10"/>
        <v>0</v>
      </c>
      <c r="J1134" s="22">
        <f>[1]SUMMARY!N1135</f>
        <v>6480.41</v>
      </c>
      <c r="K1134" s="23">
        <f t="shared" si="12"/>
        <v>0</v>
      </c>
      <c r="L1134" s="8"/>
      <c r="M1134" s="8"/>
    </row>
    <row r="1135" spans="1:13" x14ac:dyDescent="0.2">
      <c r="A1135" s="17" t="str">
        <f>[1]SUMMARY!A1136</f>
        <v>225</v>
      </c>
      <c r="B1135" s="17">
        <f>[1]SUMMARY!B1136</f>
        <v>60</v>
      </c>
      <c r="C1135" s="17">
        <f>[1]SUMMARY!C1136</f>
        <v>17</v>
      </c>
      <c r="D1135" s="25" t="str">
        <f>[1]SUMMARY!D1136</f>
        <v>MICHELIN</v>
      </c>
      <c r="E1135" s="25" t="str">
        <f>[1]SUMMARY!E1136</f>
        <v>PRIMACY 4ST</v>
      </c>
      <c r="F1135" s="20"/>
      <c r="G1135" s="20">
        <v>42</v>
      </c>
      <c r="H1135" s="20">
        <v>42</v>
      </c>
      <c r="I1135" s="30">
        <f t="shared" si="10"/>
        <v>0</v>
      </c>
      <c r="J1135" s="22">
        <f>[1]SUMMARY!N1136</f>
        <v>7942</v>
      </c>
      <c r="K1135" s="23">
        <f t="shared" si="12"/>
        <v>0</v>
      </c>
      <c r="L1135" s="8"/>
      <c r="M1135" s="8"/>
    </row>
    <row r="1136" spans="1:13" x14ac:dyDescent="0.2">
      <c r="A1136" s="17" t="str">
        <f>[1]SUMMARY!A1137</f>
        <v>235</v>
      </c>
      <c r="B1136" s="17">
        <f>[1]SUMMARY!B1137</f>
        <v>60</v>
      </c>
      <c r="C1136" s="17" t="str">
        <f>[1]SUMMARY!C1137</f>
        <v>17C</v>
      </c>
      <c r="D1136" s="25" t="str">
        <f>[1]SUMMARY!D1137</f>
        <v>MICHELIN</v>
      </c>
      <c r="E1136" s="25" t="str">
        <f>[1]SUMMARY!E1137</f>
        <v>AGILIS 3</v>
      </c>
      <c r="F1136" s="20"/>
      <c r="G1136" s="20">
        <v>44</v>
      </c>
      <c r="H1136" s="20">
        <v>39</v>
      </c>
      <c r="I1136" s="31">
        <f t="shared" si="10"/>
        <v>5</v>
      </c>
      <c r="J1136" s="22">
        <f>[1]SUMMARY!N1137</f>
        <v>8056</v>
      </c>
      <c r="K1136" s="23">
        <f t="shared" si="12"/>
        <v>40280</v>
      </c>
      <c r="L1136" s="8"/>
      <c r="M1136" s="8"/>
    </row>
    <row r="1137" spans="1:13" x14ac:dyDescent="0.2">
      <c r="A1137" s="17" t="str">
        <f>[1]SUMMARY!A1138</f>
        <v>225</v>
      </c>
      <c r="B1137" s="17">
        <f>[1]SUMMARY!B1138</f>
        <v>65</v>
      </c>
      <c r="C1137" s="17">
        <f>[1]SUMMARY!C1138</f>
        <v>17</v>
      </c>
      <c r="D1137" s="25" t="str">
        <f>[1]SUMMARY!D1138</f>
        <v>MICHELIN</v>
      </c>
      <c r="E1137" s="25" t="str">
        <f>[1]SUMMARY!E1138</f>
        <v>PRIMACY SUV</v>
      </c>
      <c r="F1137" s="20"/>
      <c r="G1137" s="20">
        <v>26</v>
      </c>
      <c r="H1137" s="20">
        <v>22</v>
      </c>
      <c r="I1137" s="31">
        <f t="shared" si="10"/>
        <v>4</v>
      </c>
      <c r="J1137" s="22">
        <f>[1]SUMMARY!N1138</f>
        <v>7584.8</v>
      </c>
      <c r="K1137" s="23">
        <f t="shared" si="12"/>
        <v>30339.200000000001</v>
      </c>
      <c r="L1137" s="8"/>
      <c r="M1137" s="8"/>
    </row>
    <row r="1138" spans="1:13" x14ac:dyDescent="0.2">
      <c r="A1138" s="17" t="str">
        <f>[1]SUMMARY!A1139</f>
        <v>235</v>
      </c>
      <c r="B1138" s="17">
        <f>[1]SUMMARY!B1139</f>
        <v>65</v>
      </c>
      <c r="C1138" s="17">
        <f>[1]SUMMARY!C1139</f>
        <v>17</v>
      </c>
      <c r="D1138" s="25" t="str">
        <f>[1]SUMMARY!D1139</f>
        <v>MICHELIN</v>
      </c>
      <c r="E1138" s="25" t="str">
        <f>[1]SUMMARY!E1139</f>
        <v>LTX TRAIL</v>
      </c>
      <c r="F1138" s="20"/>
      <c r="G1138" s="20">
        <v>4</v>
      </c>
      <c r="H1138" s="20">
        <v>4</v>
      </c>
      <c r="I1138" s="30">
        <f t="shared" si="10"/>
        <v>0</v>
      </c>
      <c r="J1138" s="22">
        <f>[1]SUMMARY!N1139</f>
        <v>9800</v>
      </c>
      <c r="K1138" s="23">
        <f t="shared" si="12"/>
        <v>0</v>
      </c>
      <c r="L1138" s="8"/>
      <c r="M1138" s="8"/>
    </row>
    <row r="1139" spans="1:13" x14ac:dyDescent="0.2">
      <c r="A1139" s="17" t="str">
        <f>[1]SUMMARY!A1140</f>
        <v>235</v>
      </c>
      <c r="B1139" s="17">
        <f>[1]SUMMARY!B1140</f>
        <v>65</v>
      </c>
      <c r="C1139" s="17">
        <f>[1]SUMMARY!C1140</f>
        <v>17</v>
      </c>
      <c r="D1139" s="25" t="str">
        <f>[1]SUMMARY!D1140</f>
        <v>MICHELIN</v>
      </c>
      <c r="E1139" s="25" t="str">
        <f>[1]SUMMARY!E1140</f>
        <v>PRIMACY SUV+</v>
      </c>
      <c r="F1139" s="20"/>
      <c r="G1139" s="20">
        <v>22</v>
      </c>
      <c r="H1139" s="20">
        <v>18</v>
      </c>
      <c r="I1139" s="30">
        <f t="shared" si="10"/>
        <v>4</v>
      </c>
      <c r="J1139" s="22">
        <f>[1]SUMMARY!N1140</f>
        <v>9069.2099999999991</v>
      </c>
      <c r="K1139" s="23">
        <f t="shared" si="12"/>
        <v>36276.839999999997</v>
      </c>
      <c r="L1139" s="8"/>
      <c r="M1139" s="8"/>
    </row>
    <row r="1140" spans="1:13" x14ac:dyDescent="0.2">
      <c r="A1140" s="17" t="str">
        <f>[1]SUMMARY!A1141</f>
        <v>265</v>
      </c>
      <c r="B1140" s="17">
        <f>[1]SUMMARY!B1141</f>
        <v>65</v>
      </c>
      <c r="C1140" s="17">
        <f>[1]SUMMARY!C1141</f>
        <v>17</v>
      </c>
      <c r="D1140" s="25" t="str">
        <f>[1]SUMMARY!D1141</f>
        <v>MICHELIN</v>
      </c>
      <c r="E1140" s="25" t="str">
        <f>[1]SUMMARY!E1141</f>
        <v>CROSS TERRAIN</v>
      </c>
      <c r="F1140" s="20"/>
      <c r="G1140" s="20">
        <v>1</v>
      </c>
      <c r="H1140" s="20">
        <v>1</v>
      </c>
      <c r="I1140" s="30">
        <f t="shared" si="10"/>
        <v>0</v>
      </c>
      <c r="J1140" s="22">
        <f>[1]SUMMARY!N1141</f>
        <v>10430</v>
      </c>
      <c r="K1140" s="23">
        <f t="shared" si="12"/>
        <v>0</v>
      </c>
      <c r="L1140" s="8"/>
      <c r="M1140" s="8"/>
    </row>
    <row r="1141" spans="1:13" x14ac:dyDescent="0.2">
      <c r="A1141" s="17" t="str">
        <f>[1]SUMMARY!A1142</f>
        <v>265</v>
      </c>
      <c r="B1141" s="17">
        <f>[1]SUMMARY!B1142</f>
        <v>65</v>
      </c>
      <c r="C1141" s="17">
        <f>[1]SUMMARY!C1142</f>
        <v>17</v>
      </c>
      <c r="D1141" s="25" t="str">
        <f>[1]SUMMARY!D1142</f>
        <v>MICHELIN</v>
      </c>
      <c r="E1141" s="25" t="str">
        <f>[1]SUMMARY!E1142</f>
        <v>LTX TRAIL</v>
      </c>
      <c r="F1141" s="20"/>
      <c r="G1141" s="20">
        <v>79</v>
      </c>
      <c r="H1141" s="20">
        <v>75</v>
      </c>
      <c r="I1141" s="31">
        <f t="shared" si="10"/>
        <v>4</v>
      </c>
      <c r="J1141" s="22">
        <f>[1]SUMMARY!N1142</f>
        <v>9695.6299999999992</v>
      </c>
      <c r="K1141" s="23">
        <f t="shared" si="12"/>
        <v>38782.519999999997</v>
      </c>
      <c r="L1141" s="8"/>
      <c r="M1141" s="8"/>
    </row>
    <row r="1142" spans="1:13" x14ac:dyDescent="0.2">
      <c r="A1142" s="17" t="str">
        <f>[1]SUMMARY!A1143</f>
        <v>265</v>
      </c>
      <c r="B1142" s="17">
        <f>[1]SUMMARY!B1143</f>
        <v>65</v>
      </c>
      <c r="C1142" s="17">
        <f>[1]SUMMARY!C1143</f>
        <v>17</v>
      </c>
      <c r="D1142" s="25" t="str">
        <f>[1]SUMMARY!D1143</f>
        <v>MICHELIN</v>
      </c>
      <c r="E1142" s="25" t="str">
        <f>[1]SUMMARY!E1143</f>
        <v>PRIMACY SUV H/T</v>
      </c>
      <c r="F1142" s="20">
        <v>4</v>
      </c>
      <c r="G1142" s="20">
        <v>24</v>
      </c>
      <c r="H1142" s="20">
        <v>28</v>
      </c>
      <c r="I1142" s="30">
        <f t="shared" si="10"/>
        <v>0</v>
      </c>
      <c r="J1142" s="22">
        <f>[1]SUMMARY!N1143</f>
        <v>7562</v>
      </c>
      <c r="K1142" s="23">
        <f t="shared" si="12"/>
        <v>0</v>
      </c>
      <c r="L1142" s="8"/>
      <c r="M1142" s="8"/>
    </row>
    <row r="1143" spans="1:13" x14ac:dyDescent="0.2">
      <c r="A1143" s="17" t="str">
        <f>[1]SUMMARY!A1144</f>
        <v>265</v>
      </c>
      <c r="B1143" s="17">
        <f>[1]SUMMARY!B1144</f>
        <v>65</v>
      </c>
      <c r="C1143" s="17">
        <f>[1]SUMMARY!C1144</f>
        <v>17</v>
      </c>
      <c r="D1143" s="25" t="str">
        <f>[1]SUMMARY!D1144</f>
        <v>MICHELIN</v>
      </c>
      <c r="E1143" s="25" t="str">
        <f>[1]SUMMARY!E1144</f>
        <v>PRIMACY SUV+</v>
      </c>
      <c r="F1143" s="20"/>
      <c r="G1143" s="20">
        <v>187</v>
      </c>
      <c r="H1143" s="20">
        <v>168</v>
      </c>
      <c r="I1143" s="31">
        <f t="shared" si="10"/>
        <v>19</v>
      </c>
      <c r="J1143" s="22">
        <f>[1]SUMMARY!N1144</f>
        <v>7790</v>
      </c>
      <c r="K1143" s="23">
        <f t="shared" si="12"/>
        <v>148010</v>
      </c>
      <c r="L1143" s="8"/>
      <c r="M1143" s="8"/>
    </row>
    <row r="1144" spans="1:13" x14ac:dyDescent="0.2">
      <c r="A1144" s="17" t="str">
        <f>[1]SUMMARY!A1145</f>
        <v>245</v>
      </c>
      <c r="B1144" s="17">
        <f>[1]SUMMARY!B1145</f>
        <v>35</v>
      </c>
      <c r="C1144" s="17">
        <f>[1]SUMMARY!C1145</f>
        <v>18</v>
      </c>
      <c r="D1144" s="25" t="str">
        <f>[1]SUMMARY!D1145</f>
        <v>MICHELIN</v>
      </c>
      <c r="E1144" s="25" t="str">
        <f>[1]SUMMARY!E1145</f>
        <v>PILOT SPORT 5</v>
      </c>
      <c r="F1144" s="20"/>
      <c r="G1144" s="20"/>
      <c r="H1144" s="20"/>
      <c r="I1144" s="30">
        <f t="shared" si="10"/>
        <v>0</v>
      </c>
      <c r="J1144" s="22">
        <f>[1]SUMMARY!N1145</f>
        <v>11244</v>
      </c>
      <c r="K1144" s="23">
        <f t="shared" si="12"/>
        <v>0</v>
      </c>
      <c r="L1144" s="8"/>
      <c r="M1144" s="8"/>
    </row>
    <row r="1145" spans="1:13" x14ac:dyDescent="0.2">
      <c r="A1145" s="17" t="str">
        <f>[1]SUMMARY!A1146</f>
        <v>255</v>
      </c>
      <c r="B1145" s="17">
        <f>[1]SUMMARY!B1146</f>
        <v>35</v>
      </c>
      <c r="C1145" s="17">
        <f>[1]SUMMARY!C1146</f>
        <v>18</v>
      </c>
      <c r="D1145" s="25" t="str">
        <f>[1]SUMMARY!D1146</f>
        <v>MICHELIN</v>
      </c>
      <c r="E1145" s="25" t="str">
        <f>[1]SUMMARY!E1146</f>
        <v>PILOT SPORT 5</v>
      </c>
      <c r="F1145" s="20"/>
      <c r="G1145" s="20"/>
      <c r="H1145" s="20"/>
      <c r="I1145" s="30">
        <f t="shared" si="10"/>
        <v>0</v>
      </c>
      <c r="J1145" s="22">
        <f>[1]SUMMARY!N1146</f>
        <v>10282.799999999999</v>
      </c>
      <c r="K1145" s="23">
        <f t="shared" si="12"/>
        <v>0</v>
      </c>
      <c r="L1145" s="8"/>
      <c r="M1145" s="8"/>
    </row>
    <row r="1146" spans="1:13" x14ac:dyDescent="0.2">
      <c r="A1146" s="17" t="str">
        <f>[1]SUMMARY!A1147</f>
        <v>265</v>
      </c>
      <c r="B1146" s="17">
        <f>[1]SUMMARY!B1147</f>
        <v>35</v>
      </c>
      <c r="C1146" s="17">
        <f>[1]SUMMARY!C1147</f>
        <v>18</v>
      </c>
      <c r="D1146" s="25" t="str">
        <f>[1]SUMMARY!D1147</f>
        <v>MICHELIN</v>
      </c>
      <c r="E1146" s="25" t="str">
        <f>[1]SUMMARY!E1147</f>
        <v>PILOT SPORT 5</v>
      </c>
      <c r="F1146" s="20"/>
      <c r="G1146" s="20"/>
      <c r="H1146" s="20"/>
      <c r="I1146" s="30">
        <f t="shared" si="10"/>
        <v>0</v>
      </c>
      <c r="J1146" s="22">
        <f>[1]SUMMARY!N1147</f>
        <v>10362</v>
      </c>
      <c r="K1146" s="23">
        <f t="shared" si="12"/>
        <v>0</v>
      </c>
      <c r="L1146" s="8"/>
      <c r="M1146" s="8"/>
    </row>
    <row r="1147" spans="1:13" x14ac:dyDescent="0.2">
      <c r="A1147" s="17" t="str">
        <f>[1]SUMMARY!A1148</f>
        <v>215</v>
      </c>
      <c r="B1147" s="17">
        <f>[1]SUMMARY!B1148</f>
        <v>40</v>
      </c>
      <c r="C1147" s="17">
        <f>[1]SUMMARY!C1148</f>
        <v>18</v>
      </c>
      <c r="D1147" s="25" t="str">
        <f>[1]SUMMARY!D1148</f>
        <v>MICHELIN</v>
      </c>
      <c r="E1147" s="25" t="str">
        <f>[1]SUMMARY!E1148</f>
        <v>PILOT SPORT 5</v>
      </c>
      <c r="F1147" s="20"/>
      <c r="G1147" s="20">
        <v>6</v>
      </c>
      <c r="H1147" s="20">
        <v>6</v>
      </c>
      <c r="I1147" s="30">
        <f t="shared" si="10"/>
        <v>0</v>
      </c>
      <c r="J1147" s="22">
        <f>[1]SUMMARY!N1148</f>
        <v>9135.2000000000007</v>
      </c>
      <c r="K1147" s="23">
        <f t="shared" si="12"/>
        <v>0</v>
      </c>
      <c r="L1147" s="8"/>
      <c r="M1147" s="8"/>
    </row>
    <row r="1148" spans="1:13" x14ac:dyDescent="0.2">
      <c r="A1148" s="17" t="str">
        <f>[1]SUMMARY!A1149</f>
        <v>225</v>
      </c>
      <c r="B1148" s="17">
        <f>[1]SUMMARY!B1149</f>
        <v>40</v>
      </c>
      <c r="C1148" s="17">
        <f>[1]SUMMARY!C1149</f>
        <v>18</v>
      </c>
      <c r="D1148" s="25" t="str">
        <f>[1]SUMMARY!D1149</f>
        <v>MICHELIN</v>
      </c>
      <c r="E1148" s="25" t="str">
        <f>[1]SUMMARY!E1149</f>
        <v>PILOT SPORT 5</v>
      </c>
      <c r="F1148" s="20"/>
      <c r="G1148" s="20"/>
      <c r="H1148" s="20"/>
      <c r="I1148" s="30">
        <f t="shared" si="10"/>
        <v>0</v>
      </c>
      <c r="J1148" s="22">
        <f>[1]SUMMARY!N1149</f>
        <v>10997.2</v>
      </c>
      <c r="K1148" s="23">
        <f t="shared" si="12"/>
        <v>0</v>
      </c>
      <c r="L1148" s="8"/>
      <c r="M1148" s="8"/>
    </row>
    <row r="1149" spans="1:13" x14ac:dyDescent="0.2">
      <c r="A1149" s="17" t="str">
        <f>[1]SUMMARY!A1150</f>
        <v>235</v>
      </c>
      <c r="B1149" s="17">
        <f>[1]SUMMARY!B1150</f>
        <v>40</v>
      </c>
      <c r="C1149" s="17">
        <f>[1]SUMMARY!C1150</f>
        <v>18</v>
      </c>
      <c r="D1149" s="25" t="str">
        <f>[1]SUMMARY!D1150</f>
        <v>MICHELIN</v>
      </c>
      <c r="E1149" s="25" t="str">
        <f>[1]SUMMARY!E1150</f>
        <v>PILOT SPORT 5</v>
      </c>
      <c r="F1149" s="20"/>
      <c r="G1149" s="20">
        <v>7</v>
      </c>
      <c r="H1149" s="20">
        <v>7</v>
      </c>
      <c r="I1149" s="30">
        <f t="shared" si="10"/>
        <v>0</v>
      </c>
      <c r="J1149" s="22">
        <f>[1]SUMMARY!N1150</f>
        <v>9348</v>
      </c>
      <c r="K1149" s="23">
        <f t="shared" si="12"/>
        <v>0</v>
      </c>
      <c r="L1149" s="8"/>
      <c r="M1149" s="8"/>
    </row>
    <row r="1150" spans="1:13" x14ac:dyDescent="0.2">
      <c r="A1150" s="17" t="str">
        <f>[1]SUMMARY!A1151</f>
        <v>245</v>
      </c>
      <c r="B1150" s="17">
        <f>[1]SUMMARY!B1151</f>
        <v>40</v>
      </c>
      <c r="C1150" s="17">
        <f>[1]SUMMARY!C1151</f>
        <v>18</v>
      </c>
      <c r="D1150" s="25" t="str">
        <f>[1]SUMMARY!D1151</f>
        <v>MICHELIN</v>
      </c>
      <c r="E1150" s="25" t="str">
        <f>[1]SUMMARY!E1151</f>
        <v>PILOT SPORT 5</v>
      </c>
      <c r="F1150" s="20"/>
      <c r="G1150" s="20"/>
      <c r="H1150" s="20"/>
      <c r="I1150" s="30">
        <f t="shared" si="10"/>
        <v>0</v>
      </c>
      <c r="J1150" s="22">
        <f>[1]SUMMARY!N1151</f>
        <v>10510.8</v>
      </c>
      <c r="K1150" s="23">
        <f t="shared" si="12"/>
        <v>0</v>
      </c>
      <c r="L1150" s="8"/>
      <c r="M1150" s="8"/>
    </row>
    <row r="1151" spans="1:13" x14ac:dyDescent="0.2">
      <c r="A1151" s="17" t="str">
        <f>[1]SUMMARY!A1152</f>
        <v>215</v>
      </c>
      <c r="B1151" s="17">
        <f>[1]SUMMARY!B1152</f>
        <v>45</v>
      </c>
      <c r="C1151" s="17">
        <f>[1]SUMMARY!C1152</f>
        <v>18</v>
      </c>
      <c r="D1151" s="25" t="str">
        <f>[1]SUMMARY!D1152</f>
        <v>MICHELIN</v>
      </c>
      <c r="E1151" s="25" t="str">
        <f>[1]SUMMARY!E1152</f>
        <v>PILOT SPORT 5</v>
      </c>
      <c r="F1151" s="20"/>
      <c r="G1151" s="20">
        <v>7</v>
      </c>
      <c r="H1151" s="20">
        <v>7</v>
      </c>
      <c r="I1151" s="30">
        <f t="shared" si="10"/>
        <v>0</v>
      </c>
      <c r="J1151" s="22">
        <f>[1]SUMMARY!N1152</f>
        <v>11187.2</v>
      </c>
      <c r="K1151" s="23">
        <f t="shared" si="12"/>
        <v>0</v>
      </c>
      <c r="L1151" s="8"/>
      <c r="M1151" s="8"/>
    </row>
    <row r="1152" spans="1:13" x14ac:dyDescent="0.2">
      <c r="A1152" s="17" t="str">
        <f>[1]SUMMARY!A1153</f>
        <v>215</v>
      </c>
      <c r="B1152" s="17">
        <f>[1]SUMMARY!B1153</f>
        <v>45</v>
      </c>
      <c r="C1152" s="17">
        <f>[1]SUMMARY!C1153</f>
        <v>18</v>
      </c>
      <c r="D1152" s="25" t="str">
        <f>[1]SUMMARY!D1153</f>
        <v>MICHELIN</v>
      </c>
      <c r="E1152" s="25" t="str">
        <f>[1]SUMMARY!E1153</f>
        <v>PRIMACY 4ST</v>
      </c>
      <c r="F1152" s="20"/>
      <c r="G1152" s="20">
        <v>4</v>
      </c>
      <c r="H1152" s="20">
        <v>4</v>
      </c>
      <c r="I1152" s="31">
        <f t="shared" si="10"/>
        <v>0</v>
      </c>
      <c r="J1152" s="22">
        <f>[1]SUMMARY!N1153</f>
        <v>7088.63</v>
      </c>
      <c r="K1152" s="23">
        <f t="shared" si="12"/>
        <v>0</v>
      </c>
      <c r="L1152" s="8"/>
      <c r="M1152" s="8"/>
    </row>
    <row r="1153" spans="1:13" x14ac:dyDescent="0.2">
      <c r="A1153" s="17" t="str">
        <f>[1]SUMMARY!A1154</f>
        <v>225</v>
      </c>
      <c r="B1153" s="17">
        <f>[1]SUMMARY!B1154</f>
        <v>45</v>
      </c>
      <c r="C1153" s="17">
        <f>[1]SUMMARY!C1154</f>
        <v>18</v>
      </c>
      <c r="D1153" s="25" t="str">
        <f>[1]SUMMARY!D1154</f>
        <v>MICHELIN</v>
      </c>
      <c r="E1153" s="25" t="str">
        <f>[1]SUMMARY!E1154</f>
        <v>PILOT SPORT 5</v>
      </c>
      <c r="F1153" s="20"/>
      <c r="G1153" s="20">
        <v>10</v>
      </c>
      <c r="H1153" s="20">
        <v>10</v>
      </c>
      <c r="I1153" s="30">
        <f t="shared" si="10"/>
        <v>0</v>
      </c>
      <c r="J1153" s="22">
        <f>[1]SUMMARY!N1154</f>
        <v>10313.200000000001</v>
      </c>
      <c r="K1153" s="23">
        <f t="shared" si="12"/>
        <v>0</v>
      </c>
      <c r="L1153" s="8"/>
      <c r="M1153" s="8"/>
    </row>
    <row r="1154" spans="1:13" x14ac:dyDescent="0.2">
      <c r="A1154" s="17" t="str">
        <f>[1]SUMMARY!A1155</f>
        <v>225</v>
      </c>
      <c r="B1154" s="17">
        <f>[1]SUMMARY!B1155</f>
        <v>45</v>
      </c>
      <c r="C1154" s="17">
        <f>[1]SUMMARY!C1155</f>
        <v>18</v>
      </c>
      <c r="D1154" s="25" t="str">
        <f>[1]SUMMARY!D1155</f>
        <v>MICHELIN</v>
      </c>
      <c r="E1154" s="25" t="str">
        <f>[1]SUMMARY!E1155</f>
        <v>PRIMACY 3 ZP</v>
      </c>
      <c r="F1154" s="20"/>
      <c r="G1154" s="20"/>
      <c r="H1154" s="20"/>
      <c r="I1154" s="30">
        <f t="shared" si="10"/>
        <v>0</v>
      </c>
      <c r="J1154" s="22">
        <f>[1]SUMMARY!N1155</f>
        <v>11286</v>
      </c>
      <c r="K1154" s="23">
        <f t="shared" si="12"/>
        <v>0</v>
      </c>
      <c r="L1154" s="8"/>
      <c r="M1154" s="8"/>
    </row>
    <row r="1155" spans="1:13" x14ac:dyDescent="0.2">
      <c r="A1155" s="17" t="str">
        <f>[1]SUMMARY!A1156</f>
        <v>235</v>
      </c>
      <c r="B1155" s="17">
        <f>[1]SUMMARY!B1156</f>
        <v>45</v>
      </c>
      <c r="C1155" s="17">
        <f>[1]SUMMARY!C1156</f>
        <v>18</v>
      </c>
      <c r="D1155" s="25" t="str">
        <f>[1]SUMMARY!D1156</f>
        <v>MICHELIN</v>
      </c>
      <c r="E1155" s="25" t="str">
        <f>[1]SUMMARY!E1156</f>
        <v>PILOT SPORT 5</v>
      </c>
      <c r="F1155" s="20"/>
      <c r="G1155" s="20"/>
      <c r="H1155" s="20"/>
      <c r="I1155" s="30">
        <f t="shared" si="10"/>
        <v>0</v>
      </c>
      <c r="J1155" s="22">
        <f>[1]SUMMARY!N1156</f>
        <v>9811.6</v>
      </c>
      <c r="K1155" s="23">
        <f t="shared" si="12"/>
        <v>0</v>
      </c>
      <c r="L1155" s="8"/>
      <c r="M1155" s="8"/>
    </row>
    <row r="1156" spans="1:13" x14ac:dyDescent="0.2">
      <c r="A1156" s="17" t="str">
        <f>[1]SUMMARY!A1157</f>
        <v>245</v>
      </c>
      <c r="B1156" s="17">
        <f>[1]SUMMARY!B1157</f>
        <v>45</v>
      </c>
      <c r="C1156" s="17">
        <f>[1]SUMMARY!C1157</f>
        <v>18</v>
      </c>
      <c r="D1156" s="25" t="str">
        <f>[1]SUMMARY!D1157</f>
        <v>MICHELIN</v>
      </c>
      <c r="E1156" s="25" t="str">
        <f>[1]SUMMARY!E1157</f>
        <v>PRIMACY 3 ZP</v>
      </c>
      <c r="F1156" s="20"/>
      <c r="G1156" s="20"/>
      <c r="H1156" s="20"/>
      <c r="I1156" s="30">
        <f t="shared" si="10"/>
        <v>0</v>
      </c>
      <c r="J1156" s="22">
        <f>[1]SUMMARY!N1157</f>
        <v>15800</v>
      </c>
      <c r="K1156" s="23">
        <f t="shared" si="12"/>
        <v>0</v>
      </c>
      <c r="L1156" s="8"/>
      <c r="M1156" s="8"/>
    </row>
    <row r="1157" spans="1:13" x14ac:dyDescent="0.2">
      <c r="A1157" s="17" t="str">
        <f>[1]SUMMARY!A1158</f>
        <v>225</v>
      </c>
      <c r="B1157" s="17">
        <f>[1]SUMMARY!B1158</f>
        <v>50</v>
      </c>
      <c r="C1157" s="17">
        <f>[1]SUMMARY!C1158</f>
        <v>18</v>
      </c>
      <c r="D1157" s="25" t="str">
        <f>[1]SUMMARY!D1158</f>
        <v>MICHELIN</v>
      </c>
      <c r="E1157" s="25" t="str">
        <f>[1]SUMMARY!E1158</f>
        <v>PRIMACY 4ST</v>
      </c>
      <c r="F1157" s="20"/>
      <c r="G1157" s="20">
        <v>5</v>
      </c>
      <c r="H1157" s="20">
        <v>5</v>
      </c>
      <c r="I1157" s="30">
        <f t="shared" si="10"/>
        <v>0</v>
      </c>
      <c r="J1157" s="22">
        <f>[1]SUMMARY!N1158</f>
        <v>7969.61</v>
      </c>
      <c r="K1157" s="23">
        <f t="shared" si="12"/>
        <v>0</v>
      </c>
      <c r="L1157" s="8"/>
      <c r="M1157" s="8"/>
    </row>
    <row r="1158" spans="1:13" x14ac:dyDescent="0.2">
      <c r="A1158" s="17" t="str">
        <f>[1]SUMMARY!A1159</f>
        <v>225</v>
      </c>
      <c r="B1158" s="17">
        <f>[1]SUMMARY!B1159</f>
        <v>50</v>
      </c>
      <c r="C1158" s="17">
        <f>[1]SUMMARY!C1159</f>
        <v>18</v>
      </c>
      <c r="D1158" s="25" t="str">
        <f>[1]SUMMARY!D1159</f>
        <v>MICHELIN</v>
      </c>
      <c r="E1158" s="25" t="str">
        <f>[1]SUMMARY!E1159</f>
        <v>PRIMACY 5</v>
      </c>
      <c r="F1158" s="20"/>
      <c r="G1158" s="20">
        <v>2</v>
      </c>
      <c r="H1158" s="20">
        <v>2</v>
      </c>
      <c r="I1158" s="30">
        <f t="shared" si="10"/>
        <v>0</v>
      </c>
      <c r="J1158" s="22">
        <f>[1]SUMMARY!N1159</f>
        <v>7790</v>
      </c>
      <c r="K1158" s="23">
        <f t="shared" si="12"/>
        <v>0</v>
      </c>
      <c r="L1158" s="8"/>
      <c r="M1158" s="8"/>
    </row>
    <row r="1159" spans="1:13" x14ac:dyDescent="0.2">
      <c r="A1159" s="17" t="str">
        <f>[1]SUMMARY!A1160</f>
        <v>235</v>
      </c>
      <c r="B1159" s="17">
        <f>[1]SUMMARY!B1160</f>
        <v>50</v>
      </c>
      <c r="C1159" s="17">
        <f>[1]SUMMARY!C1160</f>
        <v>18</v>
      </c>
      <c r="D1159" s="25" t="str">
        <f>[1]SUMMARY!D1160</f>
        <v>MICHELIN</v>
      </c>
      <c r="E1159" s="25" t="str">
        <f>[1]SUMMARY!E1160</f>
        <v>PRIMACY 4ST</v>
      </c>
      <c r="F1159" s="20"/>
      <c r="G1159" s="20">
        <v>79</v>
      </c>
      <c r="H1159" s="20">
        <v>79</v>
      </c>
      <c r="I1159" s="30">
        <f t="shared" si="10"/>
        <v>0</v>
      </c>
      <c r="J1159" s="22">
        <f>[1]SUMMARY!N1160</f>
        <v>8866.48</v>
      </c>
      <c r="K1159" s="23">
        <f t="shared" si="12"/>
        <v>0</v>
      </c>
      <c r="L1159" s="8"/>
      <c r="M1159" s="8"/>
    </row>
    <row r="1160" spans="1:13" x14ac:dyDescent="0.2">
      <c r="A1160" s="17" t="str">
        <f>[1]SUMMARY!A1161</f>
        <v>235</v>
      </c>
      <c r="B1160" s="17">
        <f>[1]SUMMARY!B1161</f>
        <v>50</v>
      </c>
      <c r="C1160" s="17">
        <f>[1]SUMMARY!C1161</f>
        <v>18</v>
      </c>
      <c r="D1160" s="25" t="str">
        <f>[1]SUMMARY!D1161</f>
        <v>MICHELIN</v>
      </c>
      <c r="E1160" s="25" t="str">
        <f>[1]SUMMARY!E1161</f>
        <v>PRIMACY 5</v>
      </c>
      <c r="F1160" s="20"/>
      <c r="G1160" s="20">
        <v>31</v>
      </c>
      <c r="H1160" s="20">
        <v>24</v>
      </c>
      <c r="I1160" s="31">
        <f t="shared" si="10"/>
        <v>7</v>
      </c>
      <c r="J1160" s="22">
        <f>[1]SUMMARY!N1161</f>
        <v>8246</v>
      </c>
      <c r="K1160" s="23">
        <f t="shared" si="12"/>
        <v>57722</v>
      </c>
      <c r="L1160" s="8"/>
      <c r="M1160" s="8"/>
    </row>
    <row r="1161" spans="1:13" x14ac:dyDescent="0.2">
      <c r="A1161" s="17" t="str">
        <f>[1]SUMMARY!A1162</f>
        <v>215</v>
      </c>
      <c r="B1161" s="17">
        <f>[1]SUMMARY!B1162</f>
        <v>55</v>
      </c>
      <c r="C1161" s="17">
        <f>[1]SUMMARY!C1162</f>
        <v>18</v>
      </c>
      <c r="D1161" s="25" t="str">
        <f>[1]SUMMARY!D1162</f>
        <v>MICHELIN</v>
      </c>
      <c r="E1161" s="25" t="str">
        <f>[1]SUMMARY!E1162</f>
        <v>PRIMACY 4ST</v>
      </c>
      <c r="F1161" s="20"/>
      <c r="G1161" s="20">
        <v>13</v>
      </c>
      <c r="H1161" s="20">
        <v>11</v>
      </c>
      <c r="I1161" s="31">
        <f t="shared" si="10"/>
        <v>2</v>
      </c>
      <c r="J1161" s="22">
        <f>[1]SUMMARY!N1162</f>
        <v>9264.4</v>
      </c>
      <c r="K1161" s="23">
        <f t="shared" si="12"/>
        <v>18528.8</v>
      </c>
      <c r="L1161" s="8"/>
      <c r="M1161" s="8"/>
    </row>
    <row r="1162" spans="1:13" x14ac:dyDescent="0.2">
      <c r="A1162" s="17" t="str">
        <f>[1]SUMMARY!A1163</f>
        <v>215</v>
      </c>
      <c r="B1162" s="17">
        <f>[1]SUMMARY!B1163</f>
        <v>55</v>
      </c>
      <c r="C1162" s="17">
        <f>[1]SUMMARY!C1163</f>
        <v>18</v>
      </c>
      <c r="D1162" s="25" t="str">
        <f>[1]SUMMARY!D1163</f>
        <v>MICHELIN</v>
      </c>
      <c r="E1162" s="25" t="str">
        <f>[1]SUMMARY!E1163</f>
        <v>PRIMACY 5</v>
      </c>
      <c r="F1162" s="20"/>
      <c r="G1162" s="20">
        <v>17</v>
      </c>
      <c r="H1162" s="20">
        <v>13</v>
      </c>
      <c r="I1162" s="31">
        <f t="shared" si="10"/>
        <v>4</v>
      </c>
      <c r="J1162" s="22">
        <f>[1]SUMMARY!N1163</f>
        <v>9264.4</v>
      </c>
      <c r="K1162" s="23">
        <f t="shared" si="12"/>
        <v>37057.599999999999</v>
      </c>
      <c r="L1162" s="8"/>
      <c r="M1162" s="8"/>
    </row>
    <row r="1163" spans="1:13" x14ac:dyDescent="0.2">
      <c r="A1163" s="17" t="str">
        <f>[1]SUMMARY!A1164</f>
        <v>225</v>
      </c>
      <c r="B1163" s="17">
        <f>[1]SUMMARY!B1164</f>
        <v>55</v>
      </c>
      <c r="C1163" s="17">
        <f>[1]SUMMARY!C1164</f>
        <v>18</v>
      </c>
      <c r="D1163" s="25" t="str">
        <f>[1]SUMMARY!D1164</f>
        <v>MICHELIN</v>
      </c>
      <c r="E1163" s="25" t="str">
        <f>[1]SUMMARY!E1164</f>
        <v>PRIMACY 5</v>
      </c>
      <c r="F1163" s="20"/>
      <c r="G1163" s="20">
        <v>4</v>
      </c>
      <c r="H1163" s="20">
        <v>4</v>
      </c>
      <c r="I1163" s="30">
        <f t="shared" si="10"/>
        <v>0</v>
      </c>
      <c r="J1163" s="22">
        <f>[1]SUMMARY!N1164</f>
        <v>7866</v>
      </c>
      <c r="K1163" s="23">
        <f t="shared" si="12"/>
        <v>0</v>
      </c>
      <c r="L1163" s="8"/>
      <c r="M1163" s="8"/>
    </row>
    <row r="1164" spans="1:13" x14ac:dyDescent="0.2">
      <c r="A1164" s="17" t="str">
        <f>[1]SUMMARY!A1165</f>
        <v>235</v>
      </c>
      <c r="B1164" s="17">
        <f>[1]SUMMARY!B1165</f>
        <v>55</v>
      </c>
      <c r="C1164" s="17">
        <f>[1]SUMMARY!C1165</f>
        <v>18</v>
      </c>
      <c r="D1164" s="25" t="str">
        <f>[1]SUMMARY!D1165</f>
        <v>MICHELIN</v>
      </c>
      <c r="E1164" s="25" t="str">
        <f>[1]SUMMARY!E1165</f>
        <v>PRIMACY SUV+</v>
      </c>
      <c r="F1164" s="20"/>
      <c r="G1164" s="20">
        <v>4</v>
      </c>
      <c r="H1164" s="20">
        <v>4</v>
      </c>
      <c r="I1164" s="30">
        <f t="shared" si="10"/>
        <v>0</v>
      </c>
      <c r="J1164" s="22">
        <f>[1]SUMMARY!N1165</f>
        <v>8112</v>
      </c>
      <c r="K1164" s="23">
        <f t="shared" si="12"/>
        <v>0</v>
      </c>
      <c r="L1164" s="8"/>
      <c r="M1164" s="8"/>
    </row>
    <row r="1165" spans="1:13" x14ac:dyDescent="0.2">
      <c r="A1165" s="17" t="str">
        <f>[1]SUMMARY!A1166</f>
        <v>235</v>
      </c>
      <c r="B1165" s="17">
        <f>[1]SUMMARY!B1166</f>
        <v>55</v>
      </c>
      <c r="C1165" s="17">
        <f>[1]SUMMARY!C1166</f>
        <v>18</v>
      </c>
      <c r="D1165" s="25" t="str">
        <f>[1]SUMMARY!D1166</f>
        <v>MICHELIN</v>
      </c>
      <c r="E1165" s="25" t="str">
        <f>[1]SUMMARY!E1166</f>
        <v>PRIMACY 5</v>
      </c>
      <c r="F1165" s="20"/>
      <c r="G1165" s="20">
        <v>4</v>
      </c>
      <c r="H1165" s="20">
        <v>4</v>
      </c>
      <c r="I1165" s="30">
        <f t="shared" si="10"/>
        <v>0</v>
      </c>
      <c r="J1165" s="22">
        <f>[1]SUMMARY!N1166</f>
        <v>8056</v>
      </c>
      <c r="K1165" s="23">
        <f t="shared" si="12"/>
        <v>0</v>
      </c>
      <c r="L1165" s="8"/>
      <c r="M1165" s="8"/>
    </row>
    <row r="1166" spans="1:13" x14ac:dyDescent="0.2">
      <c r="A1166" s="17" t="str">
        <f>[1]SUMMARY!A1167</f>
        <v>235</v>
      </c>
      <c r="B1166" s="17">
        <f>[1]SUMMARY!B1167</f>
        <v>55</v>
      </c>
      <c r="C1166" s="17">
        <f>[1]SUMMARY!C1167</f>
        <v>18</v>
      </c>
      <c r="D1166" s="25" t="str">
        <f>[1]SUMMARY!D1167</f>
        <v>MICHELIN</v>
      </c>
      <c r="E1166" s="25" t="str">
        <f>[1]SUMMARY!E1167</f>
        <v>LATTITUDE SPORT 3</v>
      </c>
      <c r="F1166" s="20"/>
      <c r="G1166" s="20">
        <v>2</v>
      </c>
      <c r="H1166" s="20">
        <v>2</v>
      </c>
      <c r="I1166" s="30">
        <f t="shared" si="10"/>
        <v>0</v>
      </c>
      <c r="J1166" s="22">
        <f>[1]SUMMARY!N1167</f>
        <v>9994</v>
      </c>
      <c r="K1166" s="23">
        <f t="shared" si="12"/>
        <v>0</v>
      </c>
      <c r="L1166" s="8"/>
      <c r="M1166" s="8"/>
    </row>
    <row r="1167" spans="1:13" x14ac:dyDescent="0.2">
      <c r="A1167" s="17" t="str">
        <f>[1]SUMMARY!A1168</f>
        <v>225</v>
      </c>
      <c r="B1167" s="17">
        <f>[1]SUMMARY!B1168</f>
        <v>60</v>
      </c>
      <c r="C1167" s="17">
        <f>[1]SUMMARY!C1168</f>
        <v>18</v>
      </c>
      <c r="D1167" s="25" t="str">
        <f>[1]SUMMARY!D1168</f>
        <v>MICHELIN</v>
      </c>
      <c r="E1167" s="25" t="str">
        <f>[1]SUMMARY!E1168</f>
        <v>PRIMACY SUV+</v>
      </c>
      <c r="F1167" s="20"/>
      <c r="G1167" s="20">
        <v>4</v>
      </c>
      <c r="H1167" s="20">
        <v>4</v>
      </c>
      <c r="I1167" s="30">
        <f t="shared" si="10"/>
        <v>0</v>
      </c>
      <c r="J1167" s="22">
        <f>[1]SUMMARY!N1168</f>
        <v>8983.2000000000007</v>
      </c>
      <c r="K1167" s="23">
        <f t="shared" si="12"/>
        <v>0</v>
      </c>
      <c r="L1167" s="8"/>
      <c r="M1167" s="8"/>
    </row>
    <row r="1168" spans="1:13" x14ac:dyDescent="0.2">
      <c r="A1168" s="17" t="str">
        <f>[1]SUMMARY!A1169</f>
        <v>235</v>
      </c>
      <c r="B1168" s="17">
        <f>[1]SUMMARY!B1169</f>
        <v>60</v>
      </c>
      <c r="C1168" s="17">
        <f>[1]SUMMARY!C1169</f>
        <v>18</v>
      </c>
      <c r="D1168" s="25" t="str">
        <f>[1]SUMMARY!D1169</f>
        <v>MICHELIN</v>
      </c>
      <c r="E1168" s="25" t="str">
        <f>[1]SUMMARY!E1169</f>
        <v>PRIMACY 4</v>
      </c>
      <c r="F1168" s="20"/>
      <c r="G1168" s="20">
        <v>12</v>
      </c>
      <c r="H1168" s="20">
        <v>12</v>
      </c>
      <c r="I1168" s="30">
        <f t="shared" si="10"/>
        <v>0</v>
      </c>
      <c r="J1168" s="22">
        <f>[1]SUMMARY!N1169</f>
        <v>8762.7999999999993</v>
      </c>
      <c r="K1168" s="23">
        <f t="shared" si="12"/>
        <v>0</v>
      </c>
      <c r="L1168" s="8"/>
      <c r="M1168" s="8"/>
    </row>
    <row r="1169" spans="1:13" x14ac:dyDescent="0.2">
      <c r="A1169" s="17" t="str">
        <f>[1]SUMMARY!A1170</f>
        <v>235</v>
      </c>
      <c r="B1169" s="17">
        <f>[1]SUMMARY!B1170</f>
        <v>60</v>
      </c>
      <c r="C1169" s="17">
        <f>[1]SUMMARY!C1170</f>
        <v>18</v>
      </c>
      <c r="D1169" s="25" t="str">
        <f>[1]SUMMARY!D1170</f>
        <v>MICHELIN</v>
      </c>
      <c r="E1169" s="25" t="str">
        <f>[1]SUMMARY!E1170</f>
        <v>PRIMACY SUV+</v>
      </c>
      <c r="F1169" s="20"/>
      <c r="G1169" s="20"/>
      <c r="H1169" s="20"/>
      <c r="I1169" s="30">
        <f t="shared" si="10"/>
        <v>0</v>
      </c>
      <c r="J1169" s="22">
        <f>[1]SUMMARY!N1170</f>
        <v>10800</v>
      </c>
      <c r="K1169" s="23">
        <f t="shared" si="12"/>
        <v>0</v>
      </c>
      <c r="L1169" s="8"/>
      <c r="M1169" s="8"/>
    </row>
    <row r="1170" spans="1:13" x14ac:dyDescent="0.2">
      <c r="A1170" s="17" t="str">
        <f>[1]SUMMARY!A1171</f>
        <v>235</v>
      </c>
      <c r="B1170" s="17">
        <f>[1]SUMMARY!B1171</f>
        <v>60</v>
      </c>
      <c r="C1170" s="17">
        <f>[1]SUMMARY!C1171</f>
        <v>18</v>
      </c>
      <c r="D1170" s="25" t="str">
        <f>[1]SUMMARY!D1171</f>
        <v>MICHELIN</v>
      </c>
      <c r="E1170" s="25" t="str">
        <f>[1]SUMMARY!E1171</f>
        <v>PRIMACY 3ST</v>
      </c>
      <c r="F1170" s="20"/>
      <c r="G1170" s="20">
        <v>2</v>
      </c>
      <c r="H1170" s="20">
        <v>2</v>
      </c>
      <c r="I1170" s="30">
        <f t="shared" si="10"/>
        <v>0</v>
      </c>
      <c r="J1170" s="22">
        <f>[1]SUMMARY!N1171</f>
        <v>10000</v>
      </c>
      <c r="K1170" s="23">
        <f t="shared" si="12"/>
        <v>0</v>
      </c>
      <c r="L1170" s="8"/>
      <c r="M1170" s="8"/>
    </row>
    <row r="1171" spans="1:13" x14ac:dyDescent="0.2">
      <c r="A1171" s="17" t="str">
        <f>[1]SUMMARY!A1172</f>
        <v>235</v>
      </c>
      <c r="B1171" s="17">
        <f>[1]SUMMARY!B1172</f>
        <v>60</v>
      </c>
      <c r="C1171" s="17">
        <f>[1]SUMMARY!C1172</f>
        <v>18</v>
      </c>
      <c r="D1171" s="25" t="str">
        <f>[1]SUMMARY!D1172</f>
        <v>MICHELIN</v>
      </c>
      <c r="E1171" s="25" t="str">
        <f>[1]SUMMARY!E1172</f>
        <v>E PRIMACY ST</v>
      </c>
      <c r="F1171" s="20"/>
      <c r="G1171" s="20">
        <v>22</v>
      </c>
      <c r="H1171" s="20">
        <v>18</v>
      </c>
      <c r="I1171" s="31">
        <f t="shared" si="10"/>
        <v>4</v>
      </c>
      <c r="J1171" s="22">
        <f>[1]SUMMARY!N1172</f>
        <v>8170</v>
      </c>
      <c r="K1171" s="23">
        <f t="shared" si="12"/>
        <v>32680</v>
      </c>
      <c r="L1171" s="8"/>
      <c r="M1171" s="8"/>
    </row>
    <row r="1172" spans="1:13" x14ac:dyDescent="0.2">
      <c r="A1172" s="17" t="str">
        <f>[1]SUMMARY!A1173</f>
        <v>265</v>
      </c>
      <c r="B1172" s="17">
        <f>[1]SUMMARY!B1173</f>
        <v>60</v>
      </c>
      <c r="C1172" s="17">
        <f>[1]SUMMARY!C1173</f>
        <v>18</v>
      </c>
      <c r="D1172" s="25" t="str">
        <f>[1]SUMMARY!D1173</f>
        <v>MICHELIN</v>
      </c>
      <c r="E1172" s="25" t="str">
        <f>[1]SUMMARY!E1173</f>
        <v>PRIMACY SUV+</v>
      </c>
      <c r="F1172" s="20"/>
      <c r="G1172" s="20">
        <v>207</v>
      </c>
      <c r="H1172" s="20">
        <v>191</v>
      </c>
      <c r="I1172" s="31">
        <f t="shared" si="10"/>
        <v>16</v>
      </c>
      <c r="J1172" s="22">
        <f>[1]SUMMARY!N1173</f>
        <v>8656.4</v>
      </c>
      <c r="K1172" s="23">
        <f t="shared" si="12"/>
        <v>138502.39999999999</v>
      </c>
      <c r="L1172" s="8"/>
      <c r="M1172" s="8"/>
    </row>
    <row r="1173" spans="1:13" x14ac:dyDescent="0.2">
      <c r="A1173" s="17" t="str">
        <f>[1]SUMMARY!A1174</f>
        <v>265</v>
      </c>
      <c r="B1173" s="17">
        <f>[1]SUMMARY!B1174</f>
        <v>60</v>
      </c>
      <c r="C1173" s="17">
        <f>[1]SUMMARY!C1174</f>
        <v>18</v>
      </c>
      <c r="D1173" s="25" t="str">
        <f>[1]SUMMARY!D1178</f>
        <v>MICHELIN</v>
      </c>
      <c r="E1173" s="25" t="str">
        <f>[1]SUMMARY!E1174</f>
        <v>LTX TRAIL</v>
      </c>
      <c r="F1173" s="20"/>
      <c r="G1173" s="20">
        <v>94</v>
      </c>
      <c r="H1173" s="20">
        <v>90</v>
      </c>
      <c r="I1173" s="31">
        <f t="shared" si="10"/>
        <v>4</v>
      </c>
      <c r="J1173" s="22">
        <f>[1]SUMMARY!N1174</f>
        <v>9758.4</v>
      </c>
      <c r="K1173" s="23">
        <f t="shared" si="12"/>
        <v>39033.599999999999</v>
      </c>
      <c r="L1173" s="8"/>
      <c r="M1173" s="8"/>
    </row>
    <row r="1174" spans="1:13" x14ac:dyDescent="0.2">
      <c r="A1174" s="17" t="str">
        <f>[1]SUMMARY!A1175</f>
        <v>285</v>
      </c>
      <c r="B1174" s="17">
        <f>[1]SUMMARY!B1175</f>
        <v>60</v>
      </c>
      <c r="C1174" s="17">
        <f>[1]SUMMARY!C1175</f>
        <v>18</v>
      </c>
      <c r="D1174" s="25" t="str">
        <f>[1]SUMMARY!D1189</f>
        <v>MICHELIN</v>
      </c>
      <c r="E1174" s="25" t="str">
        <f>[1]SUMMARY!E1175</f>
        <v>LTX TRAIL</v>
      </c>
      <c r="F1174" s="20"/>
      <c r="G1174" s="20"/>
      <c r="H1174" s="20"/>
      <c r="I1174" s="30">
        <f t="shared" si="10"/>
        <v>0</v>
      </c>
      <c r="J1174" s="22">
        <f>[1]SUMMARY!N1175</f>
        <v>13072</v>
      </c>
      <c r="K1174" s="23">
        <f t="shared" si="12"/>
        <v>0</v>
      </c>
      <c r="L1174" s="8"/>
      <c r="M1174" s="8"/>
    </row>
    <row r="1175" spans="1:13" x14ac:dyDescent="0.2">
      <c r="A1175" s="17" t="str">
        <f>[1]SUMMARY!A1176</f>
        <v>275</v>
      </c>
      <c r="B1175" s="17">
        <f>[1]SUMMARY!B1176</f>
        <v>35</v>
      </c>
      <c r="C1175" s="17">
        <f>[1]SUMMARY!C1176</f>
        <v>19</v>
      </c>
      <c r="D1175" s="25" t="str">
        <f>[1]SUMMARY!D1189</f>
        <v>MICHELIN</v>
      </c>
      <c r="E1175" s="25" t="str">
        <f>[1]SUMMARY!E1176</f>
        <v>PRIMACY 3 ZP</v>
      </c>
      <c r="F1175" s="20"/>
      <c r="G1175" s="20">
        <v>1</v>
      </c>
      <c r="H1175" s="20">
        <v>1</v>
      </c>
      <c r="I1175" s="30">
        <f t="shared" si="10"/>
        <v>0</v>
      </c>
      <c r="J1175" s="22">
        <f>[1]SUMMARY!N1176</f>
        <v>23119.200000000001</v>
      </c>
      <c r="K1175" s="23">
        <f t="shared" si="12"/>
        <v>0</v>
      </c>
      <c r="L1175" s="8"/>
      <c r="M1175" s="8"/>
    </row>
    <row r="1176" spans="1:13" x14ac:dyDescent="0.2">
      <c r="A1176" s="17" t="str">
        <f>[1]SUMMARY!A1177</f>
        <v>235</v>
      </c>
      <c r="B1176" s="17">
        <f>[1]SUMMARY!B1177</f>
        <v>35</v>
      </c>
      <c r="C1176" s="17">
        <f>[1]SUMMARY!C1177</f>
        <v>19</v>
      </c>
      <c r="D1176" s="25" t="str">
        <f>[1]SUMMARY!D1190</f>
        <v>MICHELIN</v>
      </c>
      <c r="E1176" s="25" t="str">
        <f>[1]SUMMARY!E1177</f>
        <v>PILOT SPORT 5</v>
      </c>
      <c r="F1176" s="20"/>
      <c r="G1176" s="20"/>
      <c r="H1176" s="20"/>
      <c r="I1176" s="30">
        <f t="shared" si="10"/>
        <v>0</v>
      </c>
      <c r="J1176" s="22">
        <f>[1]SUMMARY!N1177</f>
        <v>11445.6</v>
      </c>
      <c r="K1176" s="23">
        <f t="shared" si="12"/>
        <v>0</v>
      </c>
      <c r="L1176" s="8"/>
      <c r="M1176" s="8"/>
    </row>
    <row r="1177" spans="1:13" x14ac:dyDescent="0.2">
      <c r="A1177" s="17" t="str">
        <f>[1]SUMMARY!A1178</f>
        <v>245</v>
      </c>
      <c r="B1177" s="17">
        <f>[1]SUMMARY!B1178</f>
        <v>40</v>
      </c>
      <c r="C1177" s="17">
        <f>[1]SUMMARY!C1178</f>
        <v>19</v>
      </c>
      <c r="D1177" s="25" t="str">
        <f>[1]SUMMARY!D1190</f>
        <v>MICHELIN</v>
      </c>
      <c r="E1177" s="25" t="str">
        <f>[1]SUMMARY!E1178</f>
        <v>PRIMACY 3 ZP</v>
      </c>
      <c r="F1177" s="20"/>
      <c r="G1177" s="20">
        <v>1</v>
      </c>
      <c r="H1177" s="20">
        <v>1</v>
      </c>
      <c r="I1177" s="30">
        <f t="shared" si="10"/>
        <v>0</v>
      </c>
      <c r="J1177" s="22">
        <f>[1]SUMMARY!N1178</f>
        <v>18399.599999999999</v>
      </c>
      <c r="K1177" s="23">
        <f t="shared" si="12"/>
        <v>0</v>
      </c>
      <c r="L1177" s="8"/>
      <c r="M1177" s="8"/>
    </row>
    <row r="1178" spans="1:13" x14ac:dyDescent="0.2">
      <c r="A1178" s="17" t="str">
        <f>[1]SUMMARY!A1179</f>
        <v>235</v>
      </c>
      <c r="B1178" s="17">
        <f>[1]SUMMARY!B1179</f>
        <v>45</v>
      </c>
      <c r="C1178" s="17">
        <f>[1]SUMMARY!C1179</f>
        <v>19</v>
      </c>
      <c r="D1178" s="25" t="str">
        <f>[1]SUMMARY!D1191</f>
        <v>MICHELIN</v>
      </c>
      <c r="E1178" s="25" t="str">
        <f>[1]SUMMARY!E1179</f>
        <v>PILOT SPORT 5</v>
      </c>
      <c r="F1178" s="20"/>
      <c r="G1178" s="20"/>
      <c r="H1178" s="20"/>
      <c r="I1178" s="30">
        <f t="shared" si="10"/>
        <v>0</v>
      </c>
      <c r="J1178" s="22">
        <f>[1]SUMMARY!N1179</f>
        <v>13870</v>
      </c>
      <c r="K1178" s="23">
        <f t="shared" si="12"/>
        <v>0</v>
      </c>
      <c r="L1178" s="8"/>
      <c r="M1178" s="8"/>
    </row>
    <row r="1179" spans="1:13" x14ac:dyDescent="0.2">
      <c r="A1179" s="17" t="str">
        <f>[1]SUMMARY!A1180</f>
        <v>245</v>
      </c>
      <c r="B1179" s="17">
        <f>[1]SUMMARY!B1180</f>
        <v>45</v>
      </c>
      <c r="C1179" s="17">
        <f>[1]SUMMARY!C1180</f>
        <v>19</v>
      </c>
      <c r="D1179" s="25" t="str">
        <f>[1]SUMMARY!D1191</f>
        <v>MICHELIN</v>
      </c>
      <c r="E1179" s="25" t="str">
        <f>[1]SUMMARY!E1180</f>
        <v>PILOT SPORT 5</v>
      </c>
      <c r="F1179" s="20"/>
      <c r="G1179" s="20">
        <v>2</v>
      </c>
      <c r="H1179" s="20">
        <v>2</v>
      </c>
      <c r="I1179" s="30">
        <f t="shared" si="10"/>
        <v>0</v>
      </c>
      <c r="J1179" s="22">
        <f>[1]SUMMARY!N1180</f>
        <v>16036</v>
      </c>
      <c r="K1179" s="23">
        <f t="shared" si="12"/>
        <v>0</v>
      </c>
      <c r="L1179" s="8"/>
      <c r="M1179" s="8"/>
    </row>
    <row r="1180" spans="1:13" x14ac:dyDescent="0.2">
      <c r="A1180" s="17" t="str">
        <f>[1]SUMMARY!A1181</f>
        <v>255</v>
      </c>
      <c r="B1180" s="17">
        <f>[1]SUMMARY!B1181</f>
        <v>40</v>
      </c>
      <c r="C1180" s="17">
        <f>[1]SUMMARY!C1181</f>
        <v>19</v>
      </c>
      <c r="D1180" s="25" t="str">
        <f>[1]SUMMARY!D1192</f>
        <v>MICHELIN</v>
      </c>
      <c r="E1180" s="25" t="str">
        <f>[1]SUMMARY!E1181</f>
        <v>PILOT SPORT 5</v>
      </c>
      <c r="F1180" s="20"/>
      <c r="G1180" s="20">
        <v>4</v>
      </c>
      <c r="H1180" s="20">
        <v>4</v>
      </c>
      <c r="I1180" s="30">
        <f t="shared" si="10"/>
        <v>0</v>
      </c>
      <c r="J1180" s="22">
        <f>[1]SUMMARY!N1181</f>
        <v>11058</v>
      </c>
      <c r="K1180" s="23">
        <f t="shared" si="12"/>
        <v>0</v>
      </c>
      <c r="L1180" s="8"/>
      <c r="M1180" s="8"/>
    </row>
    <row r="1181" spans="1:13" x14ac:dyDescent="0.2">
      <c r="A1181" s="17" t="str">
        <f>[1]SUMMARY!A1182</f>
        <v>275</v>
      </c>
      <c r="B1181" s="17">
        <f>[1]SUMMARY!B1182</f>
        <v>40</v>
      </c>
      <c r="C1181" s="17">
        <f>[1]SUMMARY!C1182</f>
        <v>19</v>
      </c>
      <c r="D1181" s="25" t="str">
        <f>[1]SUMMARY!D1191</f>
        <v>MICHELIN</v>
      </c>
      <c r="E1181" s="25" t="str">
        <f>[1]SUMMARY!E1182</f>
        <v>PRIMACY 3 ZP</v>
      </c>
      <c r="F1181" s="20"/>
      <c r="G1181" s="20"/>
      <c r="H1181" s="20"/>
      <c r="I1181" s="30">
        <f t="shared" si="10"/>
        <v>0</v>
      </c>
      <c r="J1181" s="22">
        <f>[1]SUMMARY!N1182</f>
        <v>22600</v>
      </c>
      <c r="K1181" s="23">
        <f t="shared" si="12"/>
        <v>0</v>
      </c>
      <c r="L1181" s="8"/>
      <c r="M1181" s="8"/>
    </row>
    <row r="1182" spans="1:13" x14ac:dyDescent="0.2">
      <c r="A1182" s="17" t="str">
        <f>[1]SUMMARY!A1183</f>
        <v>275</v>
      </c>
      <c r="B1182" s="17">
        <f>[1]SUMMARY!B1183</f>
        <v>40</v>
      </c>
      <c r="C1182" s="17">
        <f>[1]SUMMARY!C1183</f>
        <v>19</v>
      </c>
      <c r="D1182" s="25" t="str">
        <f>[1]SUMMARY!D1192</f>
        <v>MICHELIN</v>
      </c>
      <c r="E1182" s="25" t="str">
        <f>[1]SUMMARY!E1183</f>
        <v>PILOT SPORT 5</v>
      </c>
      <c r="F1182" s="20"/>
      <c r="G1182" s="20"/>
      <c r="H1182" s="20"/>
      <c r="I1182" s="30">
        <f t="shared" si="10"/>
        <v>0</v>
      </c>
      <c r="J1182" s="22">
        <f>[1]SUMMARY!N1183</f>
        <v>12775.6</v>
      </c>
      <c r="K1182" s="23">
        <f t="shared" si="12"/>
        <v>0</v>
      </c>
      <c r="L1182" s="8"/>
      <c r="M1182" s="8"/>
    </row>
    <row r="1183" spans="1:13" x14ac:dyDescent="0.2">
      <c r="A1183" s="17" t="str">
        <f>[1]SUMMARY!A1184</f>
        <v>225</v>
      </c>
      <c r="B1183" s="17">
        <f>[1]SUMMARY!B1184</f>
        <v>55</v>
      </c>
      <c r="C1183" s="17">
        <f>[1]SUMMARY!C1184</f>
        <v>19</v>
      </c>
      <c r="D1183" s="25" t="str">
        <f>[1]SUMMARY!D1193</f>
        <v>MICHELIN</v>
      </c>
      <c r="E1183" s="25" t="str">
        <f>[1]SUMMARY!E1184</f>
        <v>PRIMACY SUV+</v>
      </c>
      <c r="F1183" s="20"/>
      <c r="G1183" s="20">
        <v>2</v>
      </c>
      <c r="H1183" s="20">
        <v>2</v>
      </c>
      <c r="I1183" s="30">
        <f t="shared" si="10"/>
        <v>0</v>
      </c>
      <c r="J1183" s="22">
        <f>[1]SUMMARY!N1184</f>
        <v>8398</v>
      </c>
      <c r="K1183" s="23">
        <f t="shared" si="12"/>
        <v>0</v>
      </c>
      <c r="L1183" s="8"/>
      <c r="M1183" s="8"/>
    </row>
    <row r="1184" spans="1:13" x14ac:dyDescent="0.2">
      <c r="A1184" s="17" t="str">
        <f>[1]SUMMARY!A1185</f>
        <v>235</v>
      </c>
      <c r="B1184" s="17">
        <f>[1]SUMMARY!B1185</f>
        <v>55</v>
      </c>
      <c r="C1184" s="17">
        <f>[1]SUMMARY!C1185</f>
        <v>19</v>
      </c>
      <c r="D1184" s="25" t="str">
        <f>[1]SUMMARY!D1192</f>
        <v>MICHELIN</v>
      </c>
      <c r="E1184" s="25" t="str">
        <f>[1]SUMMARY!E1185</f>
        <v>PILOT SPORT 4 SUV</v>
      </c>
      <c r="F1184" s="20"/>
      <c r="G1184" s="20">
        <v>12</v>
      </c>
      <c r="H1184" s="20">
        <v>12</v>
      </c>
      <c r="I1184" s="30">
        <f t="shared" si="10"/>
        <v>0</v>
      </c>
      <c r="J1184" s="22">
        <f>[1]SUMMARY!N1185</f>
        <v>13535.6</v>
      </c>
      <c r="K1184" s="23">
        <f t="shared" si="12"/>
        <v>0</v>
      </c>
      <c r="L1184" s="8"/>
      <c r="M1184" s="8"/>
    </row>
    <row r="1185" spans="1:13" x14ac:dyDescent="0.2">
      <c r="A1185" s="17" t="str">
        <f>[1]SUMMARY!A1186</f>
        <v>245</v>
      </c>
      <c r="B1185" s="17">
        <f>[1]SUMMARY!B1186</f>
        <v>30</v>
      </c>
      <c r="C1185" s="17">
        <f>[1]SUMMARY!C1186</f>
        <v>20</v>
      </c>
      <c r="D1185" s="25" t="str">
        <f>[1]SUMMARY!D1193</f>
        <v>MICHELIN</v>
      </c>
      <c r="E1185" s="25" t="str">
        <f>[1]SUMMARY!E1186</f>
        <v>PILOT SPORT 4S</v>
      </c>
      <c r="F1185" s="20"/>
      <c r="G1185" s="20">
        <v>4</v>
      </c>
      <c r="H1185" s="20">
        <v>4</v>
      </c>
      <c r="I1185" s="30">
        <f t="shared" si="10"/>
        <v>0</v>
      </c>
      <c r="J1185" s="22">
        <f>[1]SUMMARY!N1186</f>
        <v>20520</v>
      </c>
      <c r="K1185" s="23">
        <f t="shared" si="12"/>
        <v>0</v>
      </c>
      <c r="L1185" s="8"/>
      <c r="M1185" s="8"/>
    </row>
    <row r="1186" spans="1:13" x14ac:dyDescent="0.2">
      <c r="A1186" s="17" t="str">
        <f>[1]SUMMARY!A1187</f>
        <v>245</v>
      </c>
      <c r="B1186" s="17">
        <f>[1]SUMMARY!B1187</f>
        <v>35</v>
      </c>
      <c r="C1186" s="17">
        <f>[1]SUMMARY!C1187</f>
        <v>20</v>
      </c>
      <c r="D1186" s="25" t="str">
        <f>[1]SUMMARY!D1192</f>
        <v>MICHELIN</v>
      </c>
      <c r="E1186" s="25" t="str">
        <f>[1]SUMMARY!E1187</f>
        <v>PILOT SPORT 5</v>
      </c>
      <c r="F1186" s="20"/>
      <c r="G1186" s="20"/>
      <c r="H1186" s="20"/>
      <c r="I1186" s="30">
        <f t="shared" si="10"/>
        <v>0</v>
      </c>
      <c r="J1186" s="22">
        <f>[1]SUMMARY!N1187</f>
        <v>14371.6</v>
      </c>
      <c r="K1186" s="23">
        <f t="shared" si="12"/>
        <v>0</v>
      </c>
      <c r="L1186" s="8"/>
      <c r="M1186" s="8"/>
    </row>
    <row r="1187" spans="1:13" x14ac:dyDescent="0.2">
      <c r="A1187" s="17" t="str">
        <f>[1]SUMMARY!A1188</f>
        <v>305</v>
      </c>
      <c r="B1187" s="17">
        <f>[1]SUMMARY!B1188</f>
        <v>35</v>
      </c>
      <c r="C1187" s="17">
        <f>[1]SUMMARY!C1188</f>
        <v>20</v>
      </c>
      <c r="D1187" s="25" t="str">
        <f>[1]SUMMARY!D1193</f>
        <v>MICHELIN</v>
      </c>
      <c r="E1187" s="25" t="str">
        <f>[1]SUMMARY!E1188</f>
        <v>PILOT SPORT 4S</v>
      </c>
      <c r="F1187" s="20"/>
      <c r="G1187" s="20">
        <v>2</v>
      </c>
      <c r="H1187" s="20">
        <v>2</v>
      </c>
      <c r="I1187" s="30">
        <f t="shared" si="10"/>
        <v>0</v>
      </c>
      <c r="J1187" s="22">
        <f>[1]SUMMARY!N1188</f>
        <v>24996.400000000001</v>
      </c>
      <c r="K1187" s="23">
        <f t="shared" si="12"/>
        <v>0</v>
      </c>
      <c r="L1187" s="8"/>
      <c r="M1187" s="8"/>
    </row>
    <row r="1188" spans="1:13" x14ac:dyDescent="0.2">
      <c r="A1188" s="17" t="str">
        <f>[1]SUMMARY!A1189</f>
        <v>265</v>
      </c>
      <c r="B1188" s="17">
        <f>[1]SUMMARY!B1189</f>
        <v>50</v>
      </c>
      <c r="C1188" s="17">
        <f>[1]SUMMARY!C1189</f>
        <v>20</v>
      </c>
      <c r="D1188" s="25" t="str">
        <f>[1]SUMMARY!D1189</f>
        <v>MICHELIN</v>
      </c>
      <c r="E1188" s="25" t="str">
        <f>[1]SUMMARY!E1189</f>
        <v>PILOT SPORT 4 SUV</v>
      </c>
      <c r="F1188" s="20"/>
      <c r="G1188" s="20">
        <v>60</v>
      </c>
      <c r="H1188" s="20">
        <v>56</v>
      </c>
      <c r="I1188" s="30">
        <f t="shared" si="10"/>
        <v>4</v>
      </c>
      <c r="J1188" s="22">
        <f>[1]SUMMARY!N1189</f>
        <v>9370.7999999999993</v>
      </c>
      <c r="K1188" s="23">
        <f t="shared" si="12"/>
        <v>37483.199999999997</v>
      </c>
      <c r="L1188" s="8"/>
      <c r="M1188" s="8"/>
    </row>
    <row r="1189" spans="1:13" x14ac:dyDescent="0.2">
      <c r="A1189" s="17" t="str">
        <f>[1]SUMMARY!A1190</f>
        <v>265</v>
      </c>
      <c r="B1189" s="17">
        <f>[1]SUMMARY!B1190</f>
        <v>50</v>
      </c>
      <c r="C1189" s="17">
        <f>[1]SUMMARY!C1190</f>
        <v>20</v>
      </c>
      <c r="D1189" s="25" t="str">
        <f>[1]SUMMARY!D1190</f>
        <v>MICHELIN</v>
      </c>
      <c r="E1189" s="25" t="str">
        <f>[1]SUMMARY!E1190</f>
        <v>PRIMACY SUV+</v>
      </c>
      <c r="F1189" s="20"/>
      <c r="G1189" s="20">
        <v>86</v>
      </c>
      <c r="H1189" s="20">
        <v>86</v>
      </c>
      <c r="I1189" s="31">
        <f t="shared" si="10"/>
        <v>0</v>
      </c>
      <c r="J1189" s="22">
        <f>[1]SUMMARY!N1190</f>
        <v>9046.18</v>
      </c>
      <c r="K1189" s="23">
        <f t="shared" si="12"/>
        <v>0</v>
      </c>
      <c r="L1189" s="8"/>
      <c r="M1189" s="8"/>
    </row>
    <row r="1190" spans="1:13" x14ac:dyDescent="0.2">
      <c r="A1190" s="17" t="str">
        <f>[1]SUMMARY!A1191</f>
        <v>295</v>
      </c>
      <c r="B1190" s="17">
        <f>[1]SUMMARY!B1191</f>
        <v>40</v>
      </c>
      <c r="C1190" s="17">
        <f>[1]SUMMARY!C1191</f>
        <v>20</v>
      </c>
      <c r="D1190" s="25" t="str">
        <f>[1]SUMMARY!D1191</f>
        <v>MICHELIN</v>
      </c>
      <c r="E1190" s="25" t="str">
        <f>[1]SUMMARY!E1191</f>
        <v>LAT.SPORT 3</v>
      </c>
      <c r="F1190" s="20"/>
      <c r="G1190" s="20"/>
      <c r="H1190" s="20"/>
      <c r="I1190" s="30">
        <f t="shared" si="10"/>
        <v>0</v>
      </c>
      <c r="J1190" s="22">
        <f>[1]SUMMARY!N1191</f>
        <v>20418.22</v>
      </c>
      <c r="K1190" s="23">
        <f t="shared" si="12"/>
        <v>0</v>
      </c>
      <c r="L1190" s="8"/>
      <c r="M1190" s="8"/>
    </row>
    <row r="1191" spans="1:13" x14ac:dyDescent="0.2">
      <c r="A1191" s="17" t="str">
        <f>[1]SUMMARY!A1192</f>
        <v>295</v>
      </c>
      <c r="B1191" s="17">
        <f>[1]SUMMARY!B1192</f>
        <v>40</v>
      </c>
      <c r="C1191" s="17">
        <f>[1]SUMMARY!C1192</f>
        <v>20</v>
      </c>
      <c r="D1191" s="25" t="str">
        <f>[1]SUMMARY!D1192</f>
        <v>MICHELIN</v>
      </c>
      <c r="E1191" s="25" t="str">
        <f>[1]SUMMARY!E1192</f>
        <v>PILOT SPORT 4SUV</v>
      </c>
      <c r="F1191" s="20"/>
      <c r="G1191" s="20"/>
      <c r="H1191" s="20"/>
      <c r="I1191" s="30">
        <f t="shared" si="10"/>
        <v>0</v>
      </c>
      <c r="J1191" s="22">
        <f>[1]SUMMARY!N1192</f>
        <v>20200.8</v>
      </c>
      <c r="K1191" s="23">
        <f t="shared" si="12"/>
        <v>0</v>
      </c>
      <c r="L1191" s="8"/>
      <c r="M1191" s="8"/>
    </row>
    <row r="1192" spans="1:13" x14ac:dyDescent="0.2">
      <c r="A1192" s="17" t="str">
        <f>[1]SUMMARY!A1193</f>
        <v>265</v>
      </c>
      <c r="B1192" s="17">
        <f>[1]SUMMARY!B1193</f>
        <v>45</v>
      </c>
      <c r="C1192" s="17">
        <f>[1]SUMMARY!C1193</f>
        <v>20</v>
      </c>
      <c r="D1192" s="25" t="str">
        <f>[1]SUMMARY!D1193</f>
        <v>MICHELIN</v>
      </c>
      <c r="E1192" s="25" t="str">
        <f>[1]SUMMARY!E1193</f>
        <v>PILOT SPORT 4SUV</v>
      </c>
      <c r="F1192" s="20"/>
      <c r="G1192" s="20"/>
      <c r="H1192" s="20"/>
      <c r="I1192" s="30">
        <f t="shared" si="10"/>
        <v>0</v>
      </c>
      <c r="J1192" s="22">
        <f>[1]SUMMARY!N1193</f>
        <v>17480</v>
      </c>
      <c r="K1192" s="23">
        <f t="shared" si="12"/>
        <v>0</v>
      </c>
      <c r="L1192" s="8"/>
      <c r="M1192" s="8"/>
    </row>
    <row r="1193" spans="1:13" x14ac:dyDescent="0.2">
      <c r="A1193" s="17" t="str">
        <f>[1]SUMMARY!A1194</f>
        <v>275</v>
      </c>
      <c r="B1193" s="17">
        <f>[1]SUMMARY!B1194</f>
        <v>60</v>
      </c>
      <c r="C1193" s="17">
        <f>[1]SUMMARY!C1194</f>
        <v>20</v>
      </c>
      <c r="D1193" s="25" t="str">
        <f>[1]SUMMARY!D1194</f>
        <v>MICHELIN</v>
      </c>
      <c r="E1193" s="25" t="str">
        <f>[1]SUMMARY!E1194</f>
        <v>PRIMACY SUV+</v>
      </c>
      <c r="F1193" s="20"/>
      <c r="G1193" s="20">
        <v>5</v>
      </c>
      <c r="H1193" s="20">
        <v>5</v>
      </c>
      <c r="I1193" s="30">
        <f t="shared" si="10"/>
        <v>0</v>
      </c>
      <c r="J1193" s="22">
        <f>[1]SUMMARY!N1194</f>
        <v>15032.8</v>
      </c>
      <c r="K1193" s="23">
        <f t="shared" si="12"/>
        <v>0</v>
      </c>
      <c r="L1193" s="8"/>
      <c r="M1193" s="8"/>
    </row>
    <row r="1194" spans="1:13" x14ac:dyDescent="0.2">
      <c r="A1194" s="17" t="str">
        <f>[1]SUMMARY!A1195</f>
        <v>275</v>
      </c>
      <c r="B1194" s="17">
        <f>[1]SUMMARY!B1195</f>
        <v>45</v>
      </c>
      <c r="C1194" s="17">
        <f>[1]SUMMARY!C1195</f>
        <v>21</v>
      </c>
      <c r="D1194" s="25" t="str">
        <f>[1]SUMMARY!D1195</f>
        <v>MICHELIN</v>
      </c>
      <c r="E1194" s="25" t="str">
        <f>[1]SUMMARY!E1195</f>
        <v>LATITUDE SPORTS 3</v>
      </c>
      <c r="F1194" s="20"/>
      <c r="G1194" s="20">
        <v>2</v>
      </c>
      <c r="H1194" s="20">
        <v>2</v>
      </c>
      <c r="I1194" s="30">
        <f t="shared" si="10"/>
        <v>0</v>
      </c>
      <c r="J1194" s="22">
        <f>[1]SUMMARY!N1195</f>
        <v>22085.599999999999</v>
      </c>
      <c r="K1194" s="23">
        <f t="shared" si="12"/>
        <v>0</v>
      </c>
      <c r="L1194" s="8"/>
      <c r="M1194" s="8"/>
    </row>
    <row r="1195" spans="1:13" x14ac:dyDescent="0.2">
      <c r="A1195" s="17" t="str">
        <f>[1]SUMMARY!A1196</f>
        <v>315</v>
      </c>
      <c r="B1195" s="17">
        <f>[1]SUMMARY!B1196</f>
        <v>40</v>
      </c>
      <c r="C1195" s="17">
        <f>[1]SUMMARY!C1196</f>
        <v>21</v>
      </c>
      <c r="D1195" s="25" t="str">
        <f>[1]SUMMARY!D1196</f>
        <v>MICHELIN</v>
      </c>
      <c r="E1195" s="25" t="str">
        <f>[1]SUMMARY!E1196</f>
        <v>LATITUDE SPORTS 3</v>
      </c>
      <c r="F1195" s="20"/>
      <c r="G1195" s="20">
        <v>2</v>
      </c>
      <c r="H1195" s="20">
        <v>2</v>
      </c>
      <c r="I1195" s="30">
        <f t="shared" si="10"/>
        <v>0</v>
      </c>
      <c r="J1195" s="22">
        <f>[1]SUMMARY!N1196</f>
        <v>24494.799999999999</v>
      </c>
      <c r="K1195" s="23">
        <f t="shared" si="12"/>
        <v>0</v>
      </c>
      <c r="L1195" s="8"/>
      <c r="M1195" s="8"/>
    </row>
    <row r="1196" spans="1:13" x14ac:dyDescent="0.2">
      <c r="A1196" s="17" t="str">
        <f>[1]SUMMARY!A1197</f>
        <v>285</v>
      </c>
      <c r="B1196" s="17">
        <f>[1]SUMMARY!B1197</f>
        <v>45</v>
      </c>
      <c r="C1196" s="17">
        <f>[1]SUMMARY!C1197</f>
        <v>22</v>
      </c>
      <c r="D1196" s="25" t="str">
        <f>[1]SUMMARY!D1197</f>
        <v>MICHELIN</v>
      </c>
      <c r="E1196" s="25" t="str">
        <f>[1]SUMMARY!E1197</f>
        <v>PILOT SPORT 4 SUV</v>
      </c>
      <c r="F1196" s="20"/>
      <c r="G1196" s="20"/>
      <c r="H1196" s="20"/>
      <c r="I1196" s="30">
        <f t="shared" si="10"/>
        <v>0</v>
      </c>
      <c r="J1196" s="22">
        <f>[1]SUMMARY!N1197</f>
        <v>22496</v>
      </c>
      <c r="K1196" s="23">
        <f t="shared" si="12"/>
        <v>0</v>
      </c>
      <c r="L1196" s="28">
        <f>SUM(K1066:K1196)</f>
        <v>1462747.7599999998</v>
      </c>
      <c r="M1196" s="29" t="s">
        <v>55</v>
      </c>
    </row>
    <row r="1197" spans="1:13" x14ac:dyDescent="0.2">
      <c r="A1197" s="17" t="str">
        <f>[1]SUMMARY!A1198</f>
        <v>265</v>
      </c>
      <c r="B1197" s="17">
        <f>[1]SUMMARY!B1198</f>
        <v>70</v>
      </c>
      <c r="C1197" s="17">
        <f>[1]SUMMARY!C1198</f>
        <v>17</v>
      </c>
      <c r="D1197" s="25" t="str">
        <f>[1]SUMMARY!D1198</f>
        <v>MICKEY THOMPSON</v>
      </c>
      <c r="E1197" s="25" t="str">
        <f>[1]SUMMARY!E1198</f>
        <v>DEEGAN A/T</v>
      </c>
      <c r="F1197" s="20"/>
      <c r="G1197" s="20">
        <v>24</v>
      </c>
      <c r="H1197" s="20">
        <v>24</v>
      </c>
      <c r="I1197" s="21">
        <f t="shared" si="10"/>
        <v>0</v>
      </c>
      <c r="J1197" s="22">
        <f>[1]SUMMARY!N1198</f>
        <v>8500</v>
      </c>
      <c r="K1197" s="23">
        <f t="shared" si="12"/>
        <v>0</v>
      </c>
      <c r="L1197" s="28">
        <f>SUM(K1197)</f>
        <v>0</v>
      </c>
      <c r="M1197" s="29" t="s">
        <v>56</v>
      </c>
    </row>
    <row r="1198" spans="1:13" x14ac:dyDescent="0.2">
      <c r="A1198" s="17">
        <f>[1]SUMMARY!A1199</f>
        <v>35</v>
      </c>
      <c r="B1198" s="27" t="str">
        <f>[1]SUMMARY!B1199</f>
        <v>12.5</v>
      </c>
      <c r="C1198" s="17">
        <f>[1]SUMMARY!C1199</f>
        <v>17</v>
      </c>
      <c r="D1198" s="25" t="str">
        <f>[1]SUMMARY!D1199</f>
        <v>MONSTA</v>
      </c>
      <c r="E1198" s="25" t="str">
        <f>[1]SUMMARY!E1199</f>
        <v>EXTREME MUD</v>
      </c>
      <c r="F1198" s="20"/>
      <c r="G1198" s="20">
        <v>4</v>
      </c>
      <c r="H1198" s="20">
        <v>4</v>
      </c>
      <c r="I1198" s="21">
        <f t="shared" si="10"/>
        <v>0</v>
      </c>
      <c r="J1198" s="22">
        <f>[1]SUMMARY!N1199</f>
        <v>6783</v>
      </c>
      <c r="K1198" s="23">
        <f t="shared" si="12"/>
        <v>0</v>
      </c>
      <c r="L1198" s="9"/>
      <c r="M1198" s="8"/>
    </row>
    <row r="1199" spans="1:13" x14ac:dyDescent="0.2">
      <c r="A1199" s="17" t="str">
        <f>[1]SUMMARY!A1200</f>
        <v>285</v>
      </c>
      <c r="B1199" s="17">
        <f>[1]SUMMARY!B1200</f>
        <v>55</v>
      </c>
      <c r="C1199" s="17">
        <f>[1]SUMMARY!C1200</f>
        <v>20</v>
      </c>
      <c r="D1199" s="25" t="str">
        <f>[1]SUMMARY!D1200</f>
        <v>MONSTA</v>
      </c>
      <c r="E1199" s="25" t="str">
        <f>[1]SUMMARY!E1200</f>
        <v>TERRAIN GRIPPER</v>
      </c>
      <c r="F1199" s="20"/>
      <c r="G1199" s="20"/>
      <c r="H1199" s="20"/>
      <c r="I1199" s="21">
        <f t="shared" si="10"/>
        <v>0</v>
      </c>
      <c r="J1199" s="22">
        <f>[1]SUMMARY!N1200</f>
        <v>10074.75</v>
      </c>
      <c r="K1199" s="23">
        <f t="shared" si="12"/>
        <v>0</v>
      </c>
      <c r="L1199" s="28">
        <f>SUM(K1198:K1199)</f>
        <v>0</v>
      </c>
      <c r="M1199" s="29" t="s">
        <v>57</v>
      </c>
    </row>
    <row r="1200" spans="1:13" x14ac:dyDescent="0.2">
      <c r="A1200" s="27" t="str">
        <f>[1]SUMMARY!A1201</f>
        <v>195</v>
      </c>
      <c r="B1200" s="17">
        <f>[1]SUMMARY!B1201</f>
        <v>50</v>
      </c>
      <c r="C1200" s="17">
        <f>[1]SUMMARY!C1201</f>
        <v>15</v>
      </c>
      <c r="D1200" s="25" t="str">
        <f>[1]SUMMARY!D1201</f>
        <v>NANKANG</v>
      </c>
      <c r="E1200" s="25" t="str">
        <f>[1]SUMMARY!E1201</f>
        <v>NS-2</v>
      </c>
      <c r="F1200" s="20"/>
      <c r="G1200" s="20"/>
      <c r="H1200" s="20"/>
      <c r="I1200" s="21">
        <f t="shared" si="10"/>
        <v>0</v>
      </c>
      <c r="J1200" s="22">
        <f>[1]SUMMARY!N1201</f>
        <v>2100</v>
      </c>
      <c r="K1200" s="23">
        <f t="shared" si="12"/>
        <v>0</v>
      </c>
      <c r="L1200" s="8"/>
      <c r="M1200" s="8"/>
    </row>
    <row r="1201" spans="1:13" x14ac:dyDescent="0.2">
      <c r="A1201" s="27" t="str">
        <f>[1]SUMMARY!A1202</f>
        <v>195</v>
      </c>
      <c r="B1201" s="17">
        <f>[1]SUMMARY!B1202</f>
        <v>50</v>
      </c>
      <c r="C1201" s="17">
        <f>[1]SUMMARY!C1202</f>
        <v>16</v>
      </c>
      <c r="D1201" s="25" t="str">
        <f>[1]SUMMARY!D1202</f>
        <v>NANKANG</v>
      </c>
      <c r="E1201" s="25" t="str">
        <f>[1]SUMMARY!E1202</f>
        <v>NS-2</v>
      </c>
      <c r="F1201" s="20"/>
      <c r="G1201" s="20">
        <v>4</v>
      </c>
      <c r="H1201" s="20">
        <v>4</v>
      </c>
      <c r="I1201" s="21">
        <f t="shared" si="10"/>
        <v>0</v>
      </c>
      <c r="J1201" s="22">
        <f>[1]SUMMARY!N1202</f>
        <v>3200</v>
      </c>
      <c r="K1201" s="23">
        <f t="shared" si="12"/>
        <v>0</v>
      </c>
      <c r="L1201" s="8"/>
      <c r="M1201" s="8"/>
    </row>
    <row r="1202" spans="1:13" x14ac:dyDescent="0.2">
      <c r="A1202" s="27" t="str">
        <f>[1]SUMMARY!A1203</f>
        <v>205</v>
      </c>
      <c r="B1202" s="17">
        <f>[1]SUMMARY!B1203</f>
        <v>45</v>
      </c>
      <c r="C1202" s="17">
        <f>[1]SUMMARY!C1203</f>
        <v>16</v>
      </c>
      <c r="D1202" s="25" t="str">
        <f>[1]SUMMARY!D1203</f>
        <v>NANKANG</v>
      </c>
      <c r="E1202" s="25" t="str">
        <f>[1]SUMMARY!E1203</f>
        <v>AR1</v>
      </c>
      <c r="F1202" s="20"/>
      <c r="G1202" s="20"/>
      <c r="H1202" s="20"/>
      <c r="I1202" s="21">
        <f t="shared" si="10"/>
        <v>0</v>
      </c>
      <c r="J1202" s="22">
        <f>[1]SUMMARY!N1203</f>
        <v>4400</v>
      </c>
      <c r="K1202" s="23">
        <f t="shared" si="12"/>
        <v>0</v>
      </c>
      <c r="L1202" s="28">
        <f>SUM(K1200:K1202)</f>
        <v>0</v>
      </c>
      <c r="M1202" s="29" t="s">
        <v>58</v>
      </c>
    </row>
    <row r="1203" spans="1:13" x14ac:dyDescent="0.2">
      <c r="A1203" s="17" t="str">
        <f>[1]SUMMARY!A1204</f>
        <v>195</v>
      </c>
      <c r="B1203" s="17">
        <f>[1]SUMMARY!B1204</f>
        <v>0</v>
      </c>
      <c r="C1203" s="17" t="str">
        <f>[1]SUMMARY!C1204</f>
        <v>14C</v>
      </c>
      <c r="D1203" s="25" t="str">
        <f>[1]SUMMARY!D1204</f>
        <v>NEUTON</v>
      </c>
      <c r="E1203" s="25" t="str">
        <f>[1]SUMMARY!E1204</f>
        <v>LV2000</v>
      </c>
      <c r="F1203" s="20"/>
      <c r="G1203" s="20"/>
      <c r="H1203" s="20"/>
      <c r="I1203" s="21">
        <f t="shared" si="10"/>
        <v>0</v>
      </c>
      <c r="J1203" s="22">
        <f>[1]SUMMARY!N1204</f>
        <v>2598.8200000000002</v>
      </c>
      <c r="K1203" s="23">
        <f t="shared" si="12"/>
        <v>0</v>
      </c>
      <c r="L1203" s="8"/>
      <c r="M1203" s="8"/>
    </row>
    <row r="1204" spans="1:13" x14ac:dyDescent="0.2">
      <c r="A1204" s="17">
        <f>[1]SUMMARY!A1205</f>
        <v>215</v>
      </c>
      <c r="B1204" s="17">
        <f>[1]SUMMARY!B1205</f>
        <v>60</v>
      </c>
      <c r="C1204" s="17">
        <f>[1]SUMMARY!C1205</f>
        <v>16</v>
      </c>
      <c r="D1204" s="25" t="str">
        <f>[1]SUMMARY!D1205</f>
        <v>NEUTON</v>
      </c>
      <c r="E1204" s="25" t="str">
        <f>[1]SUMMARY!E1205</f>
        <v>NT8000</v>
      </c>
      <c r="F1204" s="20"/>
      <c r="G1204" s="20"/>
      <c r="H1204" s="20"/>
      <c r="I1204" s="21">
        <f t="shared" si="10"/>
        <v>0</v>
      </c>
      <c r="J1204" s="22">
        <f>[1]SUMMARY!N1205</f>
        <v>2826.25</v>
      </c>
      <c r="K1204" s="23">
        <f t="shared" si="12"/>
        <v>0</v>
      </c>
      <c r="L1204" s="8"/>
      <c r="M1204" s="8"/>
    </row>
    <row r="1205" spans="1:13" x14ac:dyDescent="0.2">
      <c r="A1205" s="17" t="str">
        <f>[1]SUMMARY!A1206</f>
        <v>215</v>
      </c>
      <c r="B1205" s="17">
        <f>[1]SUMMARY!B1206</f>
        <v>60</v>
      </c>
      <c r="C1205" s="17">
        <f>[1]SUMMARY!C1206</f>
        <v>16</v>
      </c>
      <c r="D1205" s="25" t="str">
        <f>[1]SUMMARY!D1206</f>
        <v>NEUTON</v>
      </c>
      <c r="E1205" s="25" t="str">
        <f>[1]SUMMARY!E1206</f>
        <v>NT5000</v>
      </c>
      <c r="F1205" s="20"/>
      <c r="G1205" s="20"/>
      <c r="H1205" s="20"/>
      <c r="I1205" s="21">
        <f t="shared" si="10"/>
        <v>0</v>
      </c>
      <c r="J1205" s="22">
        <f>[1]SUMMARY!N1206</f>
        <v>2025</v>
      </c>
      <c r="K1205" s="23">
        <f t="shared" si="12"/>
        <v>0</v>
      </c>
      <c r="L1205" s="28">
        <f>SUM(K1203:K1205)</f>
        <v>0</v>
      </c>
      <c r="M1205" s="29" t="s">
        <v>59</v>
      </c>
    </row>
    <row r="1206" spans="1:13" x14ac:dyDescent="0.2">
      <c r="A1206" s="17" t="str">
        <f>[1]SUMMARY!A1207</f>
        <v>205</v>
      </c>
      <c r="B1206" s="17">
        <f>[1]SUMMARY!B1207</f>
        <v>65</v>
      </c>
      <c r="C1206" s="17">
        <f>[1]SUMMARY!C1207</f>
        <v>16</v>
      </c>
      <c r="D1206" s="25" t="str">
        <f>[1]SUMMARY!D1207</f>
        <v>NEXEN</v>
      </c>
      <c r="E1206" s="25" t="str">
        <f>[1]SUMMARY!E1207</f>
        <v>RODIAN</v>
      </c>
      <c r="F1206" s="20"/>
      <c r="G1206" s="20"/>
      <c r="H1206" s="20"/>
      <c r="I1206" s="21">
        <f t="shared" si="10"/>
        <v>0</v>
      </c>
      <c r="J1206" s="22">
        <f>[1]SUMMARY!N1207</f>
        <v>3700</v>
      </c>
      <c r="K1206" s="23">
        <f t="shared" si="12"/>
        <v>0</v>
      </c>
      <c r="L1206" s="8"/>
      <c r="M1206" s="8"/>
    </row>
    <row r="1207" spans="1:13" x14ac:dyDescent="0.2">
      <c r="A1207" s="17" t="str">
        <f>[1]SUMMARY!A1208</f>
        <v>215</v>
      </c>
      <c r="B1207" s="17">
        <f>[1]SUMMARY!B1208</f>
        <v>70</v>
      </c>
      <c r="C1207" s="17">
        <f>[1]SUMMARY!C1208</f>
        <v>16</v>
      </c>
      <c r="D1207" s="25" t="str">
        <f>[1]SUMMARY!D1208</f>
        <v>NEXEN</v>
      </c>
      <c r="E1207" s="25" t="str">
        <f>[1]SUMMARY!E1208</f>
        <v>CP521</v>
      </c>
      <c r="F1207" s="20"/>
      <c r="G1207" s="20"/>
      <c r="H1207" s="20"/>
      <c r="I1207" s="21">
        <f t="shared" si="10"/>
        <v>0</v>
      </c>
      <c r="J1207" s="22">
        <f>[1]SUMMARY!N1208</f>
        <v>5100</v>
      </c>
      <c r="K1207" s="23">
        <f t="shared" si="12"/>
        <v>0</v>
      </c>
      <c r="L1207" s="8"/>
      <c r="M1207" s="8"/>
    </row>
    <row r="1208" spans="1:13" x14ac:dyDescent="0.2">
      <c r="A1208" s="17" t="str">
        <f>[1]SUMMARY!A1209</f>
        <v>225</v>
      </c>
      <c r="B1208" s="17">
        <f>[1]SUMMARY!B1209</f>
        <v>60</v>
      </c>
      <c r="C1208" s="17">
        <f>[1]SUMMARY!C1209</f>
        <v>17</v>
      </c>
      <c r="D1208" s="25" t="str">
        <f>[1]SUMMARY!D1209</f>
        <v>NEXEN</v>
      </c>
      <c r="E1208" s="25" t="str">
        <f>[1]SUMMARY!E1209</f>
        <v>CP672</v>
      </c>
      <c r="F1208" s="20"/>
      <c r="G1208" s="20"/>
      <c r="H1208" s="20"/>
      <c r="I1208" s="21">
        <f t="shared" si="10"/>
        <v>0</v>
      </c>
      <c r="J1208" s="22">
        <f>[1]SUMMARY!N1209</f>
        <v>5100</v>
      </c>
      <c r="K1208" s="23">
        <f t="shared" si="12"/>
        <v>0</v>
      </c>
      <c r="L1208" s="8"/>
      <c r="M1208" s="8"/>
    </row>
    <row r="1209" spans="1:13" x14ac:dyDescent="0.2">
      <c r="A1209" s="17" t="str">
        <f>[1]SUMMARY!A1210</f>
        <v>235</v>
      </c>
      <c r="B1209" s="17">
        <f>[1]SUMMARY!B1210</f>
        <v>65</v>
      </c>
      <c r="C1209" s="17">
        <f>[1]SUMMARY!C1210</f>
        <v>17</v>
      </c>
      <c r="D1209" s="25" t="str">
        <f>[1]SUMMARY!D1210</f>
        <v>NEXEN</v>
      </c>
      <c r="E1209" s="25" t="str">
        <f>[1]SUMMARY!E1210</f>
        <v>AT</v>
      </c>
      <c r="F1209" s="20"/>
      <c r="G1209" s="20"/>
      <c r="H1209" s="20"/>
      <c r="I1209" s="21">
        <f t="shared" si="10"/>
        <v>0</v>
      </c>
      <c r="J1209" s="22">
        <f>[1]SUMMARY!N1210</f>
        <v>6700</v>
      </c>
      <c r="K1209" s="23">
        <f t="shared" si="12"/>
        <v>0</v>
      </c>
      <c r="L1209" s="8"/>
      <c r="M1209" s="8"/>
    </row>
    <row r="1210" spans="1:13" x14ac:dyDescent="0.2">
      <c r="A1210" s="17" t="str">
        <f>[1]SUMMARY!A1211</f>
        <v>265</v>
      </c>
      <c r="B1210" s="17">
        <f>[1]SUMMARY!B1211</f>
        <v>70</v>
      </c>
      <c r="C1210" s="17">
        <f>[1]SUMMARY!C1211</f>
        <v>17</v>
      </c>
      <c r="D1210" s="25" t="str">
        <f>[1]SUMMARY!D1211</f>
        <v>NEXEN</v>
      </c>
      <c r="E1210" s="25" t="str">
        <f>[1]SUMMARY!E1211</f>
        <v>RODIAN HTX</v>
      </c>
      <c r="F1210" s="20"/>
      <c r="G1210" s="20"/>
      <c r="H1210" s="20"/>
      <c r="I1210" s="21">
        <f t="shared" si="10"/>
        <v>0</v>
      </c>
      <c r="J1210" s="22">
        <f>[1]SUMMARY!N1211</f>
        <v>6200</v>
      </c>
      <c r="K1210" s="23">
        <f t="shared" si="12"/>
        <v>0</v>
      </c>
      <c r="L1210" s="8"/>
      <c r="M1210" s="8"/>
    </row>
    <row r="1211" spans="1:13" x14ac:dyDescent="0.2">
      <c r="A1211" s="17" t="str">
        <f>[1]SUMMARY!A1212</f>
        <v>225</v>
      </c>
      <c r="B1211" s="17">
        <f>[1]SUMMARY!B1212</f>
        <v>55</v>
      </c>
      <c r="C1211" s="17">
        <f>[1]SUMMARY!C1212</f>
        <v>18</v>
      </c>
      <c r="D1211" s="25" t="str">
        <f>[1]SUMMARY!D1212</f>
        <v>NEXEN</v>
      </c>
      <c r="E1211" s="25" t="str">
        <f>[1]SUMMARY!E1212</f>
        <v>N5000</v>
      </c>
      <c r="F1211" s="20"/>
      <c r="G1211" s="20"/>
      <c r="H1211" s="20"/>
      <c r="I1211" s="21">
        <f t="shared" si="10"/>
        <v>0</v>
      </c>
      <c r="J1211" s="22">
        <f>[1]SUMMARY!N1212</f>
        <v>7300</v>
      </c>
      <c r="K1211" s="23">
        <f t="shared" si="12"/>
        <v>0</v>
      </c>
      <c r="L1211" s="28">
        <f>SUM(K1206:K1211)</f>
        <v>0</v>
      </c>
      <c r="M1211" s="29" t="s">
        <v>60</v>
      </c>
    </row>
    <row r="1212" spans="1:13" x14ac:dyDescent="0.2">
      <c r="A1212" s="17" t="str">
        <f>[1]SUMMARY!A1213</f>
        <v>215</v>
      </c>
      <c r="B1212" s="17">
        <f>[1]SUMMARY!B1213</f>
        <v>70</v>
      </c>
      <c r="C1212" s="17">
        <f>[1]SUMMARY!C1213</f>
        <v>15</v>
      </c>
      <c r="D1212" s="25" t="str">
        <f>[1]SUMMARY!D1213</f>
        <v>NITTO</v>
      </c>
      <c r="E1212" s="25" t="str">
        <f>[1]SUMMARY!E1213</f>
        <v>NTGHT DURA GRAPPLER</v>
      </c>
      <c r="F1212" s="20"/>
      <c r="G1212" s="20"/>
      <c r="H1212" s="20"/>
      <c r="I1212" s="21">
        <f t="shared" si="10"/>
        <v>0</v>
      </c>
      <c r="J1212" s="22">
        <f>[1]SUMMARY!N1213</f>
        <v>5934</v>
      </c>
      <c r="K1212" s="23">
        <f t="shared" si="12"/>
        <v>0</v>
      </c>
      <c r="L1212" s="8"/>
      <c r="M1212" s="8"/>
    </row>
    <row r="1213" spans="1:13" x14ac:dyDescent="0.2">
      <c r="A1213" s="17" t="str">
        <f>[1]SUMMARY!A1214</f>
        <v>265</v>
      </c>
      <c r="B1213" s="17">
        <f>[1]SUMMARY!B1214</f>
        <v>65</v>
      </c>
      <c r="C1213" s="17">
        <f>[1]SUMMARY!C1214</f>
        <v>17</v>
      </c>
      <c r="D1213" s="25" t="str">
        <f>[1]SUMMARY!D1214</f>
        <v>NITTO</v>
      </c>
      <c r="E1213" s="25" t="str">
        <f>[1]SUMMARY!E1214</f>
        <v>NTGHT</v>
      </c>
      <c r="F1213" s="20"/>
      <c r="G1213" s="20">
        <v>96</v>
      </c>
      <c r="H1213" s="20">
        <v>96</v>
      </c>
      <c r="I1213" s="21">
        <f t="shared" si="10"/>
        <v>0</v>
      </c>
      <c r="J1213" s="22">
        <f>[1]SUMMARY!N1214</f>
        <v>6300</v>
      </c>
      <c r="K1213" s="23">
        <f t="shared" si="12"/>
        <v>0</v>
      </c>
      <c r="L1213" s="8"/>
      <c r="M1213" s="8"/>
    </row>
    <row r="1214" spans="1:13" x14ac:dyDescent="0.2">
      <c r="A1214" s="17" t="str">
        <f>[1]SUMMARY!A1215</f>
        <v>265</v>
      </c>
      <c r="B1214" s="17">
        <f>[1]SUMMARY!B1215</f>
        <v>65</v>
      </c>
      <c r="C1214" s="17">
        <f>[1]SUMMARY!C1215</f>
        <v>17</v>
      </c>
      <c r="D1214" s="25" t="str">
        <f>[1]SUMMARY!D1215</f>
        <v>NITTO</v>
      </c>
      <c r="E1214" s="25" t="str">
        <f>[1]SUMMARY!E1215</f>
        <v>NTGAT 2</v>
      </c>
      <c r="F1214" s="20"/>
      <c r="G1214" s="20">
        <v>61</v>
      </c>
      <c r="H1214" s="20">
        <v>61</v>
      </c>
      <c r="I1214" s="21">
        <f t="shared" si="10"/>
        <v>0</v>
      </c>
      <c r="J1214" s="22">
        <f>[1]SUMMARY!N1215</f>
        <v>8400</v>
      </c>
      <c r="K1214" s="23">
        <f t="shared" si="12"/>
        <v>0</v>
      </c>
      <c r="L1214" s="8"/>
      <c r="M1214" s="8"/>
    </row>
    <row r="1215" spans="1:13" x14ac:dyDescent="0.2">
      <c r="A1215" s="17">
        <f>[1]SUMMARY!A1216</f>
        <v>265</v>
      </c>
      <c r="B1215" s="17">
        <f>[1]SUMMARY!B1216</f>
        <v>70</v>
      </c>
      <c r="C1215" s="17">
        <f>[1]SUMMARY!C1216</f>
        <v>17</v>
      </c>
      <c r="D1215" s="25" t="str">
        <f>[1]SUMMARY!D1216</f>
        <v>NITTO</v>
      </c>
      <c r="E1215" s="25" t="str">
        <f>[1]SUMMARY!E1216</f>
        <v>NTGAT</v>
      </c>
      <c r="F1215" s="20"/>
      <c r="G1215" s="20"/>
      <c r="H1215" s="20"/>
      <c r="I1215" s="21">
        <f t="shared" si="10"/>
        <v>0</v>
      </c>
      <c r="J1215" s="22">
        <f>[1]SUMMARY!N1216</f>
        <v>7000</v>
      </c>
      <c r="K1215" s="23">
        <f t="shared" si="12"/>
        <v>0</v>
      </c>
      <c r="L1215" s="8"/>
      <c r="M1215" s="8"/>
    </row>
    <row r="1216" spans="1:13" x14ac:dyDescent="0.2">
      <c r="A1216" s="17" t="str">
        <f>[1]SUMMARY!A1217</f>
        <v>265</v>
      </c>
      <c r="B1216" s="17">
        <f>[1]SUMMARY!B1217</f>
        <v>70</v>
      </c>
      <c r="C1216" s="17">
        <f>[1]SUMMARY!C1217</f>
        <v>17</v>
      </c>
      <c r="D1216" s="25" t="str">
        <f>[1]SUMMARY!D1217</f>
        <v>NITTO</v>
      </c>
      <c r="E1216" s="25" t="str">
        <f>[1]SUMMARY!E1217</f>
        <v>NTGAT 2</v>
      </c>
      <c r="F1216" s="20"/>
      <c r="G1216" s="20"/>
      <c r="H1216" s="20"/>
      <c r="I1216" s="21">
        <f t="shared" si="10"/>
        <v>0</v>
      </c>
      <c r="J1216" s="22">
        <f>[1]SUMMARY!N1217</f>
        <v>10200</v>
      </c>
      <c r="K1216" s="23">
        <f t="shared" si="12"/>
        <v>0</v>
      </c>
      <c r="L1216" s="8"/>
      <c r="M1216" s="8"/>
    </row>
    <row r="1217" spans="1:13" x14ac:dyDescent="0.2">
      <c r="A1217" s="17" t="str">
        <f>[1]SUMMARY!A1218</f>
        <v>265</v>
      </c>
      <c r="B1217" s="17">
        <f>[1]SUMMARY!B1218</f>
        <v>70</v>
      </c>
      <c r="C1217" s="17">
        <f>[1]SUMMARY!C1218</f>
        <v>17</v>
      </c>
      <c r="D1217" s="25" t="str">
        <f>[1]SUMMARY!D1218</f>
        <v>NITTO</v>
      </c>
      <c r="E1217" s="25" t="str">
        <f>[1]SUMMARY!E1218</f>
        <v>TRAIL GRAPPLER M/T</v>
      </c>
      <c r="F1217" s="20"/>
      <c r="G1217" s="20">
        <v>4</v>
      </c>
      <c r="H1217" s="20">
        <v>4</v>
      </c>
      <c r="I1217" s="21">
        <f t="shared" si="10"/>
        <v>0</v>
      </c>
      <c r="J1217" s="22">
        <f>[1]SUMMARY!N1218</f>
        <v>18257.12</v>
      </c>
      <c r="K1217" s="23">
        <f t="shared" si="12"/>
        <v>0</v>
      </c>
      <c r="L1217" s="8"/>
      <c r="M1217" s="8"/>
    </row>
    <row r="1218" spans="1:13" x14ac:dyDescent="0.2">
      <c r="A1218" s="17">
        <f>[1]SUMMARY!A1219</f>
        <v>265</v>
      </c>
      <c r="B1218" s="17">
        <f>[1]SUMMARY!B1219</f>
        <v>60</v>
      </c>
      <c r="C1218" s="17">
        <f>[1]SUMMARY!C1219</f>
        <v>18</v>
      </c>
      <c r="D1218" s="25" t="str">
        <f>[1]SUMMARY!D1219</f>
        <v>NITTO</v>
      </c>
      <c r="E1218" s="25" t="str">
        <f>[1]SUMMARY!E1219</f>
        <v>DURA GRAPPLER NTGHT H/T</v>
      </c>
      <c r="F1218" s="20"/>
      <c r="G1218" s="20">
        <v>46</v>
      </c>
      <c r="H1218" s="20">
        <v>46</v>
      </c>
      <c r="I1218" s="21">
        <f t="shared" si="10"/>
        <v>0</v>
      </c>
      <c r="J1218" s="22">
        <f>[1]SUMMARY!N1219</f>
        <v>9500</v>
      </c>
      <c r="K1218" s="23">
        <f t="shared" si="12"/>
        <v>0</v>
      </c>
      <c r="L1218" s="8"/>
      <c r="M1218" s="8"/>
    </row>
    <row r="1219" spans="1:13" x14ac:dyDescent="0.2">
      <c r="A1219" s="17" t="str">
        <f>[1]SUMMARY!A1220</f>
        <v>265</v>
      </c>
      <c r="B1219" s="17">
        <f>[1]SUMMARY!B1220</f>
        <v>60</v>
      </c>
      <c r="C1219" s="17">
        <f>[1]SUMMARY!C1220</f>
        <v>18</v>
      </c>
      <c r="D1219" s="25" t="str">
        <f>[1]SUMMARY!D1220</f>
        <v>NITTO</v>
      </c>
      <c r="E1219" s="25" t="str">
        <f>[1]SUMMARY!E1220</f>
        <v>NTGAT 2</v>
      </c>
      <c r="F1219" s="20"/>
      <c r="G1219" s="20">
        <v>77</v>
      </c>
      <c r="H1219" s="20">
        <v>77</v>
      </c>
      <c r="I1219" s="21">
        <f t="shared" si="10"/>
        <v>0</v>
      </c>
      <c r="J1219" s="22">
        <f>[1]SUMMARY!N1220</f>
        <v>9100</v>
      </c>
      <c r="K1219" s="23">
        <f t="shared" si="12"/>
        <v>0</v>
      </c>
      <c r="L1219" s="8"/>
      <c r="M1219" s="8"/>
    </row>
    <row r="1220" spans="1:13" x14ac:dyDescent="0.2">
      <c r="A1220" s="17" t="str">
        <f>[1]SUMMARY!A1221</f>
        <v>285</v>
      </c>
      <c r="B1220" s="17">
        <f>[1]SUMMARY!B1221</f>
        <v>60</v>
      </c>
      <c r="C1220" s="17">
        <f>[1]SUMMARY!C1221</f>
        <v>18</v>
      </c>
      <c r="D1220" s="25" t="str">
        <f>[1]SUMMARY!D1221</f>
        <v>NITTO</v>
      </c>
      <c r="E1220" s="25" t="str">
        <f>[1]SUMMARY!E1221</f>
        <v>TERRA G2</v>
      </c>
      <c r="F1220" s="20"/>
      <c r="G1220" s="20"/>
      <c r="H1220" s="20"/>
      <c r="I1220" s="21">
        <f t="shared" si="10"/>
        <v>0</v>
      </c>
      <c r="J1220" s="22">
        <f>[1]SUMMARY!N1221</f>
        <v>13800</v>
      </c>
      <c r="K1220" s="23">
        <f t="shared" si="12"/>
        <v>0</v>
      </c>
      <c r="L1220" s="8"/>
      <c r="M1220" s="8"/>
    </row>
    <row r="1221" spans="1:13" x14ac:dyDescent="0.2">
      <c r="A1221" s="17" t="str">
        <f>[1]SUMMARY!A1222</f>
        <v>285</v>
      </c>
      <c r="B1221" s="17">
        <f>[1]SUMMARY!B1222</f>
        <v>60</v>
      </c>
      <c r="C1221" s="17">
        <f>[1]SUMMARY!C1222</f>
        <v>18</v>
      </c>
      <c r="D1221" s="25" t="str">
        <f>[1]SUMMARY!D1222</f>
        <v>NITTO</v>
      </c>
      <c r="E1221" s="25" t="str">
        <f>[1]SUMMARY!E1222</f>
        <v>NTGAT 2</v>
      </c>
      <c r="F1221" s="20"/>
      <c r="G1221" s="20"/>
      <c r="H1221" s="20"/>
      <c r="I1221" s="21">
        <f t="shared" si="10"/>
        <v>0</v>
      </c>
      <c r="J1221" s="22">
        <f>[1]SUMMARY!N1222</f>
        <v>11700</v>
      </c>
      <c r="K1221" s="23">
        <f t="shared" si="12"/>
        <v>0</v>
      </c>
      <c r="L1221" s="8"/>
      <c r="M1221" s="8"/>
    </row>
    <row r="1222" spans="1:13" x14ac:dyDescent="0.2">
      <c r="A1222" s="17" t="str">
        <f>[1]SUMMARY!A1223</f>
        <v>265</v>
      </c>
      <c r="B1222" s="17">
        <f>[1]SUMMARY!B1223</f>
        <v>65</v>
      </c>
      <c r="C1222" s="17">
        <f>[1]SUMMARY!C1223</f>
        <v>18</v>
      </c>
      <c r="D1222" s="25" t="str">
        <f>[1]SUMMARY!D1223</f>
        <v>NITTO</v>
      </c>
      <c r="E1222" s="25" t="str">
        <f>[1]SUMMARY!E1223</f>
        <v>NTGAT2</v>
      </c>
      <c r="F1222" s="20"/>
      <c r="G1222" s="20">
        <v>4</v>
      </c>
      <c r="H1222" s="20">
        <v>4</v>
      </c>
      <c r="I1222" s="21">
        <f t="shared" si="10"/>
        <v>0</v>
      </c>
      <c r="J1222" s="22">
        <f>[1]SUMMARY!N1223</f>
        <v>12000</v>
      </c>
      <c r="K1222" s="23">
        <f t="shared" si="12"/>
        <v>0</v>
      </c>
      <c r="L1222" s="8"/>
      <c r="M1222" s="8"/>
    </row>
    <row r="1223" spans="1:13" x14ac:dyDescent="0.2">
      <c r="A1223" s="17">
        <f>[1]SUMMARY!A1224</f>
        <v>265</v>
      </c>
      <c r="B1223" s="17">
        <f>[1]SUMMARY!B1224</f>
        <v>50</v>
      </c>
      <c r="C1223" s="17">
        <f>[1]SUMMARY!C1224</f>
        <v>20</v>
      </c>
      <c r="D1223" s="25" t="str">
        <f>[1]SUMMARY!D1224</f>
        <v>NITTO</v>
      </c>
      <c r="E1223" s="25" t="str">
        <f>[1]SUMMARY!E1224</f>
        <v>420S D (MALAYSIA) H/T</v>
      </c>
      <c r="F1223" s="20">
        <v>4</v>
      </c>
      <c r="G1223" s="20">
        <v>81</v>
      </c>
      <c r="H1223" s="20">
        <v>85</v>
      </c>
      <c r="I1223" s="21">
        <f t="shared" si="10"/>
        <v>0</v>
      </c>
      <c r="J1223" s="22">
        <f>[1]SUMMARY!N1224</f>
        <v>9522</v>
      </c>
      <c r="K1223" s="23">
        <f t="shared" si="12"/>
        <v>0</v>
      </c>
      <c r="L1223" s="8"/>
      <c r="M1223" s="8"/>
    </row>
    <row r="1224" spans="1:13" x14ac:dyDescent="0.2">
      <c r="A1224" s="17">
        <f>[1]SUMMARY!A1225</f>
        <v>265</v>
      </c>
      <c r="B1224" s="17">
        <f>[1]SUMMARY!B1225</f>
        <v>50</v>
      </c>
      <c r="C1224" s="17">
        <f>[1]SUMMARY!C1225</f>
        <v>20</v>
      </c>
      <c r="D1224" s="25" t="str">
        <f>[1]SUMMARY!D1225</f>
        <v>NITTO</v>
      </c>
      <c r="E1224" s="25" t="str">
        <f>[1]SUMMARY!E1225</f>
        <v>420S(JAPAN) H/T</v>
      </c>
      <c r="F1224" s="20"/>
      <c r="G1224" s="20">
        <v>4</v>
      </c>
      <c r="H1224" s="20">
        <v>4</v>
      </c>
      <c r="I1224" s="21">
        <f t="shared" si="10"/>
        <v>0</v>
      </c>
      <c r="J1224" s="22">
        <f>[1]SUMMARY!N1225</f>
        <v>10800</v>
      </c>
      <c r="K1224" s="23">
        <f t="shared" si="12"/>
        <v>0</v>
      </c>
      <c r="L1224" s="8"/>
      <c r="M1224" s="8"/>
    </row>
    <row r="1225" spans="1:13" x14ac:dyDescent="0.2">
      <c r="A1225" s="17" t="str">
        <f>[1]SUMMARY!A1226</f>
        <v>265</v>
      </c>
      <c r="B1225" s="17">
        <f>[1]SUMMARY!B1226</f>
        <v>50</v>
      </c>
      <c r="C1225" s="17">
        <f>[1]SUMMARY!C1226</f>
        <v>20</v>
      </c>
      <c r="D1225" s="25" t="str">
        <f>[1]SUMMARY!D1226</f>
        <v>NITTO</v>
      </c>
      <c r="E1225" s="25" t="str">
        <f>[1]SUMMARY!E1226</f>
        <v>TERRA GRAPPLER NTGA2 A/T</v>
      </c>
      <c r="F1225" s="20"/>
      <c r="G1225" s="20">
        <v>86</v>
      </c>
      <c r="H1225" s="20">
        <v>86</v>
      </c>
      <c r="I1225" s="21">
        <f t="shared" si="10"/>
        <v>0</v>
      </c>
      <c r="J1225" s="22">
        <f>[1]SUMMARY!N1226</f>
        <v>11800</v>
      </c>
      <c r="K1225" s="23">
        <f t="shared" si="12"/>
        <v>0</v>
      </c>
      <c r="L1225" s="8"/>
      <c r="M1225" s="8"/>
    </row>
    <row r="1226" spans="1:13" x14ac:dyDescent="0.2">
      <c r="A1226" s="17" t="str">
        <f>[1]SUMMARY!A1227</f>
        <v>265</v>
      </c>
      <c r="B1226" s="17">
        <f>[1]SUMMARY!B1227</f>
        <v>50</v>
      </c>
      <c r="C1226" s="17">
        <f>[1]SUMMARY!C1227</f>
        <v>20</v>
      </c>
      <c r="D1226" s="25" t="str">
        <f>[1]SUMMARY!D1227</f>
        <v>NITTO</v>
      </c>
      <c r="E1226" s="25" t="str">
        <f>[1]SUMMARY!E1227</f>
        <v>TERRA GRAPPLER NTGAT A/T</v>
      </c>
      <c r="F1226" s="20"/>
      <c r="G1226" s="20"/>
      <c r="H1226" s="20"/>
      <c r="I1226" s="21">
        <f t="shared" si="10"/>
        <v>0</v>
      </c>
      <c r="J1226" s="22">
        <f>[1]SUMMARY!N1227</f>
        <v>10500</v>
      </c>
      <c r="K1226" s="23">
        <f t="shared" si="12"/>
        <v>0</v>
      </c>
      <c r="L1226" s="8"/>
      <c r="M1226" s="8"/>
    </row>
    <row r="1227" spans="1:13" x14ac:dyDescent="0.2">
      <c r="A1227" s="17" t="str">
        <f>[1]SUMMARY!A1228</f>
        <v>285</v>
      </c>
      <c r="B1227" s="17">
        <f>[1]SUMMARY!B1228</f>
        <v>50</v>
      </c>
      <c r="C1227" s="17">
        <f>[1]SUMMARY!C1228</f>
        <v>20</v>
      </c>
      <c r="D1227" s="25" t="str">
        <f>[1]SUMMARY!D1228</f>
        <v>NITTO</v>
      </c>
      <c r="E1227" s="25" t="str">
        <f>[1]SUMMARY!E1228</f>
        <v>420S</v>
      </c>
      <c r="F1227" s="20"/>
      <c r="G1227" s="20"/>
      <c r="H1227" s="20"/>
      <c r="I1227" s="21">
        <f t="shared" si="10"/>
        <v>0</v>
      </c>
      <c r="J1227" s="22">
        <f>[1]SUMMARY!N1228</f>
        <v>14000</v>
      </c>
      <c r="K1227" s="23">
        <f t="shared" si="12"/>
        <v>0</v>
      </c>
      <c r="L1227" s="8"/>
      <c r="M1227" s="8"/>
    </row>
    <row r="1228" spans="1:13" x14ac:dyDescent="0.2">
      <c r="A1228" s="17" t="str">
        <f>[1]SUMMARY!A1229</f>
        <v>285</v>
      </c>
      <c r="B1228" s="17">
        <f>[1]SUMMARY!B1229</f>
        <v>50</v>
      </c>
      <c r="C1228" s="17">
        <f>[1]SUMMARY!C1229</f>
        <v>20</v>
      </c>
      <c r="D1228" s="25" t="str">
        <f>[1]SUMMARY!D1229</f>
        <v>NITTO</v>
      </c>
      <c r="E1228" s="25" t="str">
        <f>[1]SUMMARY!E1229</f>
        <v>TERRA GRAPPLER NTGAT A/T</v>
      </c>
      <c r="F1228" s="20"/>
      <c r="G1228" s="20">
        <v>4</v>
      </c>
      <c r="H1228" s="20">
        <v>4</v>
      </c>
      <c r="I1228" s="21">
        <f t="shared" ref="I1228:I1249" si="13">F1228+G1228-H1228</f>
        <v>0</v>
      </c>
      <c r="J1228" s="22">
        <f>[1]SUMMARY!N1229</f>
        <v>13800</v>
      </c>
      <c r="K1228" s="23">
        <f t="shared" si="12"/>
        <v>0</v>
      </c>
      <c r="L1228" s="8"/>
      <c r="M1228" s="8"/>
    </row>
    <row r="1229" spans="1:13" x14ac:dyDescent="0.2">
      <c r="A1229" s="17">
        <f>[1]SUMMARY!A1230</f>
        <v>275</v>
      </c>
      <c r="B1229" s="17">
        <f>[1]SUMMARY!B1230</f>
        <v>55</v>
      </c>
      <c r="C1229" s="17">
        <f>[1]SUMMARY!C1230</f>
        <v>20</v>
      </c>
      <c r="D1229" s="25" t="str">
        <f>[1]SUMMARY!D1230</f>
        <v>NITTO</v>
      </c>
      <c r="E1229" s="25" t="str">
        <f>[1]SUMMARY!E1230</f>
        <v>NT420S (JP)</v>
      </c>
      <c r="F1229" s="20"/>
      <c r="G1229" s="20">
        <v>20</v>
      </c>
      <c r="H1229" s="20">
        <v>20</v>
      </c>
      <c r="I1229" s="21">
        <f t="shared" si="13"/>
        <v>0</v>
      </c>
      <c r="J1229" s="22">
        <f>[1]SUMMARY!N1230</f>
        <v>11800</v>
      </c>
      <c r="K1229" s="23">
        <f t="shared" si="12"/>
        <v>0</v>
      </c>
      <c r="L1229" s="8"/>
      <c r="M1229" s="8"/>
    </row>
    <row r="1230" spans="1:13" x14ac:dyDescent="0.2">
      <c r="A1230" s="17" t="str">
        <f>[1]SUMMARY!A1231</f>
        <v>275</v>
      </c>
      <c r="B1230" s="17">
        <f>[1]SUMMARY!B1231</f>
        <v>55</v>
      </c>
      <c r="C1230" s="17">
        <f>[1]SUMMARY!C1231</f>
        <v>20</v>
      </c>
      <c r="D1230" s="25" t="str">
        <f>[1]SUMMARY!D1231</f>
        <v>NITTO</v>
      </c>
      <c r="E1230" s="25" t="str">
        <f>[1]SUMMARY!E1231</f>
        <v>TERRA GRAPPLER G2 A/T</v>
      </c>
      <c r="F1230" s="20"/>
      <c r="G1230" s="20">
        <v>32</v>
      </c>
      <c r="H1230" s="20">
        <v>32</v>
      </c>
      <c r="I1230" s="21">
        <f t="shared" si="13"/>
        <v>0</v>
      </c>
      <c r="J1230" s="22">
        <f>[1]SUMMARY!N1231</f>
        <v>13179</v>
      </c>
      <c r="K1230" s="23">
        <f t="shared" si="12"/>
        <v>0</v>
      </c>
      <c r="L1230" s="8"/>
      <c r="M1230" s="8"/>
    </row>
    <row r="1231" spans="1:13" x14ac:dyDescent="0.2">
      <c r="A1231" s="17">
        <f>[1]SUMMARY!A1232</f>
        <v>275</v>
      </c>
      <c r="B1231" s="17">
        <f>[1]SUMMARY!B1232</f>
        <v>55</v>
      </c>
      <c r="C1231" s="17">
        <f>[1]SUMMARY!C1232</f>
        <v>20</v>
      </c>
      <c r="D1231" s="25" t="str">
        <f>[1]SUMMARY!D1232</f>
        <v>NITTO</v>
      </c>
      <c r="E1231" s="25" t="str">
        <f>[1]SUMMARY!E1232</f>
        <v>RIDGE GRAPPLER</v>
      </c>
      <c r="F1231" s="20"/>
      <c r="G1231" s="20">
        <v>1</v>
      </c>
      <c r="H1231" s="20">
        <v>1</v>
      </c>
      <c r="I1231" s="21">
        <f t="shared" si="13"/>
        <v>0</v>
      </c>
      <c r="J1231" s="22">
        <f>[1]SUMMARY!N1232</f>
        <v>16800</v>
      </c>
      <c r="K1231" s="23">
        <f t="shared" si="12"/>
        <v>0</v>
      </c>
      <c r="L1231" s="8"/>
      <c r="M1231" s="8"/>
    </row>
    <row r="1232" spans="1:13" x14ac:dyDescent="0.2">
      <c r="A1232" s="17" t="str">
        <f>[1]SUMMARY!A1233</f>
        <v>35</v>
      </c>
      <c r="B1232" s="17">
        <f>[1]SUMMARY!B1233</f>
        <v>12.5</v>
      </c>
      <c r="C1232" s="17">
        <f>[1]SUMMARY!C1233</f>
        <v>20</v>
      </c>
      <c r="D1232" s="25" t="str">
        <f>[1]SUMMARY!D1233</f>
        <v>NITTO</v>
      </c>
      <c r="E1232" s="25" t="str">
        <f>[1]SUMMARY!E1233</f>
        <v>NTGMT EXTREME MUD TERRAIN</v>
      </c>
      <c r="F1232" s="20"/>
      <c r="G1232" s="20">
        <v>4</v>
      </c>
      <c r="H1232" s="20">
        <v>4</v>
      </c>
      <c r="I1232" s="21">
        <f t="shared" si="13"/>
        <v>0</v>
      </c>
      <c r="J1232" s="22">
        <f>[1]SUMMARY!N1233</f>
        <v>26300</v>
      </c>
      <c r="K1232" s="23">
        <f t="shared" si="12"/>
        <v>0</v>
      </c>
      <c r="L1232" s="8"/>
      <c r="M1232" s="8"/>
    </row>
    <row r="1233" spans="1:13" x14ac:dyDescent="0.2">
      <c r="A1233" s="17" t="str">
        <f>[1]SUMMARY!A1234</f>
        <v>285</v>
      </c>
      <c r="B1233" s="17">
        <f>[1]SUMMARY!B1234</f>
        <v>40</v>
      </c>
      <c r="C1233" s="17">
        <f>[1]SUMMARY!C1234</f>
        <v>22</v>
      </c>
      <c r="D1233" s="25" t="str">
        <f>[1]SUMMARY!D1234</f>
        <v>NITTO</v>
      </c>
      <c r="E1233" s="25" t="str">
        <f>[1]SUMMARY!E1234</f>
        <v>420S</v>
      </c>
      <c r="F1233" s="20"/>
      <c r="G1233" s="20">
        <v>8</v>
      </c>
      <c r="H1233" s="20">
        <v>8</v>
      </c>
      <c r="I1233" s="21">
        <f t="shared" si="13"/>
        <v>0</v>
      </c>
      <c r="J1233" s="22">
        <f>[1]SUMMARY!N1234</f>
        <v>14434.22</v>
      </c>
      <c r="K1233" s="23">
        <f t="shared" si="12"/>
        <v>0</v>
      </c>
      <c r="L1233" s="8"/>
      <c r="M1233" s="8"/>
    </row>
    <row r="1234" spans="1:13" x14ac:dyDescent="0.2">
      <c r="A1234" s="17" t="str">
        <f>[1]SUMMARY!A1235</f>
        <v>285</v>
      </c>
      <c r="B1234" s="17">
        <f>[1]SUMMARY!B1235</f>
        <v>45</v>
      </c>
      <c r="C1234" s="17">
        <f>[1]SUMMARY!C1235</f>
        <v>22</v>
      </c>
      <c r="D1234" s="25" t="str">
        <f>[1]SUMMARY!D1235</f>
        <v>NITTO</v>
      </c>
      <c r="E1234" s="25" t="str">
        <f>[1]SUMMARY!E1235</f>
        <v>NT 420S</v>
      </c>
      <c r="F1234" s="20"/>
      <c r="G1234" s="20"/>
      <c r="H1234" s="20"/>
      <c r="I1234" s="21">
        <f t="shared" si="13"/>
        <v>0</v>
      </c>
      <c r="J1234" s="22">
        <f>[1]SUMMARY!N1235</f>
        <v>17500</v>
      </c>
      <c r="K1234" s="23">
        <f t="shared" si="12"/>
        <v>0</v>
      </c>
      <c r="L1234" s="28">
        <f>SUM(K1212:K1234)</f>
        <v>0</v>
      </c>
      <c r="M1234" s="29" t="s">
        <v>61</v>
      </c>
    </row>
    <row r="1235" spans="1:13" x14ac:dyDescent="0.2">
      <c r="A1235" s="17" t="str">
        <f>[1]SUMMARY!A1236</f>
        <v>285</v>
      </c>
      <c r="B1235" s="17">
        <f>[1]SUMMARY!B1236</f>
        <v>45</v>
      </c>
      <c r="C1235" s="17">
        <f>[1]SUMMARY!C1236</f>
        <v>22</v>
      </c>
      <c r="D1235" s="25" t="str">
        <f>[1]SUMMARY!D1236</f>
        <v>NITTO</v>
      </c>
      <c r="E1235" s="25" t="str">
        <f>[1]SUMMARY!E1236</f>
        <v>NT-420V</v>
      </c>
      <c r="F1235" s="20"/>
      <c r="G1235" s="20"/>
      <c r="H1235" s="20"/>
      <c r="I1235" s="21">
        <f t="shared" si="13"/>
        <v>0</v>
      </c>
      <c r="J1235" s="22">
        <f>[1]SUMMARY!N1236</f>
        <v>17700</v>
      </c>
      <c r="K1235" s="23">
        <f t="shared" si="12"/>
        <v>0</v>
      </c>
      <c r="L1235" s="8"/>
      <c r="M1235" s="8"/>
    </row>
    <row r="1236" spans="1:13" x14ac:dyDescent="0.2">
      <c r="A1236" s="17" t="str">
        <f>[1]SUMMARY!A1237</f>
        <v>235</v>
      </c>
      <c r="B1236" s="17">
        <f>[1]SUMMARY!B1237</f>
        <v>65</v>
      </c>
      <c r="C1236" s="17">
        <f>[1]SUMMARY!C1237</f>
        <v>17</v>
      </c>
      <c r="D1236" s="25" t="str">
        <f>[1]SUMMARY!D1237</f>
        <v>OTANI</v>
      </c>
      <c r="E1236" s="25" t="str">
        <f>[1]SUMMARY!E1237</f>
        <v>SA1000</v>
      </c>
      <c r="F1236" s="20"/>
      <c r="G1236" s="20">
        <v>6</v>
      </c>
      <c r="H1236" s="20">
        <v>6</v>
      </c>
      <c r="I1236" s="21">
        <f t="shared" si="13"/>
        <v>0</v>
      </c>
      <c r="J1236" s="22">
        <f>[1]SUMMARY!N1237</f>
        <v>6000</v>
      </c>
      <c r="K1236" s="23">
        <f t="shared" si="12"/>
        <v>0</v>
      </c>
      <c r="L1236" s="8"/>
      <c r="M1236" s="8"/>
    </row>
    <row r="1237" spans="1:13" x14ac:dyDescent="0.2">
      <c r="A1237" s="17" t="str">
        <f>[1]SUMMARY!A1238</f>
        <v>285</v>
      </c>
      <c r="B1237" s="17">
        <f>[1]SUMMARY!B1238</f>
        <v>65</v>
      </c>
      <c r="C1237" s="17">
        <f>[1]SUMMARY!C1238</f>
        <v>18</v>
      </c>
      <c r="D1237" s="25" t="str">
        <f>[1]SUMMARY!D1238</f>
        <v>OTANI</v>
      </c>
      <c r="E1237" s="25" t="str">
        <f>[1]SUMMARY!E1238</f>
        <v>SA2000</v>
      </c>
      <c r="F1237" s="20"/>
      <c r="G1237" s="20"/>
      <c r="H1237" s="20"/>
      <c r="I1237" s="21">
        <f t="shared" si="13"/>
        <v>0</v>
      </c>
      <c r="J1237" s="22">
        <f>[1]SUMMARY!N1238</f>
        <v>8193.75</v>
      </c>
      <c r="K1237" s="23">
        <f t="shared" si="12"/>
        <v>0</v>
      </c>
      <c r="L1237" s="28">
        <f>SUM(K1236:K1237)</f>
        <v>0</v>
      </c>
      <c r="M1237" s="29" t="s">
        <v>62</v>
      </c>
    </row>
    <row r="1238" spans="1:13" x14ac:dyDescent="0.2">
      <c r="A1238" s="17" t="str">
        <f>[1]SUMMARY!A1239</f>
        <v>265</v>
      </c>
      <c r="B1238" s="17">
        <f>[1]SUMMARY!B1239</f>
        <v>65</v>
      </c>
      <c r="C1238" s="17">
        <f>[1]SUMMARY!C1239</f>
        <v>17</v>
      </c>
      <c r="D1238" s="25" t="str">
        <f>[1]SUMMARY!D1239</f>
        <v>PATRIOT</v>
      </c>
      <c r="E1238" s="25" t="str">
        <f>[1]SUMMARY!E1239</f>
        <v>RUGGED TERRAIN</v>
      </c>
      <c r="F1238" s="20"/>
      <c r="G1238" s="20">
        <v>28</v>
      </c>
      <c r="H1238" s="20">
        <v>24</v>
      </c>
      <c r="I1238" s="36">
        <f t="shared" si="13"/>
        <v>4</v>
      </c>
      <c r="J1238" s="22">
        <f>[1]SUMMARY!N1239</f>
        <v>6786.8</v>
      </c>
      <c r="K1238" s="23">
        <f t="shared" si="12"/>
        <v>27147.200000000001</v>
      </c>
      <c r="L1238" s="8"/>
      <c r="M1238" s="8"/>
    </row>
    <row r="1239" spans="1:13" x14ac:dyDescent="0.2">
      <c r="A1239" s="17" t="str">
        <f>[1]SUMMARY!A1240</f>
        <v>265</v>
      </c>
      <c r="B1239" s="17">
        <f>[1]SUMMARY!B1240</f>
        <v>70</v>
      </c>
      <c r="C1239" s="17">
        <f>[1]SUMMARY!C1240</f>
        <v>17</v>
      </c>
      <c r="D1239" s="25" t="str">
        <f>[1]SUMMARY!D1240</f>
        <v>PATRIOT</v>
      </c>
      <c r="E1239" s="25" t="str">
        <f>[1]SUMMARY!E1240</f>
        <v>RUGGED TERRAIN</v>
      </c>
      <c r="F1239" s="20"/>
      <c r="G1239" s="20">
        <v>40</v>
      </c>
      <c r="H1239" s="20">
        <v>40</v>
      </c>
      <c r="I1239" s="36">
        <f t="shared" si="13"/>
        <v>0</v>
      </c>
      <c r="J1239" s="22">
        <f>[1]SUMMARY!N1240</f>
        <v>6931.2</v>
      </c>
      <c r="K1239" s="23">
        <f t="shared" si="12"/>
        <v>0</v>
      </c>
      <c r="L1239" s="8"/>
      <c r="M1239" s="8"/>
    </row>
    <row r="1240" spans="1:13" x14ac:dyDescent="0.2">
      <c r="A1240" s="17" t="str">
        <f>[1]SUMMARY!A1241</f>
        <v>285</v>
      </c>
      <c r="B1240" s="17">
        <f>[1]SUMMARY!B1241</f>
        <v>70</v>
      </c>
      <c r="C1240" s="17">
        <f>[1]SUMMARY!C1241</f>
        <v>17</v>
      </c>
      <c r="D1240" s="25" t="str">
        <f>[1]SUMMARY!D1241</f>
        <v>PATRIOT</v>
      </c>
      <c r="E1240" s="25" t="str">
        <f>[1]SUMMARY!E1241</f>
        <v>RUGGED TERRAIN</v>
      </c>
      <c r="F1240" s="20"/>
      <c r="G1240" s="20">
        <v>9</v>
      </c>
      <c r="H1240" s="20">
        <v>9</v>
      </c>
      <c r="I1240" s="30">
        <f t="shared" si="13"/>
        <v>0</v>
      </c>
      <c r="J1240" s="22">
        <f>[1]SUMMARY!N1241</f>
        <v>7869.8</v>
      </c>
      <c r="K1240" s="23">
        <f t="shared" si="12"/>
        <v>0</v>
      </c>
      <c r="L1240" s="8"/>
      <c r="M1240" s="8"/>
    </row>
    <row r="1241" spans="1:13" x14ac:dyDescent="0.2">
      <c r="A1241" s="17" t="str">
        <f>[1]SUMMARY!A1242</f>
        <v>265</v>
      </c>
      <c r="B1241" s="17">
        <f>[1]SUMMARY!B1242</f>
        <v>60</v>
      </c>
      <c r="C1241" s="17">
        <f>[1]SUMMARY!C1242</f>
        <v>18</v>
      </c>
      <c r="D1241" s="25" t="str">
        <f>[1]SUMMARY!D1242</f>
        <v>PATRIOT</v>
      </c>
      <c r="E1241" s="25" t="str">
        <f>[1]SUMMARY!E1242</f>
        <v>RUGGED TERRAIN</v>
      </c>
      <c r="F1241" s="20"/>
      <c r="G1241" s="20">
        <v>37</v>
      </c>
      <c r="H1241" s="20">
        <v>33</v>
      </c>
      <c r="I1241" s="36">
        <f t="shared" si="13"/>
        <v>4</v>
      </c>
      <c r="J1241" s="22">
        <f>[1]SUMMARY!N1242</f>
        <v>6992</v>
      </c>
      <c r="K1241" s="23">
        <f t="shared" si="12"/>
        <v>27968</v>
      </c>
      <c r="L1241" s="8"/>
      <c r="M1241" s="8"/>
    </row>
    <row r="1242" spans="1:13" x14ac:dyDescent="0.2">
      <c r="A1242" s="17" t="str">
        <f>[1]SUMMARY!A1243</f>
        <v>265</v>
      </c>
      <c r="B1242" s="17">
        <f>[1]SUMMARY!B1243</f>
        <v>65</v>
      </c>
      <c r="C1242" s="17">
        <f>[1]SUMMARY!C1243</f>
        <v>18</v>
      </c>
      <c r="D1242" s="25" t="str">
        <f>[1]SUMMARY!D1243</f>
        <v>PATRIOT</v>
      </c>
      <c r="E1242" s="25" t="str">
        <f>[1]SUMMARY!E1243</f>
        <v>RUGGED TERRAIN</v>
      </c>
      <c r="F1242" s="20"/>
      <c r="G1242" s="20">
        <v>45</v>
      </c>
      <c r="H1242" s="20">
        <v>42</v>
      </c>
      <c r="I1242" s="36">
        <f t="shared" si="13"/>
        <v>3</v>
      </c>
      <c r="J1242" s="22">
        <f>[1]SUMMARY!N1243</f>
        <v>7220</v>
      </c>
      <c r="K1242" s="23">
        <f t="shared" si="12"/>
        <v>21660</v>
      </c>
      <c r="L1242" s="8"/>
      <c r="M1242" s="8"/>
    </row>
    <row r="1243" spans="1:13" x14ac:dyDescent="0.2">
      <c r="A1243" s="17" t="str">
        <f>[1]SUMMARY!A1244</f>
        <v>275</v>
      </c>
      <c r="B1243" s="17">
        <f>[1]SUMMARY!B1244</f>
        <v>65</v>
      </c>
      <c r="C1243" s="17">
        <f>[1]SUMMARY!C1244</f>
        <v>18</v>
      </c>
      <c r="D1243" s="25" t="str">
        <f>[1]SUMMARY!D1244</f>
        <v>PATRIOT</v>
      </c>
      <c r="E1243" s="25" t="str">
        <f>[1]SUMMARY!E1244</f>
        <v>RUGGED TERRAIN</v>
      </c>
      <c r="F1243" s="20"/>
      <c r="G1243" s="20">
        <v>4</v>
      </c>
      <c r="H1243" s="20">
        <v>4</v>
      </c>
      <c r="I1243" s="30">
        <f t="shared" si="13"/>
        <v>0</v>
      </c>
      <c r="J1243" s="22">
        <f>[1]SUMMARY!N1244</f>
        <v>7653.2</v>
      </c>
      <c r="K1243" s="23">
        <f t="shared" si="12"/>
        <v>0</v>
      </c>
      <c r="L1243" s="8"/>
      <c r="M1243" s="8"/>
    </row>
    <row r="1244" spans="1:13" x14ac:dyDescent="0.2">
      <c r="A1244" s="17" t="str">
        <f>[1]SUMMARY!A1245</f>
        <v>265</v>
      </c>
      <c r="B1244" s="17">
        <f>[1]SUMMARY!B1245</f>
        <v>50</v>
      </c>
      <c r="C1244" s="17">
        <f>[1]SUMMARY!C1245</f>
        <v>20</v>
      </c>
      <c r="D1244" s="25" t="str">
        <f>[1]SUMMARY!D1245</f>
        <v>PATRIOT</v>
      </c>
      <c r="E1244" s="25" t="str">
        <f>[1]SUMMARY!E1245</f>
        <v>RUGGED TERRAIN</v>
      </c>
      <c r="F1244" s="20"/>
      <c r="G1244" s="20">
        <v>55</v>
      </c>
      <c r="H1244" s="20">
        <v>51</v>
      </c>
      <c r="I1244" s="36">
        <f t="shared" si="13"/>
        <v>4</v>
      </c>
      <c r="J1244" s="22">
        <f>[1]SUMMARY!N1245</f>
        <v>7147.8</v>
      </c>
      <c r="K1244" s="23">
        <f t="shared" si="12"/>
        <v>28591.200000000001</v>
      </c>
      <c r="L1244" s="8"/>
      <c r="M1244" s="8"/>
    </row>
    <row r="1245" spans="1:13" x14ac:dyDescent="0.2">
      <c r="A1245" s="17" t="str">
        <f>[1]SUMMARY!A1246</f>
        <v>275</v>
      </c>
      <c r="B1245" s="17">
        <f>[1]SUMMARY!B1246</f>
        <v>55</v>
      </c>
      <c r="C1245" s="17">
        <f>[1]SUMMARY!C1246</f>
        <v>20</v>
      </c>
      <c r="D1245" s="25" t="str">
        <f>[1]SUMMARY!D1246</f>
        <v>PATRIOT</v>
      </c>
      <c r="E1245" s="25" t="str">
        <f>[1]SUMMARY!E1246</f>
        <v>RUGGED TERRAIN</v>
      </c>
      <c r="F1245" s="20"/>
      <c r="G1245" s="20">
        <v>64</v>
      </c>
      <c r="H1245" s="20">
        <v>64</v>
      </c>
      <c r="I1245" s="30">
        <f t="shared" si="13"/>
        <v>0</v>
      </c>
      <c r="J1245" s="22">
        <f>[1]SUMMARY!N1246</f>
        <v>8436</v>
      </c>
      <c r="K1245" s="23">
        <f t="shared" si="12"/>
        <v>0</v>
      </c>
      <c r="L1245" s="8"/>
      <c r="M1245" s="8"/>
    </row>
    <row r="1246" spans="1:13" x14ac:dyDescent="0.2">
      <c r="A1246" s="17" t="str">
        <f>[1]SUMMARY!A1247</f>
        <v>305</v>
      </c>
      <c r="B1246" s="17">
        <f>[1]SUMMARY!B1247</f>
        <v>55</v>
      </c>
      <c r="C1246" s="17">
        <f>[1]SUMMARY!C1247</f>
        <v>20</v>
      </c>
      <c r="D1246" s="25" t="str">
        <f>[1]SUMMARY!D1247</f>
        <v>PATRIOT</v>
      </c>
      <c r="E1246" s="25" t="str">
        <f>[1]SUMMARY!E1247</f>
        <v>RUGGED TERRAIN</v>
      </c>
      <c r="F1246" s="20"/>
      <c r="G1246" s="20">
        <v>4</v>
      </c>
      <c r="H1246" s="20">
        <v>4</v>
      </c>
      <c r="I1246" s="30">
        <f t="shared" si="13"/>
        <v>0</v>
      </c>
      <c r="J1246" s="22">
        <f>[1]SUMMARY!N1247</f>
        <v>10180.200000000001</v>
      </c>
      <c r="K1246" s="23">
        <f t="shared" si="12"/>
        <v>0</v>
      </c>
      <c r="L1246" s="8"/>
      <c r="M1246" s="8"/>
    </row>
    <row r="1247" spans="1:13" x14ac:dyDescent="0.2">
      <c r="A1247" s="17" t="str">
        <f>[1]SUMMARY!A1248</f>
        <v>285</v>
      </c>
      <c r="B1247" s="17">
        <f>[1]SUMMARY!B1248</f>
        <v>55</v>
      </c>
      <c r="C1247" s="17">
        <f>[1]SUMMARY!C1248</f>
        <v>20</v>
      </c>
      <c r="D1247" s="25" t="str">
        <f>[1]SUMMARY!D1248</f>
        <v>PATRIOT</v>
      </c>
      <c r="E1247" s="25" t="str">
        <f>[1]SUMMARY!E1248</f>
        <v>RUGGED TERRAIN</v>
      </c>
      <c r="F1247" s="20"/>
      <c r="G1247" s="20">
        <v>2</v>
      </c>
      <c r="H1247" s="20">
        <v>2</v>
      </c>
      <c r="I1247" s="30">
        <f t="shared" si="13"/>
        <v>0</v>
      </c>
      <c r="J1247" s="22">
        <f>[1]SUMMARY!N1248</f>
        <v>9602.6</v>
      </c>
      <c r="K1247" s="23">
        <f t="shared" si="12"/>
        <v>0</v>
      </c>
      <c r="L1247" s="28">
        <f>SUM(K1238:K1247)</f>
        <v>105366.39999999999</v>
      </c>
      <c r="M1247" s="29" t="s">
        <v>63</v>
      </c>
    </row>
    <row r="1248" spans="1:13" x14ac:dyDescent="0.2">
      <c r="A1248" s="17" t="str">
        <f>[1]SUMMARY!A1249</f>
        <v>295</v>
      </c>
      <c r="B1248" s="17">
        <f>[1]SUMMARY!B1249</f>
        <v>55</v>
      </c>
      <c r="C1248" s="17">
        <f>[1]SUMMARY!C1249</f>
        <v>20</v>
      </c>
      <c r="D1248" s="25" t="str">
        <f>[1]SUMMARY!D1249</f>
        <v>PATRIOT</v>
      </c>
      <c r="E1248" s="25" t="str">
        <f>[1]SUMMARY!E1249</f>
        <v>RUGGED TERRAIN</v>
      </c>
      <c r="F1248" s="20"/>
      <c r="G1248" s="20">
        <v>4</v>
      </c>
      <c r="H1248" s="20">
        <v>4</v>
      </c>
      <c r="I1248" s="30">
        <f t="shared" si="13"/>
        <v>0</v>
      </c>
      <c r="J1248" s="22">
        <f>[1]SUMMARY!N1249</f>
        <v>9891.4</v>
      </c>
      <c r="K1248" s="23">
        <f t="shared" si="12"/>
        <v>0</v>
      </c>
      <c r="L1248" s="33"/>
      <c r="M1248" s="33"/>
    </row>
    <row r="1249" spans="1:13" x14ac:dyDescent="0.2">
      <c r="A1249" s="17" t="str">
        <f>[1]SUMMARY!A1250</f>
        <v>165</v>
      </c>
      <c r="B1249" s="17">
        <f>[1]SUMMARY!B1250</f>
        <v>70</v>
      </c>
      <c r="C1249" s="17">
        <f>[1]SUMMARY!C1250</f>
        <v>14</v>
      </c>
      <c r="D1249" s="25" t="str">
        <f>[1]SUMMARY!D1250</f>
        <v>PETLAS</v>
      </c>
      <c r="E1249" s="25" t="str">
        <f>[1]SUMMARY!E1250</f>
        <v>ELEGANT PT311</v>
      </c>
      <c r="F1249" s="20"/>
      <c r="G1249" s="20">
        <v>4</v>
      </c>
      <c r="H1249" s="20">
        <v>4</v>
      </c>
      <c r="I1249" s="30">
        <f t="shared" si="13"/>
        <v>0</v>
      </c>
      <c r="J1249" s="22">
        <f>[1]SUMMARY!N1250</f>
        <v>2460.6999999999998</v>
      </c>
      <c r="K1249" s="23">
        <f t="shared" si="12"/>
        <v>0</v>
      </c>
      <c r="L1249" s="35"/>
      <c r="M1249" s="35"/>
    </row>
    <row r="1250" spans="1:13" ht="17" x14ac:dyDescent="0.2">
      <c r="A1250" s="17" t="str">
        <f>[1]SUMMARY!A1251</f>
        <v>225</v>
      </c>
      <c r="B1250" s="17">
        <f>[1]SUMMARY!B1251</f>
        <v>70</v>
      </c>
      <c r="C1250" s="17">
        <f>[1]SUMMARY!C1251</f>
        <v>16</v>
      </c>
      <c r="D1250" s="25" t="str">
        <f>[1]SUMMARY!D1251</f>
        <v>PETLAS</v>
      </c>
      <c r="E1250" s="25" t="str">
        <f>[1]SUMMARY!E1251</f>
        <v>EXPLERO PT44</v>
      </c>
      <c r="F1250" s="20"/>
      <c r="G1250" s="20" t="s">
        <v>64</v>
      </c>
      <c r="H1250" s="20"/>
      <c r="I1250" s="21">
        <v>0</v>
      </c>
      <c r="J1250" s="22">
        <f>[1]SUMMARY!N1251</f>
        <v>4560</v>
      </c>
      <c r="K1250" s="23">
        <f t="shared" si="12"/>
        <v>0</v>
      </c>
      <c r="L1250" s="28">
        <f>SUM(K1249:K1250)</f>
        <v>0</v>
      </c>
      <c r="M1250" s="29" t="s">
        <v>65</v>
      </c>
    </row>
    <row r="1251" spans="1:13" x14ac:dyDescent="0.2">
      <c r="A1251" s="17" t="str">
        <f>[1]SUMMARY!A1252</f>
        <v>185</v>
      </c>
      <c r="B1251" s="17">
        <f>[1]SUMMARY!B1252</f>
        <v>60</v>
      </c>
      <c r="C1251" s="17">
        <f>[1]SUMMARY!C1252</f>
        <v>15</v>
      </c>
      <c r="D1251" s="25" t="str">
        <f>[1]SUMMARY!D1252</f>
        <v>PIRELLI</v>
      </c>
      <c r="E1251" s="25" t="str">
        <f>[1]SUMMARY!E1252</f>
        <v>CINTURADO</v>
      </c>
      <c r="F1251" s="20"/>
      <c r="G1251" s="20"/>
      <c r="H1251" s="20"/>
      <c r="I1251" s="21">
        <f t="shared" ref="I1251:I1505" si="14">F1251+G1251-H1251</f>
        <v>0</v>
      </c>
      <c r="J1251" s="22">
        <f>[1]SUMMARY!N1252</f>
        <v>3250</v>
      </c>
      <c r="K1251" s="23">
        <f t="shared" si="12"/>
        <v>0</v>
      </c>
      <c r="L1251" s="8"/>
      <c r="M1251" s="8"/>
    </row>
    <row r="1252" spans="1:13" x14ac:dyDescent="0.2">
      <c r="A1252" s="17" t="str">
        <f>[1]SUMMARY!A1253</f>
        <v>205</v>
      </c>
      <c r="B1252" s="17">
        <f>[1]SUMMARY!B1253</f>
        <v>45</v>
      </c>
      <c r="C1252" s="17">
        <f>[1]SUMMARY!C1253</f>
        <v>16</v>
      </c>
      <c r="D1252" s="25" t="str">
        <f>[1]SUMMARY!D1253</f>
        <v>PIRELLI</v>
      </c>
      <c r="E1252" s="25" t="str">
        <f>[1]SUMMARY!E1253</f>
        <v>NERO</v>
      </c>
      <c r="F1252" s="20"/>
      <c r="G1252" s="20"/>
      <c r="H1252" s="20"/>
      <c r="I1252" s="21">
        <f t="shared" si="14"/>
        <v>0</v>
      </c>
      <c r="J1252" s="22">
        <f>[1]SUMMARY!N1253</f>
        <v>2376</v>
      </c>
      <c r="K1252" s="23">
        <f t="shared" si="12"/>
        <v>0</v>
      </c>
      <c r="L1252" s="8"/>
      <c r="M1252" s="8"/>
    </row>
    <row r="1253" spans="1:13" x14ac:dyDescent="0.2">
      <c r="A1253" s="17" t="str">
        <f>[1]SUMMARY!A1254</f>
        <v>265</v>
      </c>
      <c r="B1253" s="17">
        <f>[1]SUMMARY!B1254</f>
        <v>65</v>
      </c>
      <c r="C1253" s="17">
        <f>[1]SUMMARY!C1254</f>
        <v>17</v>
      </c>
      <c r="D1253" s="25" t="str">
        <f>[1]SUMMARY!D1254</f>
        <v>PIRELLI</v>
      </c>
      <c r="E1253" s="25" t="str">
        <f>[1]SUMMARY!E1254</f>
        <v>SCORPION ATR</v>
      </c>
      <c r="F1253" s="20"/>
      <c r="G1253" s="20">
        <v>2</v>
      </c>
      <c r="H1253" s="20">
        <v>2</v>
      </c>
      <c r="I1253" s="21">
        <f t="shared" si="14"/>
        <v>0</v>
      </c>
      <c r="J1253" s="22">
        <f>[1]SUMMARY!N1254</f>
        <v>8000</v>
      </c>
      <c r="K1253" s="23">
        <f t="shared" si="12"/>
        <v>0</v>
      </c>
      <c r="L1253" s="28">
        <f>SUM(K1251:K1253)</f>
        <v>0</v>
      </c>
      <c r="M1253" s="29" t="s">
        <v>66</v>
      </c>
    </row>
    <row r="1254" spans="1:13" x14ac:dyDescent="0.2">
      <c r="A1254" s="17" t="str">
        <f>[1]SUMMARY!A1255</f>
        <v>265</v>
      </c>
      <c r="B1254" s="17">
        <f>[1]SUMMARY!B1255</f>
        <v>70</v>
      </c>
      <c r="C1254" s="17">
        <f>[1]SUMMARY!C1255</f>
        <v>16</v>
      </c>
      <c r="D1254" s="25" t="str">
        <f>[1]SUMMARY!D1255</f>
        <v>PRESA</v>
      </c>
      <c r="E1254" s="25" t="str">
        <f>[1]SUMMARY!E1255</f>
        <v>A/T PRO (THAI)</v>
      </c>
      <c r="F1254" s="20"/>
      <c r="G1254" s="20"/>
      <c r="H1254" s="20"/>
      <c r="I1254" s="21">
        <f t="shared" si="14"/>
        <v>0</v>
      </c>
      <c r="J1254" s="22">
        <f>[1]SUMMARY!N1255</f>
        <v>4000</v>
      </c>
      <c r="K1254" s="23">
        <f t="shared" si="12"/>
        <v>0</v>
      </c>
      <c r="L1254" s="28">
        <f>SUM(K1254)</f>
        <v>0</v>
      </c>
      <c r="M1254" s="29" t="s">
        <v>67</v>
      </c>
    </row>
    <row r="1255" spans="1:13" x14ac:dyDescent="0.2">
      <c r="A1255" s="27" t="str">
        <f>[1]SUMMARY!A1256</f>
        <v>175</v>
      </c>
      <c r="B1255" s="17">
        <f>[1]SUMMARY!B1256</f>
        <v>70</v>
      </c>
      <c r="C1255" s="17">
        <f>[1]SUMMARY!C1256</f>
        <v>13</v>
      </c>
      <c r="D1255" s="25" t="str">
        <f>[1]SUMMARY!D1256</f>
        <v>RADAR</v>
      </c>
      <c r="E1255" s="25" t="str">
        <f>[1]SUMMARY!E1256</f>
        <v xml:space="preserve">RPX 900 </v>
      </c>
      <c r="F1255" s="20"/>
      <c r="G1255" s="20"/>
      <c r="H1255" s="20"/>
      <c r="I1255" s="21">
        <f t="shared" si="14"/>
        <v>0</v>
      </c>
      <c r="J1255" s="22">
        <f>[1]SUMMARY!N1256</f>
        <v>1822</v>
      </c>
      <c r="K1255" s="23">
        <f t="shared" si="12"/>
        <v>0</v>
      </c>
      <c r="L1255" s="8"/>
      <c r="M1255" s="8"/>
    </row>
    <row r="1256" spans="1:13" x14ac:dyDescent="0.2">
      <c r="A1256" s="17" t="str">
        <f>[1]SUMMARY!A1257</f>
        <v>195</v>
      </c>
      <c r="B1256" s="17">
        <f>[1]SUMMARY!B1257</f>
        <v>55</v>
      </c>
      <c r="C1256" s="17">
        <f>[1]SUMMARY!C1257</f>
        <v>15</v>
      </c>
      <c r="D1256" s="25" t="str">
        <f>[1]SUMMARY!D1257</f>
        <v>RADAR</v>
      </c>
      <c r="E1256" s="25" t="str">
        <f>[1]SUMMARY!E1257</f>
        <v>DIMAX AS-6</v>
      </c>
      <c r="F1256" s="20"/>
      <c r="G1256" s="20">
        <v>14</v>
      </c>
      <c r="H1256" s="20">
        <v>14</v>
      </c>
      <c r="I1256" s="21">
        <f t="shared" si="14"/>
        <v>0</v>
      </c>
      <c r="J1256" s="22">
        <f>[1]SUMMARY!N1257</f>
        <v>2336</v>
      </c>
      <c r="K1256" s="23">
        <f t="shared" si="12"/>
        <v>0</v>
      </c>
      <c r="L1256" s="8"/>
      <c r="M1256" s="8"/>
    </row>
    <row r="1257" spans="1:13" x14ac:dyDescent="0.2">
      <c r="A1257" s="17" t="str">
        <f>[1]SUMMARY!A1258</f>
        <v>185</v>
      </c>
      <c r="B1257" s="17">
        <f>[1]SUMMARY!B1258</f>
        <v>60</v>
      </c>
      <c r="C1257" s="17">
        <f>[1]SUMMARY!C1258</f>
        <v>15</v>
      </c>
      <c r="D1257" s="25" t="str">
        <f>[1]SUMMARY!D1258</f>
        <v>RADAR</v>
      </c>
      <c r="E1257" s="25" t="str">
        <f>[1]SUMMARY!E1258</f>
        <v>DIMAX AS-6 TL 88H</v>
      </c>
      <c r="F1257" s="20"/>
      <c r="G1257" s="20">
        <v>8</v>
      </c>
      <c r="H1257" s="20">
        <v>8</v>
      </c>
      <c r="I1257" s="21">
        <f t="shared" si="14"/>
        <v>0</v>
      </c>
      <c r="J1257" s="22">
        <f>[1]SUMMARY!N1258</f>
        <v>2353</v>
      </c>
      <c r="K1257" s="23">
        <f t="shared" si="12"/>
        <v>0</v>
      </c>
      <c r="L1257" s="8"/>
      <c r="M1257" s="8"/>
    </row>
    <row r="1258" spans="1:13" x14ac:dyDescent="0.2">
      <c r="A1258" s="27" t="str">
        <f>[1]SUMMARY!A1259</f>
        <v>185</v>
      </c>
      <c r="B1258" s="17">
        <f>[1]SUMMARY!B1259</f>
        <v>65</v>
      </c>
      <c r="C1258" s="17">
        <f>[1]SUMMARY!C1259</f>
        <v>15</v>
      </c>
      <c r="D1258" s="25" t="str">
        <f>[1]SUMMARY!D1259</f>
        <v>RADAR</v>
      </c>
      <c r="E1258" s="25" t="str">
        <f>[1]SUMMARY!E1259</f>
        <v xml:space="preserve">RPX 900 </v>
      </c>
      <c r="F1258" s="20"/>
      <c r="G1258" s="20"/>
      <c r="H1258" s="20"/>
      <c r="I1258" s="21">
        <f t="shared" si="14"/>
        <v>0</v>
      </c>
      <c r="J1258" s="22">
        <f>[1]SUMMARY!N1259</f>
        <v>0</v>
      </c>
      <c r="K1258" s="23">
        <f t="shared" si="12"/>
        <v>0</v>
      </c>
      <c r="L1258" s="8"/>
      <c r="M1258" s="8"/>
    </row>
    <row r="1259" spans="1:13" x14ac:dyDescent="0.2">
      <c r="A1259" s="17" t="str">
        <f>[1]SUMMARY!A1260</f>
        <v>195</v>
      </c>
      <c r="B1259" s="17">
        <f>[1]SUMMARY!B1260</f>
        <v>65</v>
      </c>
      <c r="C1259" s="17">
        <f>[1]SUMMARY!C1260</f>
        <v>15</v>
      </c>
      <c r="D1259" s="25" t="str">
        <f>[1]SUMMARY!D1260</f>
        <v>RADAR</v>
      </c>
      <c r="E1259" s="25" t="str">
        <f>[1]SUMMARY!E1260</f>
        <v>DIMAX AS-6</v>
      </c>
      <c r="F1259" s="20"/>
      <c r="G1259" s="20">
        <v>8</v>
      </c>
      <c r="H1259" s="20">
        <v>8</v>
      </c>
      <c r="I1259" s="21">
        <f t="shared" si="14"/>
        <v>0</v>
      </c>
      <c r="J1259" s="22">
        <f>[1]SUMMARY!N1260</f>
        <v>2534</v>
      </c>
      <c r="K1259" s="23">
        <f t="shared" si="12"/>
        <v>0</v>
      </c>
      <c r="L1259" s="8"/>
      <c r="M1259" s="8"/>
    </row>
    <row r="1260" spans="1:13" x14ac:dyDescent="0.2">
      <c r="A1260" s="17" t="str">
        <f>[1]SUMMARY!A1261</f>
        <v>205</v>
      </c>
      <c r="B1260" s="17">
        <f>[1]SUMMARY!B1261</f>
        <v>65</v>
      </c>
      <c r="C1260" s="17">
        <f>[1]SUMMARY!C1261</f>
        <v>15</v>
      </c>
      <c r="D1260" s="25" t="str">
        <f>[1]SUMMARY!D1261</f>
        <v>RADAR</v>
      </c>
      <c r="E1260" s="25" t="str">
        <f>[1]SUMMARY!E1261</f>
        <v>DIMAX AS-6</v>
      </c>
      <c r="F1260" s="20"/>
      <c r="G1260" s="20">
        <v>10</v>
      </c>
      <c r="H1260" s="20">
        <v>10</v>
      </c>
      <c r="I1260" s="21">
        <f t="shared" si="14"/>
        <v>0</v>
      </c>
      <c r="J1260" s="22">
        <f>[1]SUMMARY!N1261</f>
        <v>2756</v>
      </c>
      <c r="K1260" s="23">
        <f t="shared" si="12"/>
        <v>0</v>
      </c>
      <c r="L1260" s="8"/>
      <c r="M1260" s="8"/>
    </row>
    <row r="1261" spans="1:13" x14ac:dyDescent="0.2">
      <c r="A1261" s="17" t="str">
        <f>[1]SUMMARY!A1262</f>
        <v>195</v>
      </c>
      <c r="B1261" s="17">
        <f>[1]SUMMARY!B1262</f>
        <v>70</v>
      </c>
      <c r="C1261" s="17">
        <f>[1]SUMMARY!C1262</f>
        <v>15</v>
      </c>
      <c r="D1261" s="25" t="str">
        <f>[1]SUMMARY!D1262</f>
        <v>RADAR</v>
      </c>
      <c r="E1261" s="25" t="str">
        <f>[1]SUMMARY!E1262</f>
        <v>ARGONITE</v>
      </c>
      <c r="F1261" s="20"/>
      <c r="G1261" s="20"/>
      <c r="H1261" s="20"/>
      <c r="I1261" s="21">
        <f t="shared" si="14"/>
        <v>0</v>
      </c>
      <c r="J1261" s="22">
        <f>[1]SUMMARY!N1262</f>
        <v>3100</v>
      </c>
      <c r="K1261" s="23">
        <f t="shared" si="12"/>
        <v>0</v>
      </c>
      <c r="L1261" s="8"/>
      <c r="M1261" s="8"/>
    </row>
    <row r="1262" spans="1:13" x14ac:dyDescent="0.2">
      <c r="A1262" s="17" t="str">
        <f>[1]SUMMARY!A1263</f>
        <v>205</v>
      </c>
      <c r="B1262" s="17">
        <f>[1]SUMMARY!B1263</f>
        <v>70</v>
      </c>
      <c r="C1262" s="17">
        <f>[1]SUMMARY!C1263</f>
        <v>15</v>
      </c>
      <c r="D1262" s="25" t="str">
        <f>[1]SUMMARY!D1263</f>
        <v>RADAR</v>
      </c>
      <c r="E1262" s="25" t="str">
        <f>[1]SUMMARY!E1263</f>
        <v>RPX 900</v>
      </c>
      <c r="F1262" s="20"/>
      <c r="G1262" s="20"/>
      <c r="H1262" s="20"/>
      <c r="I1262" s="21">
        <f t="shared" si="14"/>
        <v>0</v>
      </c>
      <c r="J1262" s="22">
        <f>[1]SUMMARY!N1263</f>
        <v>2700</v>
      </c>
      <c r="K1262" s="23">
        <f t="shared" si="12"/>
        <v>0</v>
      </c>
      <c r="L1262" s="8"/>
      <c r="M1262" s="8"/>
    </row>
    <row r="1263" spans="1:13" x14ac:dyDescent="0.2">
      <c r="A1263" s="17" t="str">
        <f>[1]SUMMARY!A1264</f>
        <v>205</v>
      </c>
      <c r="B1263" s="17">
        <f>[1]SUMMARY!B1264</f>
        <v>70</v>
      </c>
      <c r="C1263" s="17">
        <f>[1]SUMMARY!C1264</f>
        <v>15</v>
      </c>
      <c r="D1263" s="25" t="str">
        <f>[1]SUMMARY!D1264</f>
        <v>RADAR</v>
      </c>
      <c r="E1263" s="25" t="str">
        <f>[1]SUMMARY!E1264</f>
        <v>RENEGADE RT</v>
      </c>
      <c r="F1263" s="20"/>
      <c r="G1263" s="20">
        <v>4</v>
      </c>
      <c r="H1263" s="20">
        <v>4</v>
      </c>
      <c r="I1263" s="21">
        <f t="shared" si="14"/>
        <v>0</v>
      </c>
      <c r="J1263" s="22">
        <f>[1]SUMMARY!N1264</f>
        <v>4600</v>
      </c>
      <c r="K1263" s="23">
        <f t="shared" si="12"/>
        <v>0</v>
      </c>
      <c r="L1263" s="8"/>
      <c r="M1263" s="8"/>
    </row>
    <row r="1264" spans="1:13" x14ac:dyDescent="0.2">
      <c r="A1264" s="17" t="str">
        <f>[1]SUMMARY!A1265</f>
        <v>235</v>
      </c>
      <c r="B1264" s="17">
        <f>[1]SUMMARY!B1265</f>
        <v>70</v>
      </c>
      <c r="C1264" s="17">
        <f>[1]SUMMARY!C1265</f>
        <v>15</v>
      </c>
      <c r="D1264" s="25" t="str">
        <f>[1]SUMMARY!D1265</f>
        <v>RADAR</v>
      </c>
      <c r="E1264" s="25" t="str">
        <f>[1]SUMMARY!E1265</f>
        <v>RXS8 103T</v>
      </c>
      <c r="F1264" s="20"/>
      <c r="G1264" s="20">
        <v>12</v>
      </c>
      <c r="H1264" s="20">
        <v>12</v>
      </c>
      <c r="I1264" s="21">
        <f t="shared" si="14"/>
        <v>0</v>
      </c>
      <c r="J1264" s="22">
        <f>[1]SUMMARY!N1265</f>
        <v>4102</v>
      </c>
      <c r="K1264" s="23">
        <f t="shared" si="12"/>
        <v>0</v>
      </c>
      <c r="L1264" s="8"/>
      <c r="M1264" s="8"/>
    </row>
    <row r="1265" spans="1:13" x14ac:dyDescent="0.2">
      <c r="A1265" s="17" t="str">
        <f>[1]SUMMARY!A1266</f>
        <v>215</v>
      </c>
      <c r="B1265" s="17">
        <f>[1]SUMMARY!B1266</f>
        <v>75</v>
      </c>
      <c r="C1265" s="17">
        <f>[1]SUMMARY!C1266</f>
        <v>15</v>
      </c>
      <c r="D1265" s="25" t="str">
        <f>[1]SUMMARY!D1266</f>
        <v>RADAR</v>
      </c>
      <c r="E1265" s="25" t="str">
        <f>[1]SUMMARY!E1266</f>
        <v>RENEGADE R/T LT</v>
      </c>
      <c r="F1265" s="20"/>
      <c r="G1265" s="20"/>
      <c r="H1265" s="20"/>
      <c r="I1265" s="21">
        <f t="shared" si="14"/>
        <v>0</v>
      </c>
      <c r="J1265" s="22">
        <f>[1]SUMMARY!N1266</f>
        <v>4168</v>
      </c>
      <c r="K1265" s="23">
        <f t="shared" si="12"/>
        <v>0</v>
      </c>
      <c r="L1265" s="8"/>
      <c r="M1265" s="8"/>
    </row>
    <row r="1266" spans="1:13" x14ac:dyDescent="0.2">
      <c r="A1266" s="17" t="str">
        <f>[1]SUMMARY!A1267</f>
        <v>235</v>
      </c>
      <c r="B1266" s="17">
        <f>[1]SUMMARY!B1267</f>
        <v>75</v>
      </c>
      <c r="C1266" s="17">
        <f>[1]SUMMARY!C1267</f>
        <v>15</v>
      </c>
      <c r="D1266" s="25" t="str">
        <f>[1]SUMMARY!D1267</f>
        <v>RADAR</v>
      </c>
      <c r="E1266" s="25" t="str">
        <f>[1]SUMMARY!E1267</f>
        <v xml:space="preserve">RXS8 </v>
      </c>
      <c r="F1266" s="20"/>
      <c r="G1266" s="20">
        <v>4</v>
      </c>
      <c r="H1266" s="20">
        <v>4</v>
      </c>
      <c r="I1266" s="21">
        <f t="shared" si="14"/>
        <v>0</v>
      </c>
      <c r="J1266" s="22">
        <f>[1]SUMMARY!N1267</f>
        <v>4538</v>
      </c>
      <c r="K1266" s="23">
        <f t="shared" si="12"/>
        <v>0</v>
      </c>
      <c r="L1266" s="8"/>
      <c r="M1266" s="8"/>
    </row>
    <row r="1267" spans="1:13" x14ac:dyDescent="0.2">
      <c r="A1267" s="27" t="str">
        <f>[1]SUMMARY!A1268</f>
        <v>195</v>
      </c>
      <c r="B1267" s="17">
        <f>[1]SUMMARY!B1268</f>
        <v>0</v>
      </c>
      <c r="C1267" s="17" t="str">
        <f>[1]SUMMARY!C1268</f>
        <v>15C</v>
      </c>
      <c r="D1267" s="25" t="str">
        <f>[1]SUMMARY!D1268</f>
        <v>RADAR</v>
      </c>
      <c r="E1267" s="25" t="str">
        <f>[1]SUMMARY!E1268</f>
        <v>RPX878</v>
      </c>
      <c r="F1267" s="20"/>
      <c r="G1267" s="20"/>
      <c r="H1267" s="20"/>
      <c r="I1267" s="21">
        <f t="shared" si="14"/>
        <v>0</v>
      </c>
      <c r="J1267" s="22">
        <f>[1]SUMMARY!N1268</f>
        <v>3406</v>
      </c>
      <c r="K1267" s="23">
        <f t="shared" si="12"/>
        <v>0</v>
      </c>
      <c r="L1267" s="8"/>
      <c r="M1267" s="8"/>
    </row>
    <row r="1268" spans="1:13" x14ac:dyDescent="0.2">
      <c r="A1268" s="17" t="str">
        <f>[1]SUMMARY!A1269</f>
        <v>205</v>
      </c>
      <c r="B1268" s="17">
        <f>[1]SUMMARY!B1269</f>
        <v>45</v>
      </c>
      <c r="C1268" s="17">
        <f>[1]SUMMARY!C1269</f>
        <v>16</v>
      </c>
      <c r="D1268" s="25" t="str">
        <f>[1]SUMMARY!D1269</f>
        <v>RADAR</v>
      </c>
      <c r="E1268" s="25" t="str">
        <f>[1]SUMMARY!E1269</f>
        <v>D.VERENTI R6</v>
      </c>
      <c r="F1268" s="20"/>
      <c r="G1268" s="20"/>
      <c r="H1268" s="20"/>
      <c r="I1268" s="21">
        <f t="shared" si="14"/>
        <v>0</v>
      </c>
      <c r="J1268" s="22">
        <f>[1]SUMMARY!N1269</f>
        <v>2376</v>
      </c>
      <c r="K1268" s="23">
        <f t="shared" si="12"/>
        <v>0</v>
      </c>
      <c r="L1268" s="8"/>
      <c r="M1268" s="8"/>
    </row>
    <row r="1269" spans="1:13" x14ac:dyDescent="0.2">
      <c r="A1269" s="17" t="str">
        <f>[1]SUMMARY!A1270</f>
        <v>215</v>
      </c>
      <c r="B1269" s="17">
        <f>[1]SUMMARY!B1270</f>
        <v>60</v>
      </c>
      <c r="C1269" s="17">
        <f>[1]SUMMARY!C1270</f>
        <v>16</v>
      </c>
      <c r="D1269" s="25" t="str">
        <f>[1]SUMMARY!D1270</f>
        <v>RADAR</v>
      </c>
      <c r="E1269" s="25" t="str">
        <f>[1]SUMMARY!E1270</f>
        <v>DIMAX AS-8</v>
      </c>
      <c r="F1269" s="20"/>
      <c r="G1269" s="20">
        <v>5</v>
      </c>
      <c r="H1269" s="20">
        <v>5</v>
      </c>
      <c r="I1269" s="21">
        <f t="shared" si="14"/>
        <v>0</v>
      </c>
      <c r="J1269" s="22">
        <f>[1]SUMMARY!N1270</f>
        <v>3541</v>
      </c>
      <c r="K1269" s="23">
        <f t="shared" si="12"/>
        <v>0</v>
      </c>
      <c r="L1269" s="8"/>
      <c r="M1269" s="8"/>
    </row>
    <row r="1270" spans="1:13" x14ac:dyDescent="0.2">
      <c r="A1270" s="17" t="str">
        <f>[1]SUMMARY!A1271</f>
        <v>215</v>
      </c>
      <c r="B1270" s="17">
        <f>[1]SUMMARY!B1271</f>
        <v>60</v>
      </c>
      <c r="C1270" s="17">
        <f>[1]SUMMARY!C1271</f>
        <v>16</v>
      </c>
      <c r="D1270" s="25" t="str">
        <f>[1]SUMMARY!D1271</f>
        <v>RADAR</v>
      </c>
      <c r="E1270" s="25" t="str">
        <f>[1]SUMMARY!E1271</f>
        <v>RPX900</v>
      </c>
      <c r="F1270" s="20"/>
      <c r="G1270" s="20"/>
      <c r="H1270" s="20"/>
      <c r="I1270" s="21">
        <f t="shared" si="14"/>
        <v>0</v>
      </c>
      <c r="J1270" s="22">
        <f>[1]SUMMARY!N1271</f>
        <v>3445.2</v>
      </c>
      <c r="K1270" s="23">
        <f t="shared" si="12"/>
        <v>0</v>
      </c>
      <c r="L1270" s="8"/>
      <c r="M1270" s="8"/>
    </row>
    <row r="1271" spans="1:13" x14ac:dyDescent="0.2">
      <c r="A1271" s="17" t="str">
        <f>[1]SUMMARY!A1272</f>
        <v>215</v>
      </c>
      <c r="B1271" s="17">
        <f>[1]SUMMARY!B1272</f>
        <v>65</v>
      </c>
      <c r="C1271" s="17">
        <f>[1]SUMMARY!C1272</f>
        <v>16</v>
      </c>
      <c r="D1271" s="25" t="str">
        <f>[1]SUMMARY!D1272</f>
        <v>RADAR</v>
      </c>
      <c r="E1271" s="25" t="str">
        <f>[1]SUMMARY!E1272</f>
        <v>RPX900</v>
      </c>
      <c r="F1271" s="20"/>
      <c r="G1271" s="20"/>
      <c r="H1271" s="20"/>
      <c r="I1271" s="21">
        <f t="shared" si="14"/>
        <v>0</v>
      </c>
      <c r="J1271" s="22">
        <f>[1]SUMMARY!N1272</f>
        <v>0</v>
      </c>
      <c r="K1271" s="23">
        <f t="shared" si="12"/>
        <v>0</v>
      </c>
      <c r="L1271" s="8"/>
      <c r="M1271" s="8"/>
    </row>
    <row r="1272" spans="1:13" x14ac:dyDescent="0.2">
      <c r="A1272" s="17" t="str">
        <f>[1]SUMMARY!A1273</f>
        <v>215</v>
      </c>
      <c r="B1272" s="17">
        <f>[1]SUMMARY!B1273</f>
        <v>65</v>
      </c>
      <c r="C1272" s="17">
        <f>[1]SUMMARY!C1273</f>
        <v>16</v>
      </c>
      <c r="D1272" s="25" t="str">
        <f>[1]SUMMARY!D1273</f>
        <v>RADAR</v>
      </c>
      <c r="E1272" s="25" t="str">
        <f>[1]SUMMARY!E1273</f>
        <v>DIMAX AS-8</v>
      </c>
      <c r="F1272" s="20"/>
      <c r="G1272" s="20">
        <v>8</v>
      </c>
      <c r="H1272" s="20">
        <v>8</v>
      </c>
      <c r="I1272" s="21">
        <f t="shared" si="14"/>
        <v>0</v>
      </c>
      <c r="J1272" s="22">
        <f>[1]SUMMARY!N1273</f>
        <v>3683</v>
      </c>
      <c r="K1272" s="23">
        <f t="shared" si="12"/>
        <v>0</v>
      </c>
      <c r="L1272" s="8"/>
      <c r="M1272" s="8"/>
    </row>
    <row r="1273" spans="1:13" x14ac:dyDescent="0.2">
      <c r="A1273" s="17" t="str">
        <f>[1]SUMMARY!A1274</f>
        <v>245</v>
      </c>
      <c r="B1273" s="17">
        <f>[1]SUMMARY!B1274</f>
        <v>70</v>
      </c>
      <c r="C1273" s="17">
        <f>[1]SUMMARY!C1274</f>
        <v>16</v>
      </c>
      <c r="D1273" s="25" t="str">
        <f>[1]SUMMARY!D1274</f>
        <v>RADAR</v>
      </c>
      <c r="E1273" s="25" t="str">
        <f>[1]SUMMARY!E1274</f>
        <v>RXS</v>
      </c>
      <c r="F1273" s="20"/>
      <c r="G1273" s="20"/>
      <c r="H1273" s="20"/>
      <c r="I1273" s="21">
        <f t="shared" si="14"/>
        <v>0</v>
      </c>
      <c r="J1273" s="22">
        <f>[1]SUMMARY!N1274</f>
        <v>5450</v>
      </c>
      <c r="K1273" s="23">
        <f t="shared" si="12"/>
        <v>0</v>
      </c>
      <c r="L1273" s="8"/>
      <c r="M1273" s="8"/>
    </row>
    <row r="1274" spans="1:13" x14ac:dyDescent="0.2">
      <c r="A1274" s="17" t="str">
        <f>[1]SUMMARY!A1275</f>
        <v>285</v>
      </c>
      <c r="B1274" s="17">
        <f>[1]SUMMARY!B1275</f>
        <v>75</v>
      </c>
      <c r="C1274" s="17">
        <f>[1]SUMMARY!C1275</f>
        <v>16</v>
      </c>
      <c r="D1274" s="25" t="str">
        <f>[1]SUMMARY!D1275</f>
        <v>RADAR</v>
      </c>
      <c r="E1274" s="25" t="str">
        <f>[1]SUMMARY!E1275</f>
        <v>RENEGADE M/T</v>
      </c>
      <c r="F1274" s="20"/>
      <c r="G1274" s="20"/>
      <c r="H1274" s="20"/>
      <c r="I1274" s="21">
        <f t="shared" si="14"/>
        <v>0</v>
      </c>
      <c r="J1274" s="22">
        <f>[1]SUMMARY!N1275</f>
        <v>7527</v>
      </c>
      <c r="K1274" s="23">
        <f t="shared" si="12"/>
        <v>0</v>
      </c>
      <c r="L1274" s="8"/>
      <c r="M1274" s="8"/>
    </row>
    <row r="1275" spans="1:13" x14ac:dyDescent="0.2">
      <c r="A1275" s="17" t="str">
        <f>[1]SUMMARY!A1276</f>
        <v>215</v>
      </c>
      <c r="B1275" s="17">
        <f>[1]SUMMARY!B1276</f>
        <v>45</v>
      </c>
      <c r="C1275" s="17">
        <f>[1]SUMMARY!C1276</f>
        <v>17</v>
      </c>
      <c r="D1275" s="25" t="str">
        <f>[1]SUMMARY!D1276</f>
        <v>RADAR</v>
      </c>
      <c r="E1275" s="25" t="str">
        <f>[1]SUMMARY!E1276</f>
        <v xml:space="preserve">DIMAX AS-8 </v>
      </c>
      <c r="F1275" s="20"/>
      <c r="G1275" s="20">
        <v>4</v>
      </c>
      <c r="H1275" s="20">
        <v>4</v>
      </c>
      <c r="I1275" s="21">
        <f t="shared" si="14"/>
        <v>0</v>
      </c>
      <c r="J1275" s="22">
        <f>[1]SUMMARY!N1276</f>
        <v>3112</v>
      </c>
      <c r="K1275" s="23">
        <f t="shared" si="12"/>
        <v>0</v>
      </c>
      <c r="L1275" s="8"/>
      <c r="M1275" s="8"/>
    </row>
    <row r="1276" spans="1:13" x14ac:dyDescent="0.2">
      <c r="A1276" s="17" t="str">
        <f>[1]SUMMARY!A1277</f>
        <v>225</v>
      </c>
      <c r="B1276" s="17">
        <f>[1]SUMMARY!B1277</f>
        <v>60</v>
      </c>
      <c r="C1276" s="17">
        <f>[1]SUMMARY!C1277</f>
        <v>17</v>
      </c>
      <c r="D1276" s="25" t="str">
        <f>[1]SUMMARY!D1277</f>
        <v>RADAR</v>
      </c>
      <c r="E1276" s="25" t="str">
        <f>[1]SUMMARY!E1277</f>
        <v xml:space="preserve">DIMAX AS-8 </v>
      </c>
      <c r="F1276" s="20"/>
      <c r="G1276" s="20">
        <v>13</v>
      </c>
      <c r="H1276" s="20">
        <v>13</v>
      </c>
      <c r="I1276" s="21">
        <f t="shared" si="14"/>
        <v>0</v>
      </c>
      <c r="J1276" s="22">
        <f>[1]SUMMARY!N1277</f>
        <v>4277</v>
      </c>
      <c r="K1276" s="23">
        <f t="shared" si="12"/>
        <v>0</v>
      </c>
      <c r="L1276" s="8"/>
      <c r="M1276" s="8"/>
    </row>
    <row r="1277" spans="1:13" x14ac:dyDescent="0.2">
      <c r="A1277" s="17">
        <f>[1]SUMMARY!A1278</f>
        <v>225</v>
      </c>
      <c r="B1277" s="17">
        <f>[1]SUMMARY!B1278</f>
        <v>65</v>
      </c>
      <c r="C1277" s="17">
        <f>[1]SUMMARY!C1278</f>
        <v>17</v>
      </c>
      <c r="D1277" s="25" t="str">
        <f>[1]SUMMARY!D1278</f>
        <v>RADAR</v>
      </c>
      <c r="E1277" s="25" t="str">
        <f>[1]SUMMARY!E1278</f>
        <v>DIMAX AS-8</v>
      </c>
      <c r="F1277" s="20"/>
      <c r="G1277" s="20">
        <v>6</v>
      </c>
      <c r="H1277" s="20">
        <v>6</v>
      </c>
      <c r="I1277" s="21">
        <f t="shared" si="14"/>
        <v>0</v>
      </c>
      <c r="J1277" s="22">
        <f>[1]SUMMARY!N1278</f>
        <v>4419</v>
      </c>
      <c r="K1277" s="23">
        <f t="shared" si="12"/>
        <v>0</v>
      </c>
      <c r="L1277" s="8"/>
      <c r="M1277" s="8"/>
    </row>
    <row r="1278" spans="1:13" x14ac:dyDescent="0.2">
      <c r="A1278" s="17" t="str">
        <f>[1]SUMMARY!A1279</f>
        <v>265</v>
      </c>
      <c r="B1278" s="17">
        <f>[1]SUMMARY!B1279</f>
        <v>65</v>
      </c>
      <c r="C1278" s="17">
        <f>[1]SUMMARY!C1279</f>
        <v>17</v>
      </c>
      <c r="D1278" s="25" t="str">
        <f>[1]SUMMARY!D1279</f>
        <v>RADAR</v>
      </c>
      <c r="E1278" s="25" t="str">
        <f>[1]SUMMARY!E1279</f>
        <v>RENEGADE R/T 10PR</v>
      </c>
      <c r="F1278" s="20"/>
      <c r="G1278" s="20">
        <v>14</v>
      </c>
      <c r="H1278" s="20">
        <v>14</v>
      </c>
      <c r="I1278" s="21">
        <f t="shared" si="14"/>
        <v>0</v>
      </c>
      <c r="J1278" s="22">
        <f>[1]SUMMARY!N1279</f>
        <v>5845</v>
      </c>
      <c r="K1278" s="23">
        <f t="shared" si="12"/>
        <v>0</v>
      </c>
      <c r="L1278" s="8"/>
      <c r="M1278" s="8"/>
    </row>
    <row r="1279" spans="1:13" x14ac:dyDescent="0.2">
      <c r="A1279" s="17" t="str">
        <f>[1]SUMMARY!A1280</f>
        <v>265</v>
      </c>
      <c r="B1279" s="17">
        <f>[1]SUMMARY!B1280</f>
        <v>65</v>
      </c>
      <c r="C1279" s="17">
        <f>[1]SUMMARY!C1280</f>
        <v>17</v>
      </c>
      <c r="D1279" s="25" t="str">
        <f>[1]SUMMARY!D1280</f>
        <v>RADAR</v>
      </c>
      <c r="E1279" s="25" t="str">
        <f>[1]SUMMARY!E1280</f>
        <v>RXS9</v>
      </c>
      <c r="F1279" s="20"/>
      <c r="G1279" s="20">
        <v>6</v>
      </c>
      <c r="H1279" s="20">
        <v>6</v>
      </c>
      <c r="I1279" s="21">
        <f t="shared" si="14"/>
        <v>0</v>
      </c>
      <c r="J1279" s="22">
        <f>[1]SUMMARY!N1280</f>
        <v>5504</v>
      </c>
      <c r="K1279" s="23">
        <f t="shared" si="12"/>
        <v>0</v>
      </c>
      <c r="L1279" s="8"/>
      <c r="M1279" s="8"/>
    </row>
    <row r="1280" spans="1:13" x14ac:dyDescent="0.2">
      <c r="A1280" s="17">
        <f>[1]OLD_DOT!A168</f>
        <v>265</v>
      </c>
      <c r="B1280" s="17">
        <f>[1]OLD_DOT!B168</f>
        <v>70</v>
      </c>
      <c r="C1280" s="17">
        <f>[1]OLD_DOT!C168</f>
        <v>17</v>
      </c>
      <c r="D1280" s="25" t="str">
        <f>[1]OLD_DOT!D168</f>
        <v>RADAR</v>
      </c>
      <c r="E1280" s="25" t="str">
        <f>[1]OLD_DOT!E168</f>
        <v>RXS9 H/T</v>
      </c>
      <c r="F1280" s="20"/>
      <c r="G1280" s="20"/>
      <c r="H1280" s="20"/>
      <c r="I1280" s="21">
        <f t="shared" si="14"/>
        <v>0</v>
      </c>
      <c r="J1280" s="22">
        <f>[1]SUMMARY!N1281</f>
        <v>5505</v>
      </c>
      <c r="K1280" s="23">
        <f t="shared" si="12"/>
        <v>0</v>
      </c>
      <c r="L1280" s="8"/>
      <c r="M1280" s="8"/>
    </row>
    <row r="1281" spans="1:13" x14ac:dyDescent="0.2">
      <c r="A1281" s="17" t="str">
        <f>[1]OLD_DOT!A169</f>
        <v>265</v>
      </c>
      <c r="B1281" s="17">
        <f>[1]OLD_DOT!B169</f>
        <v>70</v>
      </c>
      <c r="C1281" s="17">
        <f>[1]OLD_DOT!C169</f>
        <v>17</v>
      </c>
      <c r="D1281" s="25" t="str">
        <f>[1]OLD_DOT!D169</f>
        <v>RADAR</v>
      </c>
      <c r="E1281" s="25" t="str">
        <f>[1]OLD_DOT!E169</f>
        <v>RENEGADE A/T</v>
      </c>
      <c r="F1281" s="20"/>
      <c r="G1281" s="20">
        <v>12</v>
      </c>
      <c r="H1281" s="20">
        <v>12</v>
      </c>
      <c r="I1281" s="21">
        <f t="shared" si="14"/>
        <v>0</v>
      </c>
      <c r="J1281" s="22">
        <f>[1]SUMMARY!N1282</f>
        <v>6526</v>
      </c>
      <c r="K1281" s="23">
        <f t="shared" si="12"/>
        <v>0</v>
      </c>
      <c r="L1281" s="8"/>
      <c r="M1281" s="8"/>
    </row>
    <row r="1282" spans="1:13" x14ac:dyDescent="0.2">
      <c r="A1282" s="17" t="str">
        <f>[1]SUMMARY!A1283</f>
        <v>285</v>
      </c>
      <c r="B1282" s="17">
        <f>[1]SUMMARY!B1283</f>
        <v>70</v>
      </c>
      <c r="C1282" s="17">
        <f>[1]SUMMARY!C1283</f>
        <v>17</v>
      </c>
      <c r="D1282" s="25" t="str">
        <f>[1]SUMMARY!D1283</f>
        <v>RADAR</v>
      </c>
      <c r="E1282" s="25" t="str">
        <f>[1]SUMMARY!E1283</f>
        <v>RENEGADE R/T</v>
      </c>
      <c r="F1282" s="20"/>
      <c r="G1282" s="20">
        <v>4</v>
      </c>
      <c r="H1282" s="20">
        <v>4</v>
      </c>
      <c r="I1282" s="21">
        <f t="shared" si="14"/>
        <v>0</v>
      </c>
      <c r="J1282" s="22">
        <f>[1]SUMMARY!N1283</f>
        <v>8000</v>
      </c>
      <c r="K1282" s="23">
        <f t="shared" si="12"/>
        <v>0</v>
      </c>
      <c r="L1282" s="8"/>
      <c r="M1282" s="8"/>
    </row>
    <row r="1283" spans="1:13" x14ac:dyDescent="0.2">
      <c r="A1283" s="17" t="str">
        <f>[1]SUMMARY!A1284</f>
        <v>295</v>
      </c>
      <c r="B1283" s="17">
        <f>[1]SUMMARY!B1284</f>
        <v>70</v>
      </c>
      <c r="C1283" s="17">
        <f>[1]SUMMARY!C1284</f>
        <v>17</v>
      </c>
      <c r="D1283" s="25" t="str">
        <f>[1]SUMMARY!D1284</f>
        <v>RADAR</v>
      </c>
      <c r="E1283" s="25" t="str">
        <f>[1]SUMMARY!E1284</f>
        <v>RENEGADE X</v>
      </c>
      <c r="F1283" s="20"/>
      <c r="G1283" s="20"/>
      <c r="H1283" s="20"/>
      <c r="I1283" s="21">
        <f t="shared" si="14"/>
        <v>0</v>
      </c>
      <c r="J1283" s="22">
        <f>[1]SUMMARY!N1284</f>
        <v>11700</v>
      </c>
      <c r="K1283" s="23">
        <f t="shared" si="12"/>
        <v>0</v>
      </c>
      <c r="L1283" s="8"/>
      <c r="M1283" s="8"/>
    </row>
    <row r="1284" spans="1:13" x14ac:dyDescent="0.2">
      <c r="A1284" s="17" t="str">
        <f>[1]SUMMARY!A1285</f>
        <v>225</v>
      </c>
      <c r="B1284" s="17">
        <f>[1]SUMMARY!B1285</f>
        <v>40</v>
      </c>
      <c r="C1284" s="17">
        <f>[1]SUMMARY!C1285</f>
        <v>18</v>
      </c>
      <c r="D1284" s="25" t="str">
        <f>[1]SUMMARY!D1285</f>
        <v>RADAR</v>
      </c>
      <c r="E1284" s="25" t="str">
        <f>[1]SUMMARY!E1285</f>
        <v>VERENTI</v>
      </c>
      <c r="F1284" s="20"/>
      <c r="G1284" s="20"/>
      <c r="H1284" s="20"/>
      <c r="I1284" s="21">
        <f t="shared" si="14"/>
        <v>0</v>
      </c>
      <c r="J1284" s="22">
        <f>[1]SUMMARY!N1285</f>
        <v>5505</v>
      </c>
      <c r="K1284" s="23">
        <f t="shared" si="12"/>
        <v>0</v>
      </c>
      <c r="L1284" s="8"/>
      <c r="M1284" s="8"/>
    </row>
    <row r="1285" spans="1:13" x14ac:dyDescent="0.2">
      <c r="A1285" s="17" t="str">
        <f>[1]SUMMARY!A1286</f>
        <v>245</v>
      </c>
      <c r="B1285" s="17">
        <f>[1]SUMMARY!B1286</f>
        <v>45</v>
      </c>
      <c r="C1285" s="17">
        <f>[1]SUMMARY!C1286</f>
        <v>18</v>
      </c>
      <c r="D1285" s="25" t="str">
        <f>[1]SUMMARY!D1286</f>
        <v>RADAR</v>
      </c>
      <c r="E1285" s="25" t="str">
        <f>[1]SUMMARY!E1286</f>
        <v>DIMAX AS-8</v>
      </c>
      <c r="F1285" s="20"/>
      <c r="G1285" s="20"/>
      <c r="H1285" s="20"/>
      <c r="I1285" s="21">
        <f t="shared" si="14"/>
        <v>0</v>
      </c>
      <c r="J1285" s="22">
        <f>[1]SUMMARY!N1286</f>
        <v>4340</v>
      </c>
      <c r="K1285" s="23">
        <f t="shared" si="12"/>
        <v>0</v>
      </c>
      <c r="L1285" s="8"/>
      <c r="M1285" s="8"/>
    </row>
    <row r="1286" spans="1:13" x14ac:dyDescent="0.2">
      <c r="A1286" s="17" t="str">
        <f>[1]SUMMARY!A1287</f>
        <v>215</v>
      </c>
      <c r="B1286" s="17">
        <f>[1]SUMMARY!B1287</f>
        <v>55</v>
      </c>
      <c r="C1286" s="17">
        <f>[1]SUMMARY!C1287</f>
        <v>18</v>
      </c>
      <c r="D1286" s="25" t="str">
        <f>[1]SUMMARY!D1287</f>
        <v>RADAR</v>
      </c>
      <c r="E1286" s="25" t="str">
        <f>[1]SUMMARY!E1287</f>
        <v>DIMAX AS8</v>
      </c>
      <c r="F1286" s="20"/>
      <c r="G1286" s="20">
        <v>4</v>
      </c>
      <c r="H1286" s="20">
        <v>4</v>
      </c>
      <c r="I1286" s="21">
        <f t="shared" si="14"/>
        <v>0</v>
      </c>
      <c r="J1286" s="22">
        <f>[1]SUMMARY!N1287</f>
        <v>4673</v>
      </c>
      <c r="K1286" s="23">
        <f t="shared" si="12"/>
        <v>0</v>
      </c>
      <c r="L1286" s="8"/>
      <c r="M1286" s="8"/>
    </row>
    <row r="1287" spans="1:13" x14ac:dyDescent="0.2">
      <c r="A1287" s="17" t="str">
        <f>[1]SUMMARY!A1288</f>
        <v>225</v>
      </c>
      <c r="B1287" s="17">
        <f>[1]SUMMARY!B1288</f>
        <v>55</v>
      </c>
      <c r="C1287" s="17">
        <f>[1]SUMMARY!C1288</f>
        <v>18</v>
      </c>
      <c r="D1287" s="25" t="str">
        <f>[1]SUMMARY!D1288</f>
        <v>RADAR</v>
      </c>
      <c r="E1287" s="25" t="str">
        <f>[1]SUMMARY!E1288</f>
        <v>DIMAX AS-8</v>
      </c>
      <c r="F1287" s="20"/>
      <c r="G1287" s="20">
        <v>4</v>
      </c>
      <c r="H1287" s="20">
        <v>4</v>
      </c>
      <c r="I1287" s="21">
        <f t="shared" si="14"/>
        <v>0</v>
      </c>
      <c r="J1287" s="22">
        <f>[1]SUMMARY!N1288</f>
        <v>4736</v>
      </c>
      <c r="K1287" s="23">
        <f t="shared" si="12"/>
        <v>0</v>
      </c>
      <c r="L1287" s="8"/>
      <c r="M1287" s="8"/>
    </row>
    <row r="1288" spans="1:13" x14ac:dyDescent="0.2">
      <c r="A1288" s="17" t="str">
        <f>[1]SUMMARY!A1289</f>
        <v>265</v>
      </c>
      <c r="B1288" s="17">
        <f>[1]SUMMARY!B1289</f>
        <v>60</v>
      </c>
      <c r="C1288" s="17">
        <f>[1]SUMMARY!C1289</f>
        <v>18</v>
      </c>
      <c r="D1288" s="25" t="str">
        <f>[1]SUMMARY!D1289</f>
        <v>RADAR</v>
      </c>
      <c r="E1288" s="25" t="str">
        <f>[1]SUMMARY!E1289</f>
        <v>RENEGADE A/T</v>
      </c>
      <c r="F1288" s="20"/>
      <c r="G1288" s="20">
        <v>6</v>
      </c>
      <c r="H1288" s="20">
        <v>6</v>
      </c>
      <c r="I1288" s="21">
        <f t="shared" si="14"/>
        <v>0</v>
      </c>
      <c r="J1288" s="22">
        <f>[1]SUMMARY!N1289</f>
        <v>6336</v>
      </c>
      <c r="K1288" s="23">
        <f t="shared" si="12"/>
        <v>0</v>
      </c>
      <c r="L1288" s="8"/>
      <c r="M1288" s="8"/>
    </row>
    <row r="1289" spans="1:13" x14ac:dyDescent="0.2">
      <c r="A1289" s="17" t="str">
        <f>[1]SUMMARY!A1290</f>
        <v>265</v>
      </c>
      <c r="B1289" s="17">
        <f>[1]SUMMARY!B1290</f>
        <v>60</v>
      </c>
      <c r="C1289" s="17">
        <f>[1]SUMMARY!C1290</f>
        <v>18</v>
      </c>
      <c r="D1289" s="25" t="str">
        <f>[1]SUMMARY!D1290</f>
        <v>RADAR</v>
      </c>
      <c r="E1289" s="25" t="str">
        <f>[1]SUMMARY!E1290</f>
        <v>RENEGADE R/T</v>
      </c>
      <c r="F1289" s="20"/>
      <c r="G1289" s="20">
        <v>16</v>
      </c>
      <c r="H1289" s="20">
        <v>16</v>
      </c>
      <c r="I1289" s="21">
        <f t="shared" si="14"/>
        <v>0</v>
      </c>
      <c r="J1289" s="22">
        <f>[1]SUMMARY!N1290</f>
        <v>6161</v>
      </c>
      <c r="K1289" s="23">
        <f t="shared" si="12"/>
        <v>0</v>
      </c>
      <c r="L1289" s="8"/>
      <c r="M1289" s="8"/>
    </row>
    <row r="1290" spans="1:13" x14ac:dyDescent="0.2">
      <c r="A1290" s="17" t="str">
        <f>[1]SUMMARY!A1291</f>
        <v>265</v>
      </c>
      <c r="B1290" s="17">
        <f>[1]SUMMARY!B1291</f>
        <v>65</v>
      </c>
      <c r="C1290" s="17">
        <f>[1]SUMMARY!C1291</f>
        <v>18</v>
      </c>
      <c r="D1290" s="25" t="str">
        <f>[1]SUMMARY!D1291</f>
        <v>RADAR</v>
      </c>
      <c r="E1290" s="25" t="str">
        <f>[1]SUMMARY!E1291</f>
        <v>RENEGADE R/T LT</v>
      </c>
      <c r="F1290" s="20"/>
      <c r="G1290" s="20">
        <v>5</v>
      </c>
      <c r="H1290" s="20">
        <v>5</v>
      </c>
      <c r="I1290" s="21">
        <f t="shared" si="14"/>
        <v>0</v>
      </c>
      <c r="J1290" s="22">
        <f>[1]SUMMARY!N1291</f>
        <v>6653</v>
      </c>
      <c r="K1290" s="23">
        <f t="shared" si="12"/>
        <v>0</v>
      </c>
      <c r="L1290" s="8"/>
      <c r="M1290" s="8"/>
    </row>
    <row r="1291" spans="1:13" x14ac:dyDescent="0.2">
      <c r="A1291" s="17" t="str">
        <f>[1]SUMMARY!A1292</f>
        <v>275</v>
      </c>
      <c r="B1291" s="17">
        <f>[1]SUMMARY!B1292</f>
        <v>65</v>
      </c>
      <c r="C1291" s="17">
        <f>[1]SUMMARY!C1292</f>
        <v>18</v>
      </c>
      <c r="D1291" s="25" t="str">
        <f>[1]SUMMARY!D1292</f>
        <v>RADAR</v>
      </c>
      <c r="E1291" s="25" t="str">
        <f>[1]SUMMARY!E1292</f>
        <v>RENEGADE R/T</v>
      </c>
      <c r="F1291" s="20"/>
      <c r="G1291" s="20">
        <v>4</v>
      </c>
      <c r="H1291" s="20">
        <v>4</v>
      </c>
      <c r="I1291" s="21">
        <f t="shared" si="14"/>
        <v>0</v>
      </c>
      <c r="J1291" s="22">
        <f>[1]SUMMARY!N1292</f>
        <v>6851</v>
      </c>
      <c r="K1291" s="23">
        <f t="shared" si="12"/>
        <v>0</v>
      </c>
      <c r="L1291" s="8"/>
      <c r="M1291" s="8"/>
    </row>
    <row r="1292" spans="1:13" x14ac:dyDescent="0.2">
      <c r="A1292" s="17" t="str">
        <f>[1]SUMMARY!A1293</f>
        <v>235</v>
      </c>
      <c r="B1292" s="17">
        <f>[1]SUMMARY!B1293</f>
        <v>55</v>
      </c>
      <c r="C1292" s="17">
        <f>[1]SUMMARY!C1293</f>
        <v>19</v>
      </c>
      <c r="D1292" s="25" t="str">
        <f>[1]SUMMARY!D1293</f>
        <v>RADAR</v>
      </c>
      <c r="E1292" s="25" t="str">
        <f>[1]SUMMARY!E1293</f>
        <v>DIMAX AS-8 TL 105</v>
      </c>
      <c r="F1292" s="20"/>
      <c r="G1292" s="20"/>
      <c r="H1292" s="20"/>
      <c r="I1292" s="21">
        <f t="shared" si="14"/>
        <v>0</v>
      </c>
      <c r="J1292" s="22">
        <f>[1]SUMMARY!N1293</f>
        <v>5742</v>
      </c>
      <c r="K1292" s="23">
        <f t="shared" si="12"/>
        <v>0</v>
      </c>
      <c r="L1292" s="8"/>
      <c r="M1292" s="8"/>
    </row>
    <row r="1293" spans="1:13" x14ac:dyDescent="0.2">
      <c r="A1293" s="17" t="str">
        <f>[1]SUMMARY!A1294</f>
        <v>33</v>
      </c>
      <c r="B1293" s="17" t="str">
        <f>[1]SUMMARY!B1294</f>
        <v>12.50</v>
      </c>
      <c r="C1293" s="17">
        <f>[1]SUMMARY!C1294</f>
        <v>20</v>
      </c>
      <c r="D1293" s="25" t="str">
        <f>[1]SUMMARY!D1294</f>
        <v>RADAR</v>
      </c>
      <c r="E1293" s="25" t="str">
        <f>[1]SUMMARY!E1294</f>
        <v>RENEGADE R/T</v>
      </c>
      <c r="F1293" s="20"/>
      <c r="G1293" s="20">
        <v>12</v>
      </c>
      <c r="H1293" s="20">
        <v>12</v>
      </c>
      <c r="I1293" s="21">
        <f t="shared" si="14"/>
        <v>0</v>
      </c>
      <c r="J1293" s="22">
        <f>[1]SUMMARY!N1294</f>
        <v>9200</v>
      </c>
      <c r="K1293" s="23">
        <f t="shared" si="12"/>
        <v>0</v>
      </c>
      <c r="L1293" s="8"/>
      <c r="M1293" s="8"/>
    </row>
    <row r="1294" spans="1:13" x14ac:dyDescent="0.2">
      <c r="A1294" s="17" t="str">
        <f>[1]SUMMARY!A1295</f>
        <v>245</v>
      </c>
      <c r="B1294" s="17">
        <f>[1]SUMMARY!B1295</f>
        <v>50</v>
      </c>
      <c r="C1294" s="17">
        <f>[1]SUMMARY!C1295</f>
        <v>20</v>
      </c>
      <c r="D1294" s="25" t="str">
        <f>[1]SUMMARY!D1295</f>
        <v>RADAR</v>
      </c>
      <c r="E1294" s="25" t="str">
        <f>[1]SUMMARY!E1295</f>
        <v>DIMAX AS-8</v>
      </c>
      <c r="F1294" s="20"/>
      <c r="G1294" s="20">
        <v>4</v>
      </c>
      <c r="H1294" s="20">
        <v>4</v>
      </c>
      <c r="I1294" s="21">
        <f t="shared" si="14"/>
        <v>0</v>
      </c>
      <c r="J1294" s="22">
        <f>[1]SUMMARY!N1295</f>
        <v>5781.6</v>
      </c>
      <c r="K1294" s="23">
        <f t="shared" si="12"/>
        <v>0</v>
      </c>
      <c r="L1294" s="8"/>
      <c r="M1294" s="8"/>
    </row>
    <row r="1295" spans="1:13" x14ac:dyDescent="0.2">
      <c r="A1295" s="17" t="str">
        <f>[1]SUMMARY!A1296</f>
        <v>255</v>
      </c>
      <c r="B1295" s="17">
        <f>[1]SUMMARY!B1296</f>
        <v>50</v>
      </c>
      <c r="C1295" s="17">
        <f>[1]SUMMARY!C1296</f>
        <v>20</v>
      </c>
      <c r="D1295" s="25" t="str">
        <f>[1]SUMMARY!D1296</f>
        <v>RADAR</v>
      </c>
      <c r="E1295" s="25" t="str">
        <f>[1]SUMMARY!E1296</f>
        <v>DIMAS AS-8</v>
      </c>
      <c r="F1295" s="20"/>
      <c r="G1295" s="20">
        <v>4</v>
      </c>
      <c r="H1295" s="20">
        <v>4</v>
      </c>
      <c r="I1295" s="21">
        <f t="shared" si="14"/>
        <v>0</v>
      </c>
      <c r="J1295" s="22">
        <f>[1]SUMMARY!N1296</f>
        <v>6241</v>
      </c>
      <c r="K1295" s="23">
        <f t="shared" si="12"/>
        <v>0</v>
      </c>
      <c r="L1295" s="8"/>
      <c r="M1295" s="8"/>
    </row>
    <row r="1296" spans="1:13" x14ac:dyDescent="0.2">
      <c r="A1296" s="17" t="str">
        <f>[1]SUMMARY!A1297</f>
        <v>265</v>
      </c>
      <c r="B1296" s="17">
        <f>[1]SUMMARY!B1297</f>
        <v>50</v>
      </c>
      <c r="C1296" s="17">
        <f>[1]SUMMARY!C1297</f>
        <v>20</v>
      </c>
      <c r="D1296" s="25" t="str">
        <f>[1]SUMMARY!D1297</f>
        <v>RADAR</v>
      </c>
      <c r="E1296" s="25" t="str">
        <f>[1]SUMMARY!E1297</f>
        <v>RENEGADE A/T</v>
      </c>
      <c r="F1296" s="20"/>
      <c r="G1296" s="20">
        <v>10</v>
      </c>
      <c r="H1296" s="20">
        <v>10</v>
      </c>
      <c r="I1296" s="21">
        <f t="shared" si="14"/>
        <v>0</v>
      </c>
      <c r="J1296" s="22">
        <f>[1]SUMMARY!N1297</f>
        <v>6273</v>
      </c>
      <c r="K1296" s="23">
        <f t="shared" si="12"/>
        <v>0</v>
      </c>
      <c r="L1296" s="8"/>
      <c r="M1296" s="8"/>
    </row>
    <row r="1297" spans="1:13" x14ac:dyDescent="0.2">
      <c r="A1297" s="17" t="str">
        <f>[1]SUMMARY!A1298</f>
        <v>265</v>
      </c>
      <c r="B1297" s="17">
        <f>[1]SUMMARY!B1298</f>
        <v>50</v>
      </c>
      <c r="C1297" s="17">
        <f>[1]SUMMARY!C1298</f>
        <v>20</v>
      </c>
      <c r="D1297" s="25" t="str">
        <f>[1]SUMMARY!D1298</f>
        <v>RADAR</v>
      </c>
      <c r="E1297" s="25" t="str">
        <f>[1]SUMMARY!E1298</f>
        <v>RENEGADE R/T 10PR</v>
      </c>
      <c r="F1297" s="20"/>
      <c r="G1297" s="20">
        <v>20</v>
      </c>
      <c r="H1297" s="20">
        <v>20</v>
      </c>
      <c r="I1297" s="21">
        <f t="shared" si="14"/>
        <v>0</v>
      </c>
      <c r="J1297" s="22">
        <f>[1]SUMMARY!N1298</f>
        <v>6336</v>
      </c>
      <c r="K1297" s="23">
        <f t="shared" si="12"/>
        <v>0</v>
      </c>
      <c r="L1297" s="8"/>
      <c r="M1297" s="8"/>
    </row>
    <row r="1298" spans="1:13" x14ac:dyDescent="0.2">
      <c r="A1298" s="17" t="str">
        <f>[1]SUMMARY!A1299</f>
        <v>275</v>
      </c>
      <c r="B1298" s="17">
        <f>[1]SUMMARY!B1299</f>
        <v>55</v>
      </c>
      <c r="C1298" s="17">
        <f>[1]SUMMARY!C1299</f>
        <v>20</v>
      </c>
      <c r="D1298" s="25" t="str">
        <f>[1]SUMMARY!D1299</f>
        <v>RADAR</v>
      </c>
      <c r="E1298" s="25" t="str">
        <f>[1]SUMMARY!E1299</f>
        <v>RENEGADE A/T</v>
      </c>
      <c r="F1298" s="20"/>
      <c r="G1298" s="20">
        <v>8</v>
      </c>
      <c r="H1298" s="20">
        <v>8</v>
      </c>
      <c r="I1298" s="21">
        <f t="shared" si="14"/>
        <v>0</v>
      </c>
      <c r="J1298" s="22">
        <f>[1]SUMMARY!N1299</f>
        <v>7207</v>
      </c>
      <c r="K1298" s="23">
        <f t="shared" si="12"/>
        <v>0</v>
      </c>
      <c r="L1298" s="8"/>
      <c r="M1298" s="8"/>
    </row>
    <row r="1299" spans="1:13" x14ac:dyDescent="0.2">
      <c r="A1299" s="17" t="str">
        <f>[1]SUMMARY!A1300</f>
        <v>275</v>
      </c>
      <c r="B1299" s="17">
        <f>[1]SUMMARY!B1300</f>
        <v>55</v>
      </c>
      <c r="C1299" s="17">
        <f>[1]SUMMARY!C1300</f>
        <v>20</v>
      </c>
      <c r="D1299" s="25" t="str">
        <f>[1]SUMMARY!D1300</f>
        <v>RADAR</v>
      </c>
      <c r="E1299" s="25" t="str">
        <f>[1]SUMMARY!E1300</f>
        <v>RENERADE R/T 10PR</v>
      </c>
      <c r="F1299" s="20"/>
      <c r="G1299" s="20">
        <v>17</v>
      </c>
      <c r="H1299" s="20">
        <v>17</v>
      </c>
      <c r="I1299" s="21">
        <f t="shared" si="14"/>
        <v>0</v>
      </c>
      <c r="J1299" s="22">
        <f>[1]SUMMARY!N1300</f>
        <v>7247</v>
      </c>
      <c r="K1299" s="23">
        <f t="shared" si="12"/>
        <v>0</v>
      </c>
      <c r="L1299" s="8"/>
      <c r="M1299" s="8"/>
    </row>
    <row r="1300" spans="1:13" x14ac:dyDescent="0.2">
      <c r="A1300" s="17" t="str">
        <f>[1]SUMMARY!A1301</f>
        <v>285</v>
      </c>
      <c r="B1300" s="17">
        <f>[1]SUMMARY!B1301</f>
        <v>50</v>
      </c>
      <c r="C1300" s="17">
        <f>[1]SUMMARY!C1301</f>
        <v>20</v>
      </c>
      <c r="D1300" s="25" t="str">
        <f>[1]SUMMARY!D1301</f>
        <v>RADAR</v>
      </c>
      <c r="E1300" s="25" t="str">
        <f>[1]SUMMARY!E1301</f>
        <v>RENEGADE A/T</v>
      </c>
      <c r="F1300" s="20"/>
      <c r="G1300" s="20"/>
      <c r="H1300" s="20"/>
      <c r="I1300" s="21">
        <f t="shared" si="14"/>
        <v>0</v>
      </c>
      <c r="J1300" s="22">
        <f>[1]SUMMARY!N1301</f>
        <v>8700</v>
      </c>
      <c r="K1300" s="23">
        <f t="shared" si="12"/>
        <v>0</v>
      </c>
      <c r="L1300" s="8"/>
      <c r="M1300" s="8"/>
    </row>
    <row r="1301" spans="1:13" x14ac:dyDescent="0.2">
      <c r="A1301" s="17" t="str">
        <f>[1]SUMMARY!A1302</f>
        <v>285</v>
      </c>
      <c r="B1301" s="17">
        <f>[1]SUMMARY!B1302</f>
        <v>55</v>
      </c>
      <c r="C1301" s="17">
        <f>[1]SUMMARY!C1302</f>
        <v>20</v>
      </c>
      <c r="D1301" s="25" t="str">
        <f>[1]SUMMARY!D1302</f>
        <v>RADAR</v>
      </c>
      <c r="E1301" s="25" t="str">
        <f>[1]SUMMARY!E1302</f>
        <v>RENEGADE R/T</v>
      </c>
      <c r="F1301" s="20"/>
      <c r="G1301" s="20">
        <v>6</v>
      </c>
      <c r="H1301" s="20">
        <v>6</v>
      </c>
      <c r="I1301" s="21">
        <f t="shared" si="14"/>
        <v>0</v>
      </c>
      <c r="J1301" s="22">
        <f>[1]SUMMARY!N1302</f>
        <v>8712</v>
      </c>
      <c r="K1301" s="23">
        <f t="shared" si="12"/>
        <v>0</v>
      </c>
      <c r="L1301" s="28">
        <f>SUM(K1255:K1301)</f>
        <v>0</v>
      </c>
      <c r="M1301" s="29" t="s">
        <v>68</v>
      </c>
    </row>
    <row r="1302" spans="1:13" x14ac:dyDescent="0.2">
      <c r="A1302" s="17" t="str">
        <f>[1]SUMMARY!A1303</f>
        <v>295</v>
      </c>
      <c r="B1302" s="17">
        <f>[1]SUMMARY!B1303</f>
        <v>55</v>
      </c>
      <c r="C1302" s="17">
        <f>[1]SUMMARY!C1303</f>
        <v>20</v>
      </c>
      <c r="D1302" s="25" t="str">
        <f>[1]SUMMARY!D1303</f>
        <v>RADAR</v>
      </c>
      <c r="E1302" s="25" t="str">
        <f>[1]SUMMARY!E1303</f>
        <v>RENEGADE R/T</v>
      </c>
      <c r="F1302" s="20"/>
      <c r="G1302" s="21"/>
      <c r="H1302" s="20"/>
      <c r="I1302" s="21">
        <f t="shared" si="14"/>
        <v>0</v>
      </c>
      <c r="J1302" s="22">
        <f>[1]SUMMARY!N1303</f>
        <v>9278</v>
      </c>
      <c r="K1302" s="23">
        <f t="shared" si="12"/>
        <v>0</v>
      </c>
      <c r="L1302" s="33"/>
      <c r="M1302" s="33"/>
    </row>
    <row r="1303" spans="1:13" x14ac:dyDescent="0.2">
      <c r="A1303" s="17" t="str">
        <f>[1]SUMMARY!A1304</f>
        <v>275</v>
      </c>
      <c r="B1303" s="17">
        <f>[1]SUMMARY!B1304</f>
        <v>45</v>
      </c>
      <c r="C1303" s="17">
        <f>[1]SUMMARY!C1304</f>
        <v>18</v>
      </c>
      <c r="D1303" s="25" t="str">
        <f>[1]SUMMARY!D1304</f>
        <v>RAIDEN</v>
      </c>
      <c r="E1303" s="25" t="str">
        <f>[1]SUMMARY!E1304</f>
        <v>HERO R111</v>
      </c>
      <c r="F1303" s="20"/>
      <c r="G1303" s="21">
        <v>4</v>
      </c>
      <c r="H1303" s="20">
        <v>4</v>
      </c>
      <c r="I1303" s="21">
        <f t="shared" si="14"/>
        <v>0</v>
      </c>
      <c r="J1303" s="22">
        <f>[1]SUMMARY!N1304</f>
        <v>5472</v>
      </c>
      <c r="K1303" s="23">
        <f t="shared" si="12"/>
        <v>0</v>
      </c>
      <c r="L1303" s="28">
        <f t="shared" ref="L1303:L1304" si="15">SUM(K1303)</f>
        <v>0</v>
      </c>
      <c r="M1303" s="29" t="s">
        <v>69</v>
      </c>
    </row>
    <row r="1304" spans="1:13" x14ac:dyDescent="0.2">
      <c r="A1304" s="17">
        <f>[1]SUMMARY!A1305</f>
        <v>265</v>
      </c>
      <c r="B1304" s="17">
        <f>[1]SUMMARY!B1305</f>
        <v>60</v>
      </c>
      <c r="C1304" s="17">
        <f>[1]SUMMARY!C1305</f>
        <v>18</v>
      </c>
      <c r="D1304" s="25" t="str">
        <f>[1]SUMMARY!D1305</f>
        <v>ROADCLAW</v>
      </c>
      <c r="E1304" s="25" t="str">
        <f>[1]SUMMARY!E1305</f>
        <v>HIMALAYA AT2</v>
      </c>
      <c r="F1304" s="20"/>
      <c r="G1304" s="20">
        <v>1</v>
      </c>
      <c r="H1304" s="20">
        <v>1</v>
      </c>
      <c r="I1304" s="21">
        <f t="shared" si="14"/>
        <v>0</v>
      </c>
      <c r="J1304" s="22">
        <f>[1]SUMMARY!N1305</f>
        <v>4750</v>
      </c>
      <c r="K1304" s="23">
        <f t="shared" si="12"/>
        <v>0</v>
      </c>
      <c r="L1304" s="28">
        <f t="shared" si="15"/>
        <v>0</v>
      </c>
      <c r="M1304" s="29" t="s">
        <v>70</v>
      </c>
    </row>
    <row r="1305" spans="1:13" x14ac:dyDescent="0.2">
      <c r="A1305" s="17" t="str">
        <f>[1]SUMMARY!A1306</f>
        <v>185</v>
      </c>
      <c r="B1305" s="17">
        <f>[1]SUMMARY!B1306</f>
        <v>55</v>
      </c>
      <c r="C1305" s="17">
        <f>[1]SUMMARY!C1306</f>
        <v>15</v>
      </c>
      <c r="D1305" s="25" t="str">
        <f>[1]SUMMARY!D1306</f>
        <v>ROADCRUZA</v>
      </c>
      <c r="E1305" s="25" t="str">
        <f>[1]SUMMARY!E1306</f>
        <v>RA510</v>
      </c>
      <c r="F1305" s="20"/>
      <c r="G1305" s="20">
        <v>10</v>
      </c>
      <c r="H1305" s="20">
        <v>10</v>
      </c>
      <c r="I1305" s="21">
        <f t="shared" si="14"/>
        <v>0</v>
      </c>
      <c r="J1305" s="22">
        <f>[1]SUMMARY!N1306</f>
        <v>1782</v>
      </c>
      <c r="K1305" s="23">
        <f t="shared" si="12"/>
        <v>0</v>
      </c>
      <c r="L1305" s="8"/>
      <c r="M1305" s="8"/>
    </row>
    <row r="1306" spans="1:13" x14ac:dyDescent="0.2">
      <c r="A1306" s="17" t="str">
        <f>[1]SUMMARY!A1307</f>
        <v>195</v>
      </c>
      <c r="B1306" s="17">
        <f>[1]SUMMARY!B1307</f>
        <v>55</v>
      </c>
      <c r="C1306" s="17">
        <f>[1]SUMMARY!C1307</f>
        <v>15</v>
      </c>
      <c r="D1306" s="25" t="str">
        <f>[1]SUMMARY!D1307</f>
        <v>ROADCRUZA</v>
      </c>
      <c r="E1306" s="25" t="str">
        <f>[1]SUMMARY!E1307</f>
        <v>RA510</v>
      </c>
      <c r="F1306" s="20"/>
      <c r="G1306" s="20">
        <v>4</v>
      </c>
      <c r="H1306" s="20">
        <v>4</v>
      </c>
      <c r="I1306" s="21">
        <f t="shared" si="14"/>
        <v>0</v>
      </c>
      <c r="J1306" s="22">
        <f>[1]SUMMARY!N1307</f>
        <v>1901</v>
      </c>
      <c r="K1306" s="23">
        <f t="shared" si="12"/>
        <v>0</v>
      </c>
      <c r="L1306" s="8"/>
      <c r="M1306" s="8"/>
    </row>
    <row r="1307" spans="1:13" x14ac:dyDescent="0.2">
      <c r="A1307" s="17" t="str">
        <f>[1]SUMMARY!A1308</f>
        <v>205</v>
      </c>
      <c r="B1307" s="17">
        <f>[1]SUMMARY!B1308</f>
        <v>60</v>
      </c>
      <c r="C1307" s="17">
        <f>[1]SUMMARY!C1308</f>
        <v>16</v>
      </c>
      <c r="D1307" s="25" t="str">
        <f>[1]SUMMARY!D1308</f>
        <v>ROADCRUZA</v>
      </c>
      <c r="E1307" s="25" t="str">
        <f>[1]SUMMARY!E1308</f>
        <v>RA1100 A/T-S</v>
      </c>
      <c r="F1307" s="20"/>
      <c r="G1307" s="20"/>
      <c r="H1307" s="20"/>
      <c r="I1307" s="21">
        <f t="shared" si="14"/>
        <v>0</v>
      </c>
      <c r="J1307" s="22">
        <f>[1]SUMMARY!N1308</f>
        <v>3856</v>
      </c>
      <c r="K1307" s="23">
        <f t="shared" si="12"/>
        <v>0</v>
      </c>
      <c r="L1307" s="8"/>
      <c r="M1307" s="8"/>
    </row>
    <row r="1308" spans="1:13" x14ac:dyDescent="0.2">
      <c r="A1308" s="17" t="str">
        <f>[1]SUMMARY!A1309</f>
        <v>215</v>
      </c>
      <c r="B1308" s="17">
        <f>[1]SUMMARY!B1309</f>
        <v>65</v>
      </c>
      <c r="C1308" s="17">
        <f>[1]SUMMARY!C1309</f>
        <v>16</v>
      </c>
      <c r="D1308" s="25" t="str">
        <f>[1]SUMMARY!D1309</f>
        <v>ROADCRUZA</v>
      </c>
      <c r="E1308" s="25" t="str">
        <f>[1]SUMMARY!E1309</f>
        <v>RA-1100 A/T-S</v>
      </c>
      <c r="F1308" s="20"/>
      <c r="G1308" s="20">
        <v>4</v>
      </c>
      <c r="H1308" s="20">
        <v>4</v>
      </c>
      <c r="I1308" s="21">
        <f t="shared" si="14"/>
        <v>0</v>
      </c>
      <c r="J1308" s="22">
        <f>[1]SUMMARY!N1309</f>
        <v>3683</v>
      </c>
      <c r="K1308" s="23">
        <f t="shared" si="12"/>
        <v>0</v>
      </c>
      <c r="L1308" s="8"/>
      <c r="M1308" s="8"/>
    </row>
    <row r="1309" spans="1:13" x14ac:dyDescent="0.2">
      <c r="A1309" s="17" t="str">
        <f>[1]SUMMARY!A1310</f>
        <v>285</v>
      </c>
      <c r="B1309" s="17">
        <f>[1]SUMMARY!B1310</f>
        <v>65</v>
      </c>
      <c r="C1309" s="17">
        <f>[1]SUMMARY!C1310</f>
        <v>18</v>
      </c>
      <c r="D1309" s="25" t="str">
        <f>[1]SUMMARY!D1310</f>
        <v>ROADCRUZA</v>
      </c>
      <c r="E1309" s="25" t="str">
        <f>[1]SUMMARY!E1310</f>
        <v>RA200 MT</v>
      </c>
      <c r="F1309" s="20"/>
      <c r="G1309" s="20"/>
      <c r="H1309" s="20"/>
      <c r="I1309" s="21">
        <f t="shared" si="14"/>
        <v>0</v>
      </c>
      <c r="J1309" s="22">
        <f>[1]SUMMARY!N1310</f>
        <v>7682</v>
      </c>
      <c r="K1309" s="23">
        <f t="shared" ref="K1309:K1563" si="16">J1309*I1309</f>
        <v>0</v>
      </c>
      <c r="L1309" s="28">
        <f>SUM(K1305:K1309)</f>
        <v>0</v>
      </c>
      <c r="M1309" s="29" t="s">
        <v>71</v>
      </c>
    </row>
    <row r="1310" spans="1:13" x14ac:dyDescent="0.2">
      <c r="A1310" s="17" t="str">
        <f>[1]SUMMARY!A1311</f>
        <v>165</v>
      </c>
      <c r="B1310" s="17">
        <f>[1]SUMMARY!B1311</f>
        <v>65</v>
      </c>
      <c r="C1310" s="17">
        <f>[1]SUMMARY!C1311</f>
        <v>13</v>
      </c>
      <c r="D1310" s="25" t="str">
        <f>[1]SUMMARY!D1311</f>
        <v>ROADSTONE (CH)</v>
      </c>
      <c r="E1310" s="25" t="str">
        <f>[1]SUMMARY!E1311</f>
        <v xml:space="preserve">4PR EUROVIS HP02 </v>
      </c>
      <c r="F1310" s="20"/>
      <c r="G1310" s="20">
        <v>16</v>
      </c>
      <c r="H1310" s="20">
        <v>16</v>
      </c>
      <c r="I1310" s="21">
        <f t="shared" si="14"/>
        <v>0</v>
      </c>
      <c r="J1310" s="22">
        <f>[1]SUMMARY!N1311</f>
        <v>1530</v>
      </c>
      <c r="K1310" s="23">
        <f t="shared" si="16"/>
        <v>0</v>
      </c>
      <c r="L1310" s="8"/>
      <c r="M1310" s="8"/>
    </row>
    <row r="1311" spans="1:13" x14ac:dyDescent="0.2">
      <c r="A1311" s="17" t="str">
        <f>[1]SUMMARY!A1312</f>
        <v>175</v>
      </c>
      <c r="B1311" s="17">
        <f>[1]SUMMARY!B1312</f>
        <v>70</v>
      </c>
      <c r="C1311" s="17">
        <f>[1]SUMMARY!C1312</f>
        <v>13</v>
      </c>
      <c r="D1311" s="25" t="str">
        <f>[1]SUMMARY!D1312</f>
        <v>ROADSTONE (CH)</v>
      </c>
      <c r="E1311" s="25" t="str">
        <f>[1]SUMMARY!E1312</f>
        <v xml:space="preserve">4PR EUROVIS HP02  </v>
      </c>
      <c r="F1311" s="20"/>
      <c r="G1311" s="20">
        <v>14</v>
      </c>
      <c r="H1311" s="20">
        <v>14</v>
      </c>
      <c r="I1311" s="21">
        <f t="shared" si="14"/>
        <v>0</v>
      </c>
      <c r="J1311" s="22">
        <f>[1]SUMMARY!N1312</f>
        <v>1653.13</v>
      </c>
      <c r="K1311" s="23">
        <f t="shared" si="16"/>
        <v>0</v>
      </c>
      <c r="L1311" s="8"/>
      <c r="M1311" s="8"/>
    </row>
    <row r="1312" spans="1:13" x14ac:dyDescent="0.2">
      <c r="A1312" s="17" t="str">
        <f>[1]SUMMARY!A1313</f>
        <v>165</v>
      </c>
      <c r="B1312" s="17">
        <f>[1]SUMMARY!B1313</f>
        <v>65</v>
      </c>
      <c r="C1312" s="17">
        <f>[1]SUMMARY!C1313</f>
        <v>14</v>
      </c>
      <c r="D1312" s="25" t="str">
        <f>[1]SUMMARY!D1313</f>
        <v>ROADSTONE (CH)</v>
      </c>
      <c r="E1312" s="25" t="str">
        <f>[1]SUMMARY!E1313</f>
        <v>EUROVIS HP02</v>
      </c>
      <c r="F1312" s="20"/>
      <c r="G1312" s="20">
        <v>4</v>
      </c>
      <c r="H1312" s="20">
        <v>4</v>
      </c>
      <c r="I1312" s="21">
        <f t="shared" si="14"/>
        <v>0</v>
      </c>
      <c r="J1312" s="22">
        <f>[1]SUMMARY!N1313</f>
        <v>1660</v>
      </c>
      <c r="K1312" s="23">
        <f t="shared" si="16"/>
        <v>0</v>
      </c>
      <c r="L1312" s="8"/>
      <c r="M1312" s="8"/>
    </row>
    <row r="1313" spans="1:13" x14ac:dyDescent="0.2">
      <c r="A1313" s="17" t="str">
        <f>[1]SUMMARY!A1314</f>
        <v>175</v>
      </c>
      <c r="B1313" s="17">
        <f>[1]SUMMARY!B1314</f>
        <v>65</v>
      </c>
      <c r="C1313" s="17">
        <f>[1]SUMMARY!C1314</f>
        <v>14</v>
      </c>
      <c r="D1313" s="25" t="str">
        <f>[1]SUMMARY!D1314</f>
        <v>ROADSTONE (CH)</v>
      </c>
      <c r="E1313" s="25" t="str">
        <f>[1]SUMMARY!E1314</f>
        <v xml:space="preserve">4PR EUROVIS HP02 </v>
      </c>
      <c r="F1313" s="20">
        <v>6</v>
      </c>
      <c r="G1313" s="20">
        <v>50</v>
      </c>
      <c r="H1313" s="20">
        <v>56</v>
      </c>
      <c r="I1313" s="21">
        <f t="shared" si="14"/>
        <v>0</v>
      </c>
      <c r="J1313" s="22">
        <f>[1]SUMMARY!N1314</f>
        <v>1740</v>
      </c>
      <c r="K1313" s="23">
        <f t="shared" si="16"/>
        <v>0</v>
      </c>
      <c r="L1313" s="8"/>
      <c r="M1313" s="8"/>
    </row>
    <row r="1314" spans="1:13" x14ac:dyDescent="0.2">
      <c r="A1314" s="17" t="str">
        <f>[1]SUMMARY!A1315</f>
        <v>185</v>
      </c>
      <c r="B1314" s="17">
        <f>[1]SUMMARY!B1315</f>
        <v>65</v>
      </c>
      <c r="C1314" s="17">
        <f>[1]SUMMARY!C1315</f>
        <v>14</v>
      </c>
      <c r="D1314" s="25" t="str">
        <f>[1]SUMMARY!D1315</f>
        <v>ROADSTONE (CH)</v>
      </c>
      <c r="E1314" s="25" t="str">
        <f>[1]SUMMARY!E1315</f>
        <v xml:space="preserve">4PR EUROVIS HP02  </v>
      </c>
      <c r="F1314" s="20">
        <v>4</v>
      </c>
      <c r="G1314" s="20">
        <v>27</v>
      </c>
      <c r="H1314" s="20">
        <v>31</v>
      </c>
      <c r="I1314" s="21">
        <f t="shared" si="14"/>
        <v>0</v>
      </c>
      <c r="J1314" s="22">
        <f>[1]SUMMARY!N1315</f>
        <v>1870</v>
      </c>
      <c r="K1314" s="23">
        <f t="shared" si="16"/>
        <v>0</v>
      </c>
      <c r="L1314" s="8"/>
      <c r="M1314" s="8"/>
    </row>
    <row r="1315" spans="1:13" x14ac:dyDescent="0.2">
      <c r="A1315" s="17" t="str">
        <f>[1]SUMMARY!A1316</f>
        <v>175</v>
      </c>
      <c r="B1315" s="17">
        <f>[1]SUMMARY!B1316</f>
        <v>70</v>
      </c>
      <c r="C1315" s="17">
        <f>[1]SUMMARY!C1316</f>
        <v>14</v>
      </c>
      <c r="D1315" s="25" t="str">
        <f>[1]SUMMARY!D1316</f>
        <v>ROADSTONE (CH)</v>
      </c>
      <c r="E1315" s="25" t="str">
        <f>[1]SUMMARY!E1316</f>
        <v xml:space="preserve">4PR EUROVIS HP02 </v>
      </c>
      <c r="F1315" s="20">
        <v>4</v>
      </c>
      <c r="G1315" s="20">
        <v>13</v>
      </c>
      <c r="H1315" s="20">
        <v>17</v>
      </c>
      <c r="I1315" s="21">
        <f t="shared" si="14"/>
        <v>0</v>
      </c>
      <c r="J1315" s="22">
        <f>[1]SUMMARY!N1316</f>
        <v>1813.75</v>
      </c>
      <c r="K1315" s="23">
        <f t="shared" si="16"/>
        <v>0</v>
      </c>
      <c r="L1315" s="8"/>
      <c r="M1315" s="8"/>
    </row>
    <row r="1316" spans="1:13" x14ac:dyDescent="0.2">
      <c r="A1316" s="17" t="str">
        <f>[1]SUMMARY!A1317</f>
        <v>185</v>
      </c>
      <c r="B1316" s="17">
        <f>[1]SUMMARY!B1317</f>
        <v>70</v>
      </c>
      <c r="C1316" s="17">
        <f>[1]SUMMARY!C1317</f>
        <v>14</v>
      </c>
      <c r="D1316" s="25" t="str">
        <f>[1]SUMMARY!D1317</f>
        <v>ROADSTONE (CH)</v>
      </c>
      <c r="E1316" s="25" t="str">
        <f>[1]SUMMARY!E1317</f>
        <v>4PR EUROVIS HP02</v>
      </c>
      <c r="F1316" s="20"/>
      <c r="G1316" s="20">
        <v>13</v>
      </c>
      <c r="H1316" s="20">
        <v>13</v>
      </c>
      <c r="I1316" s="21">
        <f t="shared" si="14"/>
        <v>0</v>
      </c>
      <c r="J1316" s="22">
        <f>[1]SUMMARY!N1317</f>
        <v>1930</v>
      </c>
      <c r="K1316" s="23">
        <f t="shared" si="16"/>
        <v>0</v>
      </c>
      <c r="L1316" s="8"/>
      <c r="M1316" s="8"/>
    </row>
    <row r="1317" spans="1:13" x14ac:dyDescent="0.2">
      <c r="A1317" s="17" t="str">
        <f>[1]SUMMARY!A1318</f>
        <v>195</v>
      </c>
      <c r="B1317" s="17">
        <f>[1]SUMMARY!B1318</f>
        <v>70</v>
      </c>
      <c r="C1317" s="17">
        <f>[1]SUMMARY!C1318</f>
        <v>14</v>
      </c>
      <c r="D1317" s="25" t="str">
        <f>[1]SUMMARY!D1318</f>
        <v>ROADSTONE (CH)</v>
      </c>
      <c r="E1317" s="25" t="str">
        <f>[1]SUMMARY!E1318</f>
        <v>EV HP02</v>
      </c>
      <c r="F1317" s="20"/>
      <c r="G1317" s="20">
        <v>4</v>
      </c>
      <c r="H1317" s="20">
        <v>4</v>
      </c>
      <c r="I1317" s="21">
        <f t="shared" si="14"/>
        <v>0</v>
      </c>
      <c r="J1317" s="22">
        <f>[1]SUMMARY!N1318</f>
        <v>2110</v>
      </c>
      <c r="K1317" s="23">
        <f t="shared" si="16"/>
        <v>0</v>
      </c>
      <c r="L1317" s="8"/>
      <c r="M1317" s="8"/>
    </row>
    <row r="1318" spans="1:13" x14ac:dyDescent="0.2">
      <c r="A1318" s="17" t="str">
        <f>[1]SUMMARY!A1319</f>
        <v>185</v>
      </c>
      <c r="B1318" s="17">
        <f>[1]SUMMARY!B1319</f>
        <v>0</v>
      </c>
      <c r="C1318" s="17" t="str">
        <f>[1]SUMMARY!C1319</f>
        <v>14C</v>
      </c>
      <c r="D1318" s="25" t="str">
        <f>[1]SUMMARY!D1319</f>
        <v>ROADSTONE (CH)</v>
      </c>
      <c r="E1318" s="25" t="str">
        <f>[1]SUMMARY!E1319</f>
        <v xml:space="preserve">8PR ROADIAN CT8 </v>
      </c>
      <c r="F1318" s="20">
        <v>8</v>
      </c>
      <c r="G1318" s="20">
        <v>57</v>
      </c>
      <c r="H1318" s="20">
        <v>65</v>
      </c>
      <c r="I1318" s="21">
        <f t="shared" si="14"/>
        <v>0</v>
      </c>
      <c r="J1318" s="22">
        <f>[1]SUMMARY!N1319</f>
        <v>2190</v>
      </c>
      <c r="K1318" s="23">
        <f t="shared" si="16"/>
        <v>0</v>
      </c>
      <c r="L1318" s="8"/>
      <c r="M1318" s="8"/>
    </row>
    <row r="1319" spans="1:13" x14ac:dyDescent="0.2">
      <c r="A1319" s="17" t="str">
        <f>[1]SUMMARY!A1320</f>
        <v>195</v>
      </c>
      <c r="B1319" s="17">
        <f>[1]SUMMARY!B1320</f>
        <v>0</v>
      </c>
      <c r="C1319" s="17" t="str">
        <f>[1]SUMMARY!C1320</f>
        <v>14C</v>
      </c>
      <c r="D1319" s="25" t="str">
        <f>[1]SUMMARY!D1320</f>
        <v>ROADSTONE (CH)</v>
      </c>
      <c r="E1319" s="25" t="str">
        <f>[1]SUMMARY!E1320</f>
        <v xml:space="preserve">8PR ROADIAN CT8 </v>
      </c>
      <c r="F1319" s="20"/>
      <c r="G1319" s="20">
        <v>40</v>
      </c>
      <c r="H1319" s="20">
        <v>36</v>
      </c>
      <c r="I1319" s="36">
        <f t="shared" si="14"/>
        <v>4</v>
      </c>
      <c r="J1319" s="22">
        <f>[1]SUMMARY!N1320</f>
        <v>2680</v>
      </c>
      <c r="K1319" s="23">
        <f t="shared" si="16"/>
        <v>10720</v>
      </c>
      <c r="L1319" s="8"/>
      <c r="M1319" s="8"/>
    </row>
    <row r="1320" spans="1:13" x14ac:dyDescent="0.2">
      <c r="A1320" s="17" t="str">
        <f>[1]SUMMARY!A1321</f>
        <v>175</v>
      </c>
      <c r="B1320" s="17">
        <f>[1]SUMMARY!B1321</f>
        <v>50</v>
      </c>
      <c r="C1320" s="17">
        <f>[1]SUMMARY!C1321</f>
        <v>15</v>
      </c>
      <c r="D1320" s="25" t="str">
        <f>[1]SUMMARY!D1321</f>
        <v>ROADSTONE (CH)</v>
      </c>
      <c r="E1320" s="25" t="str">
        <f>[1]SUMMARY!E1321</f>
        <v>4PR EV HP02 2022</v>
      </c>
      <c r="F1320" s="20"/>
      <c r="G1320" s="20">
        <v>18</v>
      </c>
      <c r="H1320" s="20">
        <v>18</v>
      </c>
      <c r="I1320" s="21">
        <f t="shared" si="14"/>
        <v>0</v>
      </c>
      <c r="J1320" s="22">
        <f>[1]SUMMARY!N1321</f>
        <v>1880</v>
      </c>
      <c r="K1320" s="23">
        <f t="shared" si="16"/>
        <v>0</v>
      </c>
      <c r="L1320" s="8"/>
      <c r="M1320" s="8"/>
    </row>
    <row r="1321" spans="1:13" x14ac:dyDescent="0.2">
      <c r="A1321" s="17" t="str">
        <f>[1]SUMMARY!A1322</f>
        <v>195</v>
      </c>
      <c r="B1321" s="17">
        <f>[1]SUMMARY!B1322</f>
        <v>50</v>
      </c>
      <c r="C1321" s="17">
        <f>[1]SUMMARY!C1322</f>
        <v>15</v>
      </c>
      <c r="D1321" s="25" t="str">
        <f>[1]SUMMARY!D1322</f>
        <v>ROADSTONE (CH)</v>
      </c>
      <c r="E1321" s="25" t="str">
        <f>[1]SUMMARY!E1322</f>
        <v>4PR EUROVIS SPORT 4</v>
      </c>
      <c r="F1321" s="20">
        <v>4</v>
      </c>
      <c r="G1321" s="20">
        <v>32</v>
      </c>
      <c r="H1321" s="20">
        <v>36</v>
      </c>
      <c r="I1321" s="21">
        <f t="shared" si="14"/>
        <v>0</v>
      </c>
      <c r="J1321" s="22">
        <f>[1]SUMMARY!N1322</f>
        <v>2090</v>
      </c>
      <c r="K1321" s="23">
        <f t="shared" si="16"/>
        <v>0</v>
      </c>
      <c r="L1321" s="8"/>
      <c r="M1321" s="8"/>
    </row>
    <row r="1322" spans="1:13" x14ac:dyDescent="0.2">
      <c r="A1322" s="17" t="str">
        <f>[1]SUMMARY!A1323</f>
        <v>185</v>
      </c>
      <c r="B1322" s="17">
        <f>[1]SUMMARY!B1323</f>
        <v>55</v>
      </c>
      <c r="C1322" s="17">
        <f>[1]SUMMARY!C1323</f>
        <v>15</v>
      </c>
      <c r="D1322" s="25" t="str">
        <f>[1]SUMMARY!D1323</f>
        <v>ROADSTONE (CH)</v>
      </c>
      <c r="E1322" s="25" t="str">
        <f>[1]SUMMARY!E1323</f>
        <v>4PR EV SPORT 04</v>
      </c>
      <c r="F1322" s="20">
        <v>4</v>
      </c>
      <c r="G1322" s="20">
        <v>32</v>
      </c>
      <c r="H1322" s="20">
        <v>36</v>
      </c>
      <c r="I1322" s="21">
        <f t="shared" si="14"/>
        <v>0</v>
      </c>
      <c r="J1322" s="22">
        <f>[1]SUMMARY!N1323</f>
        <v>2080</v>
      </c>
      <c r="K1322" s="23">
        <f t="shared" si="16"/>
        <v>0</v>
      </c>
      <c r="L1322" s="8"/>
      <c r="M1322" s="8"/>
    </row>
    <row r="1323" spans="1:13" x14ac:dyDescent="0.2">
      <c r="A1323" s="17" t="str">
        <f>[1]SUMMARY!A1324</f>
        <v>185</v>
      </c>
      <c r="B1323" s="17">
        <f>[1]SUMMARY!B1324</f>
        <v>55</v>
      </c>
      <c r="C1323" s="17">
        <f>[1]SUMMARY!C1324</f>
        <v>15</v>
      </c>
      <c r="D1323" s="25" t="str">
        <f>[1]SUMMARY!D1324</f>
        <v>ROADSTONE (CH)</v>
      </c>
      <c r="E1323" s="25" t="str">
        <f>[1]SUMMARY!E1324</f>
        <v>4PR EV HP02</v>
      </c>
      <c r="F1323" s="20"/>
      <c r="G1323" s="20"/>
      <c r="H1323" s="20"/>
      <c r="I1323" s="21">
        <f t="shared" si="14"/>
        <v>0</v>
      </c>
      <c r="J1323" s="22">
        <f>[1]SUMMARY!N1324</f>
        <v>1910</v>
      </c>
      <c r="K1323" s="23">
        <f t="shared" si="16"/>
        <v>0</v>
      </c>
      <c r="L1323" s="8"/>
      <c r="M1323" s="8"/>
    </row>
    <row r="1324" spans="1:13" x14ac:dyDescent="0.2">
      <c r="A1324" s="17" t="str">
        <f>[1]SUMMARY!A1325</f>
        <v>195</v>
      </c>
      <c r="B1324" s="17">
        <f>[1]SUMMARY!B1325</f>
        <v>55</v>
      </c>
      <c r="C1324" s="17">
        <f>[1]SUMMARY!C1325</f>
        <v>15</v>
      </c>
      <c r="D1324" s="25" t="str">
        <f>[1]SUMMARY!D1325</f>
        <v>ROADSTONE (CH)</v>
      </c>
      <c r="E1324" s="25" t="str">
        <f>[1]SUMMARY!E1325</f>
        <v>4PR EUROVIS SPORT 4</v>
      </c>
      <c r="F1324" s="20">
        <v>14</v>
      </c>
      <c r="G1324" s="20">
        <v>39</v>
      </c>
      <c r="H1324" s="20">
        <v>53</v>
      </c>
      <c r="I1324" s="21">
        <f t="shared" si="14"/>
        <v>0</v>
      </c>
      <c r="J1324" s="22">
        <f>[1]SUMMARY!N1325</f>
        <v>2170</v>
      </c>
      <c r="K1324" s="23">
        <f t="shared" si="16"/>
        <v>0</v>
      </c>
      <c r="L1324" s="8"/>
      <c r="M1324" s="8"/>
    </row>
    <row r="1325" spans="1:13" x14ac:dyDescent="0.2">
      <c r="A1325" s="17" t="str">
        <f>[1]SUMMARY!A1326</f>
        <v>185</v>
      </c>
      <c r="B1325" s="17">
        <f>[1]SUMMARY!B1326</f>
        <v>60</v>
      </c>
      <c r="C1325" s="17">
        <f>[1]SUMMARY!C1326</f>
        <v>15</v>
      </c>
      <c r="D1325" s="25" t="str">
        <f>[1]SUMMARY!D1326</f>
        <v>ROADSTONE (CH)</v>
      </c>
      <c r="E1325" s="25" t="str">
        <f>[1]SUMMARY!E1326</f>
        <v xml:space="preserve">4PR EUROVIS SPORT 4 </v>
      </c>
      <c r="F1325" s="20">
        <v>8</v>
      </c>
      <c r="G1325" s="20">
        <v>45</v>
      </c>
      <c r="H1325" s="20">
        <v>53</v>
      </c>
      <c r="I1325" s="21">
        <f t="shared" si="14"/>
        <v>0</v>
      </c>
      <c r="J1325" s="22">
        <f>[1]SUMMARY!N1326</f>
        <v>1970</v>
      </c>
      <c r="K1325" s="23">
        <f t="shared" si="16"/>
        <v>0</v>
      </c>
      <c r="L1325" s="8"/>
      <c r="M1325" s="8"/>
    </row>
    <row r="1326" spans="1:13" x14ac:dyDescent="0.2">
      <c r="A1326" s="17" t="str">
        <f>[1]SUMMARY!A1327</f>
        <v>185</v>
      </c>
      <c r="B1326" s="17">
        <f>[1]SUMMARY!B1327</f>
        <v>60</v>
      </c>
      <c r="C1326" s="17">
        <f>[1]SUMMARY!C1327</f>
        <v>15</v>
      </c>
      <c r="D1326" s="25" t="str">
        <f>[1]SUMMARY!D1327</f>
        <v>ROADSTONE (CH)</v>
      </c>
      <c r="E1326" s="25" t="str">
        <f>[1]SUMMARY!E1327</f>
        <v>4PR EV HP02</v>
      </c>
      <c r="F1326" s="20"/>
      <c r="G1326" s="20">
        <v>20</v>
      </c>
      <c r="H1326" s="20">
        <v>16</v>
      </c>
      <c r="I1326" s="36">
        <f t="shared" si="14"/>
        <v>4</v>
      </c>
      <c r="J1326" s="22">
        <f>[1]SUMMARY!N1327</f>
        <v>1920</v>
      </c>
      <c r="K1326" s="23">
        <f t="shared" si="16"/>
        <v>7680</v>
      </c>
      <c r="L1326" s="8"/>
      <c r="M1326" s="8"/>
    </row>
    <row r="1327" spans="1:13" x14ac:dyDescent="0.2">
      <c r="A1327" s="17" t="str">
        <f>[1]SUMMARY!A1328</f>
        <v>195</v>
      </c>
      <c r="B1327" s="17">
        <f>[1]SUMMARY!B1328</f>
        <v>60</v>
      </c>
      <c r="C1327" s="17">
        <f>[1]SUMMARY!C1328</f>
        <v>15</v>
      </c>
      <c r="D1327" s="25" t="str">
        <f>[1]SUMMARY!D1328</f>
        <v>ROADSTONE (CH)</v>
      </c>
      <c r="E1327" s="25" t="str">
        <f>[1]SUMMARY!E1328</f>
        <v>EUROVIS SPORT 4</v>
      </c>
      <c r="F1327" s="20"/>
      <c r="G1327" s="20">
        <v>5</v>
      </c>
      <c r="H1327" s="20">
        <v>5</v>
      </c>
      <c r="I1327" s="21">
        <f t="shared" si="14"/>
        <v>0</v>
      </c>
      <c r="J1327" s="22">
        <f>[1]SUMMARY!N1328</f>
        <v>2140</v>
      </c>
      <c r="K1327" s="23">
        <f t="shared" si="16"/>
        <v>0</v>
      </c>
      <c r="L1327" s="8"/>
      <c r="M1327" s="8"/>
    </row>
    <row r="1328" spans="1:13" x14ac:dyDescent="0.2">
      <c r="A1328" s="17" t="str">
        <f>[1]SUMMARY!A1329</f>
        <v xml:space="preserve">  175</v>
      </c>
      <c r="B1328" s="17">
        <f>[1]SUMMARY!B1329</f>
        <v>65</v>
      </c>
      <c r="C1328" s="17">
        <f>[1]SUMMARY!C1329</f>
        <v>15</v>
      </c>
      <c r="D1328" s="25" t="str">
        <f>[1]SUMMARY!D1329</f>
        <v>ROADSTONE (CH)</v>
      </c>
      <c r="E1328" s="25" t="str">
        <f>[1]SUMMARY!E1329</f>
        <v>4PR EUROVIS SPORT 4</v>
      </c>
      <c r="F1328" s="20">
        <v>4</v>
      </c>
      <c r="G1328" s="20">
        <v>35</v>
      </c>
      <c r="H1328" s="20">
        <v>39</v>
      </c>
      <c r="I1328" s="21">
        <f t="shared" si="14"/>
        <v>0</v>
      </c>
      <c r="J1328" s="22">
        <f>[1]SUMMARY!N1329</f>
        <v>1870</v>
      </c>
      <c r="K1328" s="23">
        <f t="shared" si="16"/>
        <v>0</v>
      </c>
      <c r="L1328" s="8"/>
      <c r="M1328" s="8"/>
    </row>
    <row r="1329" spans="1:13" x14ac:dyDescent="0.2">
      <c r="A1329" s="17" t="str">
        <f>[1]SUMMARY!A1330</f>
        <v>185</v>
      </c>
      <c r="B1329" s="17">
        <f>[1]SUMMARY!B1330</f>
        <v>65</v>
      </c>
      <c r="C1329" s="17">
        <f>[1]SUMMARY!C1330</f>
        <v>15</v>
      </c>
      <c r="D1329" s="25" t="str">
        <f>[1]SUMMARY!D1330</f>
        <v>ROADSTONE (CH)</v>
      </c>
      <c r="E1329" s="25" t="str">
        <f>[1]SUMMARY!E1330</f>
        <v>4PR EUROVIS SPORT 04</v>
      </c>
      <c r="F1329" s="20">
        <v>4</v>
      </c>
      <c r="G1329" s="20">
        <v>49</v>
      </c>
      <c r="H1329" s="20">
        <v>53</v>
      </c>
      <c r="I1329" s="21">
        <f t="shared" si="14"/>
        <v>0</v>
      </c>
      <c r="J1329" s="22">
        <f>[1]SUMMARY!N1330</f>
        <v>1950</v>
      </c>
      <c r="K1329" s="23">
        <f t="shared" si="16"/>
        <v>0</v>
      </c>
      <c r="L1329" s="8"/>
      <c r="M1329" s="8"/>
    </row>
    <row r="1330" spans="1:13" x14ac:dyDescent="0.2">
      <c r="A1330" s="17" t="str">
        <f>[1]SUMMARY!A1331</f>
        <v>185</v>
      </c>
      <c r="B1330" s="17">
        <f>[1]SUMMARY!B1331</f>
        <v>65</v>
      </c>
      <c r="C1330" s="17">
        <f>[1]SUMMARY!C1331</f>
        <v>15</v>
      </c>
      <c r="D1330" s="25" t="str">
        <f>[1]SUMMARY!D1331</f>
        <v>ROADSTONE (CH)</v>
      </c>
      <c r="E1330" s="25" t="str">
        <f>[1]SUMMARY!E1331</f>
        <v>EUROVIS HP02</v>
      </c>
      <c r="F1330" s="20"/>
      <c r="G1330" s="20">
        <v>12</v>
      </c>
      <c r="H1330" s="20">
        <v>12</v>
      </c>
      <c r="I1330" s="21">
        <f t="shared" si="14"/>
        <v>0</v>
      </c>
      <c r="J1330" s="22">
        <f>[1]SUMMARY!N1331</f>
        <v>1930</v>
      </c>
      <c r="K1330" s="23">
        <f t="shared" si="16"/>
        <v>0</v>
      </c>
      <c r="L1330" s="8"/>
      <c r="M1330" s="8"/>
    </row>
    <row r="1331" spans="1:13" x14ac:dyDescent="0.2">
      <c r="A1331" s="17" t="str">
        <f>[1]SUMMARY!A1332</f>
        <v>195</v>
      </c>
      <c r="B1331" s="17">
        <f>[1]SUMMARY!B1332</f>
        <v>65</v>
      </c>
      <c r="C1331" s="17">
        <f>[1]SUMMARY!C1332</f>
        <v>15</v>
      </c>
      <c r="D1331" s="25" t="str">
        <f>[1]SUMMARY!D1332</f>
        <v>ROADSTONE (CH)</v>
      </c>
      <c r="E1331" s="25" t="str">
        <f>[1]SUMMARY!E1332</f>
        <v>EUROVIS SPORT 4</v>
      </c>
      <c r="F1331" s="20"/>
      <c r="G1331" s="20">
        <v>5</v>
      </c>
      <c r="H1331" s="20">
        <v>5</v>
      </c>
      <c r="I1331" s="21">
        <f t="shared" si="14"/>
        <v>0</v>
      </c>
      <c r="J1331" s="22">
        <f>[1]SUMMARY!N1332</f>
        <v>2250</v>
      </c>
      <c r="K1331" s="23">
        <f t="shared" si="16"/>
        <v>0</v>
      </c>
      <c r="L1331" s="8"/>
      <c r="M1331" s="8"/>
    </row>
    <row r="1332" spans="1:13" x14ac:dyDescent="0.2">
      <c r="A1332" s="17" t="str">
        <f>[1]SUMMARY!A1333</f>
        <v>205</v>
      </c>
      <c r="B1332" s="17">
        <f>[1]SUMMARY!B1333</f>
        <v>65</v>
      </c>
      <c r="C1332" s="17">
        <f>[1]SUMMARY!C1333</f>
        <v>15</v>
      </c>
      <c r="D1332" s="25" t="str">
        <f>[1]SUMMARY!D1333</f>
        <v>ROADSTONE (CH)</v>
      </c>
      <c r="E1332" s="25" t="str">
        <f>[1]SUMMARY!E1333</f>
        <v>4PR EUROVIS HP02</v>
      </c>
      <c r="F1332" s="20">
        <v>5</v>
      </c>
      <c r="G1332" s="20">
        <v>15</v>
      </c>
      <c r="H1332" s="20">
        <v>16</v>
      </c>
      <c r="I1332" s="21">
        <f t="shared" si="14"/>
        <v>4</v>
      </c>
      <c r="J1332" s="22">
        <f>[1]SUMMARY!N1333</f>
        <v>2320</v>
      </c>
      <c r="K1332" s="23">
        <f t="shared" si="16"/>
        <v>9280</v>
      </c>
      <c r="L1332" s="8"/>
      <c r="M1332" s="8"/>
    </row>
    <row r="1333" spans="1:13" x14ac:dyDescent="0.2">
      <c r="A1333" s="17" t="str">
        <f>[1]SUMMARY!A1334</f>
        <v>205</v>
      </c>
      <c r="B1333" s="17">
        <f>[1]SUMMARY!B1334</f>
        <v>70</v>
      </c>
      <c r="C1333" s="17" t="str">
        <f>[1]SUMMARY!C1334</f>
        <v>15C</v>
      </c>
      <c r="D1333" s="25" t="str">
        <f>[1]SUMMARY!D1334</f>
        <v>ROADSTONE (CH)</v>
      </c>
      <c r="E1333" s="25" t="str">
        <f>[1]SUMMARY!E1334</f>
        <v>8PR ROADIAN CT8</v>
      </c>
      <c r="F1333" s="20">
        <v>8</v>
      </c>
      <c r="G1333" s="20">
        <v>36</v>
      </c>
      <c r="H1333" s="20">
        <v>43</v>
      </c>
      <c r="I1333" s="36">
        <f t="shared" si="14"/>
        <v>1</v>
      </c>
      <c r="J1333" s="22">
        <f>[1]SUMMARY!N1334</f>
        <v>3160</v>
      </c>
      <c r="K1333" s="23">
        <f t="shared" si="16"/>
        <v>3160</v>
      </c>
      <c r="L1333" s="8"/>
      <c r="M1333" s="8"/>
    </row>
    <row r="1334" spans="1:13" x14ac:dyDescent="0.2">
      <c r="A1334" s="17" t="str">
        <f>[1]SUMMARY!A1335</f>
        <v>225</v>
      </c>
      <c r="B1334" s="17">
        <f>[1]SUMMARY!B1335</f>
        <v>70</v>
      </c>
      <c r="C1334" s="17" t="str">
        <f>[1]SUMMARY!C1335</f>
        <v>15C</v>
      </c>
      <c r="D1334" s="25" t="str">
        <f>[1]SUMMARY!D1335</f>
        <v>ROADSTONE (CH)</v>
      </c>
      <c r="E1334" s="25" t="str">
        <f>[1]SUMMARY!E1335</f>
        <v>8PR ROADIAN CT8</v>
      </c>
      <c r="F1334" s="20">
        <v>4</v>
      </c>
      <c r="G1334" s="20">
        <v>15</v>
      </c>
      <c r="H1334" s="20">
        <v>19</v>
      </c>
      <c r="I1334" s="21">
        <f t="shared" si="14"/>
        <v>0</v>
      </c>
      <c r="J1334" s="22">
        <f>[1]SUMMARY!N1335</f>
        <v>3510</v>
      </c>
      <c r="K1334" s="23">
        <f t="shared" si="16"/>
        <v>0</v>
      </c>
      <c r="L1334" s="8"/>
      <c r="M1334" s="8"/>
    </row>
    <row r="1335" spans="1:13" x14ac:dyDescent="0.2">
      <c r="A1335" s="17" t="str">
        <f>[1]SUMMARY!A1336</f>
        <v>265</v>
      </c>
      <c r="B1335" s="17">
        <f>[1]SUMMARY!B1336</f>
        <v>70</v>
      </c>
      <c r="C1335" s="17">
        <f>[1]SUMMARY!C1336</f>
        <v>15</v>
      </c>
      <c r="D1335" s="25" t="str">
        <f>[1]SUMMARY!D1336</f>
        <v>ROADSTONE (CH)</v>
      </c>
      <c r="E1335" s="25" t="str">
        <f>[1]SUMMARY!E1336</f>
        <v>RO-AT</v>
      </c>
      <c r="F1335" s="20"/>
      <c r="G1335" s="20"/>
      <c r="H1335" s="20"/>
      <c r="I1335" s="21">
        <f t="shared" si="14"/>
        <v>0</v>
      </c>
      <c r="J1335" s="22">
        <f>[1]SUMMARY!N1336</f>
        <v>4980</v>
      </c>
      <c r="K1335" s="23">
        <f t="shared" si="16"/>
        <v>0</v>
      </c>
      <c r="L1335" s="8"/>
      <c r="M1335" s="8"/>
    </row>
    <row r="1336" spans="1:13" x14ac:dyDescent="0.2">
      <c r="A1336" s="17" t="str">
        <f>[1]SUMMARY!A1337</f>
        <v>235</v>
      </c>
      <c r="B1336" s="17">
        <f>[1]SUMMARY!B1337</f>
        <v>75</v>
      </c>
      <c r="C1336" s="17">
        <f>[1]SUMMARY!C1337</f>
        <v>15</v>
      </c>
      <c r="D1336" s="25" t="str">
        <f>[1]SUMMARY!D1337</f>
        <v>ROADSTONE (CH)</v>
      </c>
      <c r="E1336" s="25" t="str">
        <f>[1]SUMMARY!E1337</f>
        <v xml:space="preserve">6PR RO-A/T </v>
      </c>
      <c r="F1336" s="20">
        <v>4</v>
      </c>
      <c r="G1336" s="20">
        <v>12</v>
      </c>
      <c r="H1336" s="20">
        <v>12</v>
      </c>
      <c r="I1336" s="21">
        <f t="shared" si="14"/>
        <v>4</v>
      </c>
      <c r="J1336" s="22">
        <f>[1]SUMMARY!N1337</f>
        <v>4683.5</v>
      </c>
      <c r="K1336" s="23">
        <f t="shared" si="16"/>
        <v>18734</v>
      </c>
      <c r="L1336" s="8"/>
      <c r="M1336" s="8"/>
    </row>
    <row r="1337" spans="1:13" x14ac:dyDescent="0.2">
      <c r="A1337" s="17" t="str">
        <f>[1]SUMMARY!A1338</f>
        <v>195</v>
      </c>
      <c r="B1337" s="17">
        <f>[1]SUMMARY!B1338</f>
        <v>0</v>
      </c>
      <c r="C1337" s="17" t="str">
        <f>[1]SUMMARY!C1338</f>
        <v>15C</v>
      </c>
      <c r="D1337" s="25" t="str">
        <f>[1]SUMMARY!D1338</f>
        <v>ROADSTONE (CH)</v>
      </c>
      <c r="E1337" s="25" t="str">
        <f>[1]SUMMARY!E1338</f>
        <v>8PR ROADIAN CT8</v>
      </c>
      <c r="F1337" s="20">
        <v>4</v>
      </c>
      <c r="G1337" s="20">
        <v>32</v>
      </c>
      <c r="H1337" s="20">
        <v>32</v>
      </c>
      <c r="I1337" s="36">
        <f t="shared" si="14"/>
        <v>4</v>
      </c>
      <c r="J1337" s="22">
        <f>[1]SUMMARY!N1338</f>
        <v>2880</v>
      </c>
      <c r="K1337" s="23">
        <f t="shared" si="16"/>
        <v>11520</v>
      </c>
      <c r="L1337" s="8"/>
      <c r="M1337" s="8"/>
    </row>
    <row r="1338" spans="1:13" x14ac:dyDescent="0.2">
      <c r="A1338" s="17" t="str">
        <f>[1]SUMMARY!A1339</f>
        <v>205</v>
      </c>
      <c r="B1338" s="17">
        <f>[1]SUMMARY!B1339</f>
        <v>45</v>
      </c>
      <c r="C1338" s="17">
        <f>[1]SUMMARY!C1339</f>
        <v>16</v>
      </c>
      <c r="D1338" s="25" t="str">
        <f>[1]SUMMARY!D1339</f>
        <v>ROADSTONE (CH)</v>
      </c>
      <c r="E1338" s="25" t="str">
        <f>[1]SUMMARY!E1339</f>
        <v>4PR EV SPORT 04</v>
      </c>
      <c r="F1338" s="20">
        <v>5</v>
      </c>
      <c r="G1338" s="20">
        <v>4</v>
      </c>
      <c r="H1338" s="20">
        <v>9</v>
      </c>
      <c r="I1338" s="21">
        <f t="shared" si="14"/>
        <v>0</v>
      </c>
      <c r="J1338" s="22">
        <f>[1]SUMMARY!N1339</f>
        <v>2380</v>
      </c>
      <c r="K1338" s="23">
        <f t="shared" si="16"/>
        <v>0</v>
      </c>
      <c r="L1338" s="8"/>
      <c r="M1338" s="8"/>
    </row>
    <row r="1339" spans="1:13" x14ac:dyDescent="0.2">
      <c r="A1339" s="17" t="str">
        <f>[1]SUMMARY!A1340</f>
        <v>195</v>
      </c>
      <c r="B1339" s="17">
        <f>[1]SUMMARY!B1340</f>
        <v>50</v>
      </c>
      <c r="C1339" s="17">
        <f>[1]SUMMARY!C1340</f>
        <v>16</v>
      </c>
      <c r="D1339" s="25" t="str">
        <f>[1]SUMMARY!D1340</f>
        <v>ROADSTONE (CH)</v>
      </c>
      <c r="E1339" s="25" t="str">
        <f>[1]SUMMARY!E1340</f>
        <v>4PR EUROVIS SPORT 4</v>
      </c>
      <c r="F1339" s="20">
        <v>4</v>
      </c>
      <c r="G1339" s="20">
        <v>17</v>
      </c>
      <c r="H1339" s="20">
        <v>21</v>
      </c>
      <c r="I1339" s="21">
        <f t="shared" si="14"/>
        <v>0</v>
      </c>
      <c r="J1339" s="22">
        <f>[1]SUMMARY!N1340</f>
        <v>2290</v>
      </c>
      <c r="K1339" s="23">
        <f t="shared" si="16"/>
        <v>0</v>
      </c>
      <c r="L1339" s="8"/>
      <c r="M1339" s="8"/>
    </row>
    <row r="1340" spans="1:13" x14ac:dyDescent="0.2">
      <c r="A1340" s="17" t="str">
        <f>[1]SUMMARY!A1341</f>
        <v>195</v>
      </c>
      <c r="B1340" s="17">
        <f>[1]SUMMARY!B1341</f>
        <v>55</v>
      </c>
      <c r="C1340" s="17">
        <f>[1]SUMMARY!C1341</f>
        <v>16</v>
      </c>
      <c r="D1340" s="25" t="str">
        <f>[1]SUMMARY!D1341</f>
        <v>ROADSTONE (CH)</v>
      </c>
      <c r="E1340" s="25" t="str">
        <f>[1]SUMMARY!E1341</f>
        <v>4PR EV SPORT 04</v>
      </c>
      <c r="F1340" s="20"/>
      <c r="G1340" s="20">
        <v>7</v>
      </c>
      <c r="H1340" s="20">
        <v>7</v>
      </c>
      <c r="I1340" s="21">
        <f t="shared" si="14"/>
        <v>0</v>
      </c>
      <c r="J1340" s="22">
        <f>[1]SUMMARY!N1341</f>
        <v>2330</v>
      </c>
      <c r="K1340" s="23">
        <f t="shared" si="16"/>
        <v>0</v>
      </c>
      <c r="L1340" s="8"/>
      <c r="M1340" s="8"/>
    </row>
    <row r="1341" spans="1:13" x14ac:dyDescent="0.2">
      <c r="A1341" s="17" t="str">
        <f>[1]SUMMARY!A1342</f>
        <v>195</v>
      </c>
      <c r="B1341" s="17">
        <f>[1]SUMMARY!B1342</f>
        <v>55</v>
      </c>
      <c r="C1341" s="17">
        <f>[1]SUMMARY!C1342</f>
        <v>16</v>
      </c>
      <c r="D1341" s="25" t="str">
        <f>[1]SUMMARY!D1342</f>
        <v>ROADSTONE (CH)</v>
      </c>
      <c r="E1341" s="25" t="str">
        <f>[1]SUMMARY!E1342</f>
        <v>4PR EV HP02</v>
      </c>
      <c r="F1341" s="20"/>
      <c r="G1341" s="20"/>
      <c r="H1341" s="20"/>
      <c r="I1341" s="21">
        <f t="shared" si="14"/>
        <v>0</v>
      </c>
      <c r="J1341" s="22">
        <f>[1]SUMMARY!N1342</f>
        <v>2310</v>
      </c>
      <c r="K1341" s="23">
        <f t="shared" si="16"/>
        <v>0</v>
      </c>
      <c r="L1341" s="8"/>
      <c r="M1341" s="8"/>
    </row>
    <row r="1342" spans="1:13" x14ac:dyDescent="0.2">
      <c r="A1342" s="17" t="str">
        <f>[1]SUMMARY!A1343</f>
        <v>205</v>
      </c>
      <c r="B1342" s="17">
        <f>[1]SUMMARY!B1343</f>
        <v>55</v>
      </c>
      <c r="C1342" s="17">
        <f>[1]SUMMARY!C1343</f>
        <v>16</v>
      </c>
      <c r="D1342" s="25" t="str">
        <f>[1]SUMMARY!D1343</f>
        <v>ROADSTONE (CH)</v>
      </c>
      <c r="E1342" s="25" t="str">
        <f>[1]SUMMARY!E1343</f>
        <v>4PR EV SPORT 04</v>
      </c>
      <c r="F1342" s="20">
        <v>4</v>
      </c>
      <c r="G1342" s="20">
        <v>52</v>
      </c>
      <c r="H1342" s="20">
        <v>56</v>
      </c>
      <c r="I1342" s="21">
        <f t="shared" si="14"/>
        <v>0</v>
      </c>
      <c r="J1342" s="22">
        <f>[1]SUMMARY!N1343</f>
        <v>2470</v>
      </c>
      <c r="K1342" s="23">
        <f t="shared" si="16"/>
        <v>0</v>
      </c>
      <c r="L1342" s="8"/>
      <c r="M1342" s="8"/>
    </row>
    <row r="1343" spans="1:13" x14ac:dyDescent="0.2">
      <c r="A1343" s="17" t="str">
        <f>[1]SUMMARY!A1344</f>
        <v>205</v>
      </c>
      <c r="B1343" s="17">
        <f>[1]SUMMARY!B1344</f>
        <v>60</v>
      </c>
      <c r="C1343" s="17">
        <f>[1]SUMMARY!C1344</f>
        <v>16</v>
      </c>
      <c r="D1343" s="25" t="str">
        <f>[1]SUMMARY!D1344</f>
        <v>ROADSTONE (CH)</v>
      </c>
      <c r="E1343" s="25" t="str">
        <f>[1]SUMMARY!E1344</f>
        <v>4PR EUROVIS SPORT 4</v>
      </c>
      <c r="F1343" s="20"/>
      <c r="G1343" s="20">
        <v>31</v>
      </c>
      <c r="H1343" s="20">
        <v>31</v>
      </c>
      <c r="I1343" s="21">
        <f t="shared" si="14"/>
        <v>0</v>
      </c>
      <c r="J1343" s="22">
        <f>[1]SUMMARY!N1344</f>
        <v>2540</v>
      </c>
      <c r="K1343" s="23">
        <f t="shared" si="16"/>
        <v>0</v>
      </c>
      <c r="L1343" s="8"/>
      <c r="M1343" s="8"/>
    </row>
    <row r="1344" spans="1:13" x14ac:dyDescent="0.2">
      <c r="A1344" s="17" t="str">
        <f>[1]SUMMARY!A1345</f>
        <v>215</v>
      </c>
      <c r="B1344" s="17">
        <f>[1]SUMMARY!B1345</f>
        <v>60</v>
      </c>
      <c r="C1344" s="17">
        <f>[1]SUMMARY!C1345</f>
        <v>16</v>
      </c>
      <c r="D1344" s="25" t="str">
        <f>[1]SUMMARY!D1345</f>
        <v>ROADSTONE (CH)</v>
      </c>
      <c r="E1344" s="25" t="str">
        <f>[1]SUMMARY!E1345</f>
        <v>4PR EUROVIS SPORT 4</v>
      </c>
      <c r="F1344" s="20">
        <v>4</v>
      </c>
      <c r="G1344" s="20">
        <v>4</v>
      </c>
      <c r="H1344" s="20">
        <v>8</v>
      </c>
      <c r="I1344" s="21">
        <f t="shared" si="14"/>
        <v>0</v>
      </c>
      <c r="J1344" s="22">
        <f>[1]SUMMARY!N1345</f>
        <v>2730</v>
      </c>
      <c r="K1344" s="23">
        <f t="shared" si="16"/>
        <v>0</v>
      </c>
      <c r="L1344" s="8"/>
      <c r="M1344" s="8"/>
    </row>
    <row r="1345" spans="1:13" x14ac:dyDescent="0.2">
      <c r="A1345" s="17" t="str">
        <f>[1]SUMMARY!A1346</f>
        <v>205</v>
      </c>
      <c r="B1345" s="17">
        <f>[1]SUMMARY!B1346</f>
        <v>65</v>
      </c>
      <c r="C1345" s="17">
        <f>[1]SUMMARY!C1346</f>
        <v>16</v>
      </c>
      <c r="D1345" s="25" t="str">
        <f>[1]SUMMARY!D1346</f>
        <v>ROADSTONE (CH)</v>
      </c>
      <c r="E1345" s="25" t="str">
        <f>[1]SUMMARY!E1346</f>
        <v>LTR CP321 8PR</v>
      </c>
      <c r="F1345" s="20"/>
      <c r="G1345" s="20">
        <v>8</v>
      </c>
      <c r="H1345" s="20">
        <v>7</v>
      </c>
      <c r="I1345" s="21">
        <f t="shared" si="14"/>
        <v>1</v>
      </c>
      <c r="J1345" s="22">
        <f>[1]SUMMARY!N1346</f>
        <v>3200</v>
      </c>
      <c r="K1345" s="23">
        <f t="shared" si="16"/>
        <v>3200</v>
      </c>
      <c r="L1345" s="8"/>
      <c r="M1345" s="8"/>
    </row>
    <row r="1346" spans="1:13" x14ac:dyDescent="0.2">
      <c r="A1346" s="17" t="str">
        <f>[1]SUMMARY!A1347</f>
        <v>225</v>
      </c>
      <c r="B1346" s="17">
        <f>[1]SUMMARY!B1347</f>
        <v>70</v>
      </c>
      <c r="C1346" s="17">
        <f>[1]SUMMARY!C1347</f>
        <v>16</v>
      </c>
      <c r="D1346" s="25" t="str">
        <f>[1]SUMMARY!D1347</f>
        <v>ROADSTONE (CH)</v>
      </c>
      <c r="E1346" s="25" t="str">
        <f>[1]SUMMARY!E1347</f>
        <v>RO-HT</v>
      </c>
      <c r="F1346" s="20"/>
      <c r="G1346" s="20">
        <v>4</v>
      </c>
      <c r="H1346" s="20">
        <v>4</v>
      </c>
      <c r="I1346" s="21">
        <f t="shared" si="14"/>
        <v>0</v>
      </c>
      <c r="J1346" s="22">
        <f>[1]SUMMARY!N1347</f>
        <v>3800</v>
      </c>
      <c r="K1346" s="23">
        <f t="shared" si="16"/>
        <v>0</v>
      </c>
      <c r="L1346" s="8"/>
      <c r="M1346" s="8"/>
    </row>
    <row r="1347" spans="1:13" x14ac:dyDescent="0.2">
      <c r="A1347" s="17" t="str">
        <f>[1]SUMMARY!A1348</f>
        <v>265</v>
      </c>
      <c r="B1347" s="17">
        <f>[1]SUMMARY!B1348</f>
        <v>70</v>
      </c>
      <c r="C1347" s="17">
        <f>[1]SUMMARY!C1348</f>
        <v>16</v>
      </c>
      <c r="D1347" s="25" t="str">
        <f>[1]SUMMARY!D1348</f>
        <v>ROADSTONE (CH)</v>
      </c>
      <c r="E1347" s="25" t="str">
        <f>[1]SUMMARY!E1348</f>
        <v>4PR RA7 A/T</v>
      </c>
      <c r="F1347" s="20">
        <v>4</v>
      </c>
      <c r="G1347" s="20">
        <v>28</v>
      </c>
      <c r="H1347" s="20">
        <v>28</v>
      </c>
      <c r="I1347" s="21">
        <f t="shared" si="14"/>
        <v>4</v>
      </c>
      <c r="J1347" s="22">
        <f>[1]SUMMARY!N1348</f>
        <v>4860</v>
      </c>
      <c r="K1347" s="23">
        <f t="shared" si="16"/>
        <v>19440</v>
      </c>
      <c r="L1347" s="8"/>
      <c r="M1347" s="8"/>
    </row>
    <row r="1348" spans="1:13" x14ac:dyDescent="0.2">
      <c r="A1348" s="17" t="str">
        <f>[1]SUMMARY!A1349</f>
        <v>265</v>
      </c>
      <c r="B1348" s="17">
        <f>[1]SUMMARY!B1349</f>
        <v>70</v>
      </c>
      <c r="C1348" s="17">
        <f>[1]SUMMARY!C1349</f>
        <v>16</v>
      </c>
      <c r="D1348" s="25" t="str">
        <f>[1]SUMMARY!D1349</f>
        <v>ROADSTONE (CH)</v>
      </c>
      <c r="E1348" s="25" t="str">
        <f>[1]SUMMARY!E1349</f>
        <v>RO-HT</v>
      </c>
      <c r="F1348" s="20"/>
      <c r="G1348" s="20">
        <v>4</v>
      </c>
      <c r="H1348" s="20">
        <v>4</v>
      </c>
      <c r="I1348" s="21">
        <f t="shared" si="14"/>
        <v>0</v>
      </c>
      <c r="J1348" s="22">
        <f>[1]SUMMARY!N1349</f>
        <v>4650</v>
      </c>
      <c r="K1348" s="23">
        <f t="shared" si="16"/>
        <v>0</v>
      </c>
      <c r="L1348" s="8"/>
      <c r="M1348" s="8"/>
    </row>
    <row r="1349" spans="1:13" x14ac:dyDescent="0.2">
      <c r="A1349" s="17" t="str">
        <f>[1]SUMMARY!A1350</f>
        <v>205</v>
      </c>
      <c r="B1349" s="17">
        <f>[1]SUMMARY!B1350</f>
        <v>40</v>
      </c>
      <c r="C1349" s="17">
        <f>[1]SUMMARY!C1350</f>
        <v>17</v>
      </c>
      <c r="D1349" s="25" t="str">
        <f>[1]SUMMARY!D1350</f>
        <v>ROADSTONE (CH)</v>
      </c>
      <c r="E1349" s="25" t="str">
        <f>[1]SUMMARY!E1350</f>
        <v>EUROVIS SPORT 4</v>
      </c>
      <c r="F1349" s="20"/>
      <c r="G1349" s="20">
        <v>4</v>
      </c>
      <c r="H1349" s="20">
        <v>4</v>
      </c>
      <c r="I1349" s="21">
        <f t="shared" si="14"/>
        <v>0</v>
      </c>
      <c r="J1349" s="22">
        <f>[1]SUMMARY!N1350</f>
        <v>2570</v>
      </c>
      <c r="K1349" s="23">
        <f t="shared" si="16"/>
        <v>0</v>
      </c>
      <c r="L1349" s="8"/>
      <c r="M1349" s="8"/>
    </row>
    <row r="1350" spans="1:13" x14ac:dyDescent="0.2">
      <c r="A1350" s="17" t="str">
        <f>[1]SUMMARY!A1351</f>
        <v>205</v>
      </c>
      <c r="B1350" s="17">
        <f>[1]SUMMARY!B1351</f>
        <v>45</v>
      </c>
      <c r="C1350" s="17">
        <f>[1]SUMMARY!C1351</f>
        <v>17</v>
      </c>
      <c r="D1350" s="25" t="str">
        <f>[1]SUMMARY!D1351</f>
        <v>ROADSTONE (CH)</v>
      </c>
      <c r="E1350" s="25" t="str">
        <f>[1]SUMMARY!E1351</f>
        <v>4PR EUROVIS SPORT 04</v>
      </c>
      <c r="F1350" s="20"/>
      <c r="G1350" s="20">
        <v>34</v>
      </c>
      <c r="H1350" s="20">
        <v>34</v>
      </c>
      <c r="I1350" s="21">
        <f t="shared" si="14"/>
        <v>0</v>
      </c>
      <c r="J1350" s="22">
        <f>[1]SUMMARY!N1351</f>
        <v>2650</v>
      </c>
      <c r="K1350" s="23">
        <f t="shared" si="16"/>
        <v>0</v>
      </c>
      <c r="L1350" s="8"/>
      <c r="M1350" s="8"/>
    </row>
    <row r="1351" spans="1:13" x14ac:dyDescent="0.2">
      <c r="A1351" s="17" t="str">
        <f>[1]SUMMARY!A1352</f>
        <v>215</v>
      </c>
      <c r="B1351" s="17">
        <f>[1]SUMMARY!B1352</f>
        <v>45</v>
      </c>
      <c r="C1351" s="17">
        <f>[1]SUMMARY!C1352</f>
        <v>17</v>
      </c>
      <c r="D1351" s="25" t="str">
        <f>[1]SUMMARY!D1352</f>
        <v>ROADSTONE (CH)</v>
      </c>
      <c r="E1351" s="25" t="str">
        <f>[1]SUMMARY!E1352</f>
        <v>4PR EUROVIS SPORT 04</v>
      </c>
      <c r="F1351" s="20"/>
      <c r="G1351" s="20">
        <v>36</v>
      </c>
      <c r="H1351" s="20">
        <v>36</v>
      </c>
      <c r="I1351" s="21">
        <f t="shared" si="14"/>
        <v>0</v>
      </c>
      <c r="J1351" s="22">
        <f>[1]SUMMARY!N1352</f>
        <v>2720</v>
      </c>
      <c r="K1351" s="23">
        <f t="shared" si="16"/>
        <v>0</v>
      </c>
      <c r="L1351" s="8"/>
      <c r="M1351" s="8"/>
    </row>
    <row r="1352" spans="1:13" x14ac:dyDescent="0.2">
      <c r="A1352" s="17" t="str">
        <f>[1]SUMMARY!A1353</f>
        <v>215</v>
      </c>
      <c r="B1352" s="17">
        <f>[1]SUMMARY!B1353</f>
        <v>50</v>
      </c>
      <c r="C1352" s="17">
        <f>[1]SUMMARY!C1353</f>
        <v>17</v>
      </c>
      <c r="D1352" s="25" t="str">
        <f>[1]SUMMARY!D1353</f>
        <v>ROADSTONE (CH)</v>
      </c>
      <c r="E1352" s="25" t="str">
        <f>[1]SUMMARY!E1353</f>
        <v>4PR EUROVIS SPORT 04</v>
      </c>
      <c r="F1352" s="20"/>
      <c r="G1352" s="20">
        <v>8</v>
      </c>
      <c r="H1352" s="20">
        <v>8</v>
      </c>
      <c r="I1352" s="21">
        <f t="shared" si="14"/>
        <v>0</v>
      </c>
      <c r="J1352" s="22">
        <f>[1]SUMMARY!N1353</f>
        <v>2830</v>
      </c>
      <c r="K1352" s="23">
        <f t="shared" si="16"/>
        <v>0</v>
      </c>
      <c r="L1352" s="8"/>
      <c r="M1352" s="8"/>
    </row>
    <row r="1353" spans="1:13" x14ac:dyDescent="0.2">
      <c r="A1353" s="17" t="str">
        <f>[1]SUMMARY!A1354</f>
        <v>225</v>
      </c>
      <c r="B1353" s="17">
        <f>[1]SUMMARY!B1354</f>
        <v>50</v>
      </c>
      <c r="C1353" s="17">
        <f>[1]SUMMARY!C1354</f>
        <v>17</v>
      </c>
      <c r="D1353" s="25" t="str">
        <f>[1]SUMMARY!D1354</f>
        <v>ROADSTONE (CH)</v>
      </c>
      <c r="E1353" s="25" t="str">
        <f>[1]SUMMARY!E1354</f>
        <v>4PR EUROVIS SPORT 04</v>
      </c>
      <c r="F1353" s="20">
        <v>4</v>
      </c>
      <c r="G1353" s="20">
        <v>4</v>
      </c>
      <c r="H1353" s="20">
        <v>8</v>
      </c>
      <c r="I1353" s="21">
        <f t="shared" si="14"/>
        <v>0</v>
      </c>
      <c r="J1353" s="22">
        <f>[1]SUMMARY!N1354</f>
        <v>3030</v>
      </c>
      <c r="K1353" s="23">
        <f t="shared" si="16"/>
        <v>0</v>
      </c>
      <c r="L1353" s="8"/>
      <c r="M1353" s="8"/>
    </row>
    <row r="1354" spans="1:13" x14ac:dyDescent="0.2">
      <c r="A1354" s="17" t="str">
        <f>[1]SUMMARY!A1355</f>
        <v>215</v>
      </c>
      <c r="B1354" s="17">
        <f>[1]SUMMARY!B1355</f>
        <v>55</v>
      </c>
      <c r="C1354" s="17">
        <f>[1]SUMMARY!C1355</f>
        <v>17</v>
      </c>
      <c r="D1354" s="25" t="str">
        <f>[1]SUMMARY!D1355</f>
        <v>ROADSTONE (CH)</v>
      </c>
      <c r="E1354" s="25" t="str">
        <f>[1]SUMMARY!E1355</f>
        <v>4PR EUROVIS SPORT 04</v>
      </c>
      <c r="F1354" s="20"/>
      <c r="G1354" s="20">
        <v>19</v>
      </c>
      <c r="H1354" s="20">
        <v>19</v>
      </c>
      <c r="I1354" s="21">
        <f t="shared" si="14"/>
        <v>0</v>
      </c>
      <c r="J1354" s="22">
        <f>[1]SUMMARY!N1355</f>
        <v>3010</v>
      </c>
      <c r="K1354" s="23">
        <f t="shared" si="16"/>
        <v>0</v>
      </c>
      <c r="L1354" s="8"/>
      <c r="M1354" s="8"/>
    </row>
    <row r="1355" spans="1:13" x14ac:dyDescent="0.2">
      <c r="A1355" s="17" t="str">
        <f>[1]SUMMARY!A1356</f>
        <v>225</v>
      </c>
      <c r="B1355" s="17">
        <f>[1]SUMMARY!B1356</f>
        <v>55</v>
      </c>
      <c r="C1355" s="17">
        <f>[1]SUMMARY!C1356</f>
        <v>17</v>
      </c>
      <c r="D1355" s="25" t="str">
        <f>[1]SUMMARY!D1356</f>
        <v>ROADSTONE (CH)</v>
      </c>
      <c r="E1355" s="25" t="str">
        <f>[1]SUMMARY!E1356</f>
        <v>4PR EUROVIS SPORT 04</v>
      </c>
      <c r="F1355" s="20">
        <v>4</v>
      </c>
      <c r="G1355" s="20">
        <v>2</v>
      </c>
      <c r="H1355" s="20">
        <v>6</v>
      </c>
      <c r="I1355" s="21">
        <f t="shared" si="14"/>
        <v>0</v>
      </c>
      <c r="J1355" s="22">
        <f>[1]SUMMARY!N1356</f>
        <v>3180</v>
      </c>
      <c r="K1355" s="23">
        <f t="shared" si="16"/>
        <v>0</v>
      </c>
      <c r="L1355" s="8"/>
      <c r="M1355" s="8"/>
    </row>
    <row r="1356" spans="1:13" x14ac:dyDescent="0.2">
      <c r="A1356" s="17" t="str">
        <f>[1]SUMMARY!A1357</f>
        <v>225</v>
      </c>
      <c r="B1356" s="17">
        <f>[1]SUMMARY!B1357</f>
        <v>65</v>
      </c>
      <c r="C1356" s="17">
        <f>[1]SUMMARY!C1357</f>
        <v>17</v>
      </c>
      <c r="D1356" s="25" t="str">
        <f>[1]SUMMARY!D1357</f>
        <v>ROADSTONE (CH)</v>
      </c>
      <c r="E1356" s="25" t="str">
        <f>[1]SUMMARY!E1357</f>
        <v>4PR RO HT</v>
      </c>
      <c r="F1356" s="20">
        <v>6</v>
      </c>
      <c r="G1356" s="20">
        <v>21</v>
      </c>
      <c r="H1356" s="20">
        <v>27</v>
      </c>
      <c r="I1356" s="21">
        <f t="shared" si="14"/>
        <v>0</v>
      </c>
      <c r="J1356" s="22">
        <f>[1]SUMMARY!N1357</f>
        <v>3790</v>
      </c>
      <c r="K1356" s="23">
        <f t="shared" si="16"/>
        <v>0</v>
      </c>
      <c r="L1356" s="8"/>
      <c r="M1356" s="8"/>
    </row>
    <row r="1357" spans="1:13" x14ac:dyDescent="0.2">
      <c r="A1357" s="17" t="str">
        <f>[1]SUMMARY!A1358</f>
        <v>235</v>
      </c>
      <c r="B1357" s="17">
        <f>[1]SUMMARY!B1358</f>
        <v>65</v>
      </c>
      <c r="C1357" s="17">
        <f>[1]SUMMARY!C1358</f>
        <v>17</v>
      </c>
      <c r="D1357" s="25" t="str">
        <f>[1]SUMMARY!D1358</f>
        <v>ROADSTONE (CH)</v>
      </c>
      <c r="E1357" s="25" t="str">
        <f>[1]SUMMARY!E1358</f>
        <v>RO-HT</v>
      </c>
      <c r="F1357" s="20"/>
      <c r="G1357" s="20"/>
      <c r="H1357" s="20"/>
      <c r="I1357" s="21">
        <f t="shared" si="14"/>
        <v>0</v>
      </c>
      <c r="J1357" s="22">
        <f>[1]SUMMARY!N1358</f>
        <v>4050</v>
      </c>
      <c r="K1357" s="23">
        <f t="shared" si="16"/>
        <v>0</v>
      </c>
      <c r="L1357" s="8"/>
      <c r="M1357" s="8"/>
    </row>
    <row r="1358" spans="1:13" x14ac:dyDescent="0.2">
      <c r="A1358" s="17" t="str">
        <f>[1]SUMMARY!A1359</f>
        <v>265</v>
      </c>
      <c r="B1358" s="17">
        <f>[1]SUMMARY!B1359</f>
        <v>65</v>
      </c>
      <c r="C1358" s="17">
        <f>[1]SUMMARY!C1359</f>
        <v>17</v>
      </c>
      <c r="D1358" s="25" t="str">
        <f>[1]SUMMARY!D1359</f>
        <v>ROADSTONE (CH)</v>
      </c>
      <c r="E1358" s="25" t="str">
        <f>[1]SUMMARY!E1359</f>
        <v>RO-HT</v>
      </c>
      <c r="F1358" s="20">
        <v>4</v>
      </c>
      <c r="G1358" s="20">
        <v>20</v>
      </c>
      <c r="H1358" s="20">
        <v>24</v>
      </c>
      <c r="I1358" s="21">
        <f t="shared" si="14"/>
        <v>0</v>
      </c>
      <c r="J1358" s="22">
        <f>[1]SUMMARY!N1359</f>
        <v>4503</v>
      </c>
      <c r="K1358" s="23">
        <f t="shared" si="16"/>
        <v>0</v>
      </c>
      <c r="L1358" s="8"/>
      <c r="M1358" s="8"/>
    </row>
    <row r="1359" spans="1:13" x14ac:dyDescent="0.2">
      <c r="A1359" s="17" t="str">
        <f>[1]SUMMARY!A1360</f>
        <v>265</v>
      </c>
      <c r="B1359" s="17">
        <f>[1]SUMMARY!B1360</f>
        <v>65</v>
      </c>
      <c r="C1359" s="17">
        <f>[1]SUMMARY!C1360</f>
        <v>17</v>
      </c>
      <c r="D1359" s="25" t="str">
        <f>[1]SUMMARY!D1360</f>
        <v>ROADSTONE (CH)</v>
      </c>
      <c r="E1359" s="25" t="str">
        <f>[1]SUMMARY!E1360</f>
        <v>RA7 A/T</v>
      </c>
      <c r="F1359" s="20">
        <v>3</v>
      </c>
      <c r="G1359" s="20">
        <v>34</v>
      </c>
      <c r="H1359" s="20">
        <v>37</v>
      </c>
      <c r="I1359" s="21">
        <f t="shared" si="14"/>
        <v>0</v>
      </c>
      <c r="J1359" s="22">
        <f>[1]SUMMARY!N1360</f>
        <v>4360</v>
      </c>
      <c r="K1359" s="23">
        <f t="shared" si="16"/>
        <v>0</v>
      </c>
      <c r="L1359" s="8"/>
      <c r="M1359" s="8"/>
    </row>
    <row r="1360" spans="1:13" x14ac:dyDescent="0.2">
      <c r="A1360" s="17" t="str">
        <f>[1]SUMMARY!A1361</f>
        <v>225</v>
      </c>
      <c r="B1360" s="17">
        <f>[1]SUMMARY!B1361</f>
        <v>40</v>
      </c>
      <c r="C1360" s="17">
        <f>[1]SUMMARY!C1361</f>
        <v>18</v>
      </c>
      <c r="D1360" s="25" t="str">
        <f>[1]SUMMARY!D1361</f>
        <v>ROADSTONE (CH)</v>
      </c>
      <c r="E1360" s="25" t="str">
        <f>[1]SUMMARY!E1361</f>
        <v>EUROVIS SPORT 4</v>
      </c>
      <c r="F1360" s="20">
        <v>4</v>
      </c>
      <c r="G1360" s="20">
        <v>8</v>
      </c>
      <c r="H1360" s="20">
        <v>12</v>
      </c>
      <c r="I1360" s="21">
        <f t="shared" si="14"/>
        <v>0</v>
      </c>
      <c r="J1360" s="22">
        <f>[1]SUMMARY!N1361</f>
        <v>3140</v>
      </c>
      <c r="K1360" s="23">
        <f t="shared" si="16"/>
        <v>0</v>
      </c>
      <c r="L1360" s="8"/>
      <c r="M1360" s="8"/>
    </row>
    <row r="1361" spans="1:13" x14ac:dyDescent="0.2">
      <c r="A1361" s="17" t="str">
        <f>[1]SUMMARY!A1362</f>
        <v>225</v>
      </c>
      <c r="B1361" s="17">
        <f>[1]SUMMARY!B1362</f>
        <v>45</v>
      </c>
      <c r="C1361" s="17">
        <f>[1]SUMMARY!C1362</f>
        <v>18</v>
      </c>
      <c r="D1361" s="25" t="str">
        <f>[1]SUMMARY!D1362</f>
        <v>ROADSTONE (CH)</v>
      </c>
      <c r="E1361" s="25" t="str">
        <f>[1]SUMMARY!E1362</f>
        <v>EUROVIS SPORT 4</v>
      </c>
      <c r="F1361" s="20"/>
      <c r="G1361" s="20">
        <v>4</v>
      </c>
      <c r="H1361" s="20">
        <v>4</v>
      </c>
      <c r="I1361" s="21">
        <f t="shared" si="14"/>
        <v>0</v>
      </c>
      <c r="J1361" s="22">
        <f>[1]SUMMARY!N1362</f>
        <v>3320</v>
      </c>
      <c r="K1361" s="23">
        <f t="shared" si="16"/>
        <v>0</v>
      </c>
      <c r="L1361" s="8"/>
      <c r="M1361" s="8"/>
    </row>
    <row r="1362" spans="1:13" x14ac:dyDescent="0.2">
      <c r="A1362" s="17" t="str">
        <f>[1]SUMMARY!A1363</f>
        <v>235</v>
      </c>
      <c r="B1362" s="17">
        <f>[1]SUMMARY!B1363</f>
        <v>40</v>
      </c>
      <c r="C1362" s="17">
        <f>[1]SUMMARY!C1363</f>
        <v>18</v>
      </c>
      <c r="D1362" s="25" t="str">
        <f>[1]SUMMARY!D1363</f>
        <v>ROADSTONE (CH)</v>
      </c>
      <c r="E1362" s="25" t="str">
        <f>[1]SUMMARY!E1363</f>
        <v>EUROVIS SPORT 4</v>
      </c>
      <c r="F1362" s="20">
        <v>4</v>
      </c>
      <c r="G1362" s="20">
        <v>4</v>
      </c>
      <c r="H1362" s="20">
        <v>8</v>
      </c>
      <c r="I1362" s="21">
        <f t="shared" si="14"/>
        <v>0</v>
      </c>
      <c r="J1362" s="22">
        <f>[1]SUMMARY!N1363</f>
        <v>3100</v>
      </c>
      <c r="K1362" s="23">
        <f t="shared" si="16"/>
        <v>0</v>
      </c>
      <c r="L1362" s="8"/>
      <c r="M1362" s="8"/>
    </row>
    <row r="1363" spans="1:13" x14ac:dyDescent="0.2">
      <c r="A1363" s="17" t="str">
        <f>[1]SUMMARY!A1364</f>
        <v>265</v>
      </c>
      <c r="B1363" s="17">
        <f>[1]SUMMARY!B1364</f>
        <v>50</v>
      </c>
      <c r="C1363" s="17">
        <f>[1]SUMMARY!C1364</f>
        <v>20</v>
      </c>
      <c r="D1363" s="25" t="str">
        <f>[1]SUMMARY!D1364</f>
        <v>ROADSTONE (CH)</v>
      </c>
      <c r="E1363" s="25" t="str">
        <f>[1]SUMMARY!E1364</f>
        <v>RA7 A/T</v>
      </c>
      <c r="F1363" s="20">
        <v>4</v>
      </c>
      <c r="G1363" s="20">
        <v>17</v>
      </c>
      <c r="H1363" s="20">
        <v>21</v>
      </c>
      <c r="I1363" s="21">
        <f t="shared" si="14"/>
        <v>0</v>
      </c>
      <c r="J1363" s="22">
        <f>[1]SUMMARY!N1364</f>
        <v>5060</v>
      </c>
      <c r="K1363" s="23">
        <f t="shared" si="16"/>
        <v>0</v>
      </c>
      <c r="L1363" s="8"/>
      <c r="M1363" s="8"/>
    </row>
    <row r="1364" spans="1:13" x14ac:dyDescent="0.2">
      <c r="A1364" s="17" t="str">
        <f>[1]SUMMARY!A1365</f>
        <v>285</v>
      </c>
      <c r="B1364" s="17">
        <f>[1]SUMMARY!B1365</f>
        <v>50</v>
      </c>
      <c r="C1364" s="17">
        <f>[1]SUMMARY!C1365</f>
        <v>20</v>
      </c>
      <c r="D1364" s="25" t="str">
        <f>[1]SUMMARY!D1365</f>
        <v>ROADSTONE (CH)</v>
      </c>
      <c r="E1364" s="25" t="str">
        <f>[1]SUMMARY!E1365</f>
        <v>4X4 RA7</v>
      </c>
      <c r="F1364" s="20"/>
      <c r="G1364" s="20"/>
      <c r="H1364" s="20"/>
      <c r="I1364" s="21">
        <f t="shared" si="14"/>
        <v>0</v>
      </c>
      <c r="J1364" s="22">
        <f>[1]SUMMARY!N1365</f>
        <v>5196.5</v>
      </c>
      <c r="K1364" s="23">
        <f t="shared" si="16"/>
        <v>0</v>
      </c>
      <c r="L1364" s="28">
        <f>SUM(K1310:K1364)</f>
        <v>83734</v>
      </c>
      <c r="M1364" s="29" t="s">
        <v>72</v>
      </c>
    </row>
    <row r="1365" spans="1:13" x14ac:dyDescent="0.2">
      <c r="A1365" s="17" t="str">
        <f>[1]SUMMARY!A1366</f>
        <v>155</v>
      </c>
      <c r="B1365" s="17">
        <f>[1]SUMMARY!B1366</f>
        <v>0</v>
      </c>
      <c r="C1365" s="17">
        <f>[1]SUMMARY!C1366</f>
        <v>12</v>
      </c>
      <c r="D1365" s="25" t="str">
        <f>[1]SUMMARY!D1366</f>
        <v>SAFERICH (CH)</v>
      </c>
      <c r="E1365" s="25" t="str">
        <f>[1]SUMMARY!E1366</f>
        <v>ECOPLUS</v>
      </c>
      <c r="F1365" s="20">
        <v>2</v>
      </c>
      <c r="G1365" s="20">
        <v>10</v>
      </c>
      <c r="H1365" s="20">
        <v>12</v>
      </c>
      <c r="I1365" s="30">
        <f t="shared" si="14"/>
        <v>0</v>
      </c>
      <c r="J1365" s="22">
        <f>[1]SUMMARY!N1366</f>
        <v>1336.97</v>
      </c>
      <c r="K1365" s="23">
        <f t="shared" si="16"/>
        <v>0</v>
      </c>
      <c r="L1365" s="8"/>
      <c r="M1365" s="8"/>
    </row>
    <row r="1366" spans="1:13" x14ac:dyDescent="0.2">
      <c r="A1366" s="17">
        <f>[1]SUMMARY!A1367</f>
        <v>155</v>
      </c>
      <c r="B1366" s="17">
        <f>[1]SUMMARY!B1367</f>
        <v>65</v>
      </c>
      <c r="C1366" s="17">
        <f>[1]SUMMARY!C1367</f>
        <v>13</v>
      </c>
      <c r="D1366" s="25" t="str">
        <f>[1]SUMMARY!D1367</f>
        <v>SAFERICH (CH)</v>
      </c>
      <c r="E1366" s="25" t="str">
        <f>[1]SUMMARY!E1367</f>
        <v>FRC16 H/T</v>
      </c>
      <c r="F1366" s="20"/>
      <c r="G1366" s="20">
        <v>5</v>
      </c>
      <c r="H1366" s="20">
        <v>5</v>
      </c>
      <c r="I1366" s="21">
        <f t="shared" si="14"/>
        <v>0</v>
      </c>
      <c r="J1366" s="22">
        <f>[1]SUMMARY!N1367</f>
        <v>1267.8800000000001</v>
      </c>
      <c r="K1366" s="23">
        <f t="shared" si="16"/>
        <v>0</v>
      </c>
      <c r="L1366" s="8"/>
      <c r="M1366" s="8"/>
    </row>
    <row r="1367" spans="1:13" x14ac:dyDescent="0.2">
      <c r="A1367" s="17" t="str">
        <f>[1]SUMMARY!A1368</f>
        <v>165</v>
      </c>
      <c r="B1367" s="17">
        <f>[1]SUMMARY!B1368</f>
        <v>65</v>
      </c>
      <c r="C1367" s="17">
        <f>[1]SUMMARY!C1368</f>
        <v>13</v>
      </c>
      <c r="D1367" s="25" t="str">
        <f>[1]SUMMARY!D1368</f>
        <v>SAFERICH (CH)</v>
      </c>
      <c r="E1367" s="25" t="str">
        <f>[1]SUMMARY!E1368</f>
        <v>FRC16 H/T</v>
      </c>
      <c r="F1367" s="20"/>
      <c r="G1367" s="20">
        <v>20</v>
      </c>
      <c r="H1367" s="20">
        <v>20</v>
      </c>
      <c r="I1367" s="21">
        <f t="shared" si="14"/>
        <v>0</v>
      </c>
      <c r="J1367" s="22">
        <f>[1]SUMMARY!N1368</f>
        <v>1308.5999999999999</v>
      </c>
      <c r="K1367" s="23">
        <f t="shared" si="16"/>
        <v>0</v>
      </c>
      <c r="L1367" s="8"/>
      <c r="M1367" s="8"/>
    </row>
    <row r="1368" spans="1:13" x14ac:dyDescent="0.2">
      <c r="A1368" s="17">
        <f>[1]SUMMARY!A1369</f>
        <v>155</v>
      </c>
      <c r="B1368" s="17">
        <f>[1]SUMMARY!B1369</f>
        <v>70</v>
      </c>
      <c r="C1368" s="17">
        <f>[1]SUMMARY!C1369</f>
        <v>13</v>
      </c>
      <c r="D1368" s="25" t="str">
        <f>[1]SUMMARY!D1369</f>
        <v>SAFERICH (CH)</v>
      </c>
      <c r="E1368" s="25" t="str">
        <f>[1]SUMMARY!E1369</f>
        <v>FRC16 H/T</v>
      </c>
      <c r="F1368" s="20"/>
      <c r="G1368" s="20">
        <v>1</v>
      </c>
      <c r="H1368" s="20">
        <v>1</v>
      </c>
      <c r="I1368" s="21">
        <f t="shared" si="14"/>
        <v>0</v>
      </c>
      <c r="J1368" s="22">
        <f>[1]SUMMARY!N1369</f>
        <v>1323</v>
      </c>
      <c r="K1368" s="23">
        <f t="shared" si="16"/>
        <v>0</v>
      </c>
      <c r="L1368" s="8"/>
      <c r="M1368" s="8"/>
    </row>
    <row r="1369" spans="1:13" x14ac:dyDescent="0.2">
      <c r="A1369" s="17" t="str">
        <f>[1]SUMMARY!A1370</f>
        <v>165</v>
      </c>
      <c r="B1369" s="17">
        <f>[1]SUMMARY!B1370</f>
        <v>70</v>
      </c>
      <c r="C1369" s="17">
        <f>[1]SUMMARY!C1370</f>
        <v>13</v>
      </c>
      <c r="D1369" s="25" t="str">
        <f>[1]SUMMARY!D1370</f>
        <v>SAFERICH (CH)</v>
      </c>
      <c r="E1369" s="25" t="str">
        <f>[1]SUMMARY!E1370</f>
        <v>FRC16 H/T</v>
      </c>
      <c r="F1369" s="20"/>
      <c r="G1369" s="20"/>
      <c r="H1369" s="20"/>
      <c r="I1369" s="21">
        <f t="shared" si="14"/>
        <v>0</v>
      </c>
      <c r="J1369" s="22">
        <f>[1]SUMMARY!N1370</f>
        <v>1378.12</v>
      </c>
      <c r="K1369" s="23">
        <f t="shared" si="16"/>
        <v>0</v>
      </c>
      <c r="L1369" s="8"/>
      <c r="M1369" s="8"/>
    </row>
    <row r="1370" spans="1:13" x14ac:dyDescent="0.2">
      <c r="A1370" s="17">
        <f>[1]SUMMARY!A1371</f>
        <v>175</v>
      </c>
      <c r="B1370" s="17">
        <f>[1]SUMMARY!B1371</f>
        <v>70</v>
      </c>
      <c r="C1370" s="17">
        <f>[1]SUMMARY!C1371</f>
        <v>13</v>
      </c>
      <c r="D1370" s="25" t="str">
        <f>[1]SUMMARY!D1371</f>
        <v>SAFERICH (CH)</v>
      </c>
      <c r="E1370" s="25" t="str">
        <f>[1]SUMMARY!E1371</f>
        <v>FRC16 H/T</v>
      </c>
      <c r="F1370" s="20"/>
      <c r="G1370" s="20">
        <v>10</v>
      </c>
      <c r="H1370" s="20">
        <v>10</v>
      </c>
      <c r="I1370" s="21">
        <f t="shared" si="14"/>
        <v>0</v>
      </c>
      <c r="J1370" s="22">
        <f>[1]SUMMARY!N1371</f>
        <v>1488.38</v>
      </c>
      <c r="K1370" s="23">
        <f t="shared" si="16"/>
        <v>0</v>
      </c>
      <c r="L1370" s="8"/>
      <c r="M1370" s="8"/>
    </row>
    <row r="1371" spans="1:13" x14ac:dyDescent="0.2">
      <c r="A1371" s="17">
        <f>[1]SUMMARY!A1372</f>
        <v>185</v>
      </c>
      <c r="B1371" s="17">
        <f>[1]SUMMARY!B1372</f>
        <v>70</v>
      </c>
      <c r="C1371" s="17">
        <f>[1]SUMMARY!C1372</f>
        <v>13</v>
      </c>
      <c r="D1371" s="25" t="str">
        <f>[1]SUMMARY!D1372</f>
        <v>SAFERICH (CH)</v>
      </c>
      <c r="E1371" s="25" t="str">
        <f>[1]SUMMARY!E1372</f>
        <v>FRC16 H/T</v>
      </c>
      <c r="F1371" s="20"/>
      <c r="G1371" s="20">
        <v>27</v>
      </c>
      <c r="H1371" s="20">
        <v>27</v>
      </c>
      <c r="I1371" s="21">
        <f t="shared" si="14"/>
        <v>0</v>
      </c>
      <c r="J1371" s="22">
        <f>[1]SUMMARY!N1372</f>
        <v>1708.88</v>
      </c>
      <c r="K1371" s="23">
        <f t="shared" si="16"/>
        <v>0</v>
      </c>
      <c r="L1371" s="8"/>
      <c r="M1371" s="8"/>
    </row>
    <row r="1372" spans="1:13" x14ac:dyDescent="0.2">
      <c r="A1372" s="17">
        <f>[1]SUMMARY!A1373</f>
        <v>165</v>
      </c>
      <c r="B1372" s="17">
        <f>[1]SUMMARY!B1373</f>
        <v>80</v>
      </c>
      <c r="C1372" s="17">
        <f>[1]SUMMARY!C1373</f>
        <v>13</v>
      </c>
      <c r="D1372" s="25" t="str">
        <f>[1]SUMMARY!D1373</f>
        <v>SAFERICH (CH)</v>
      </c>
      <c r="E1372" s="25">
        <f>[1]SUMMARY!A1373</f>
        <v>165</v>
      </c>
      <c r="F1372" s="20">
        <v>4</v>
      </c>
      <c r="G1372" s="20">
        <v>12</v>
      </c>
      <c r="H1372" s="20">
        <v>16</v>
      </c>
      <c r="I1372" s="21">
        <f t="shared" si="14"/>
        <v>0</v>
      </c>
      <c r="J1372" s="22">
        <f>[1]SUMMARY!N1373</f>
        <v>1509.2674999999999</v>
      </c>
      <c r="K1372" s="23">
        <f t="shared" si="16"/>
        <v>0</v>
      </c>
      <c r="L1372" s="8"/>
      <c r="M1372" s="8"/>
    </row>
    <row r="1373" spans="1:13" x14ac:dyDescent="0.2">
      <c r="A1373" s="17" t="str">
        <f>[1]SUMMARY!A1374</f>
        <v>165</v>
      </c>
      <c r="B1373" s="17">
        <f>[1]SUMMARY!B1374</f>
        <v>60</v>
      </c>
      <c r="C1373" s="17">
        <f>[1]SUMMARY!C1374</f>
        <v>14</v>
      </c>
      <c r="D1373" s="25" t="str">
        <f>[1]SUMMARY!D1374</f>
        <v>SAFERICH (CH)</v>
      </c>
      <c r="E1373" s="25" t="str">
        <f>[1]SUMMARY!E1374</f>
        <v>FRC16 H/T</v>
      </c>
      <c r="F1373" s="20"/>
      <c r="G1373" s="20">
        <v>4</v>
      </c>
      <c r="H1373" s="20">
        <v>4</v>
      </c>
      <c r="I1373" s="21">
        <f t="shared" si="14"/>
        <v>0</v>
      </c>
      <c r="J1373" s="22">
        <f>[1]SUMMARY!N1374</f>
        <v>1417.5</v>
      </c>
      <c r="K1373" s="23">
        <f t="shared" si="16"/>
        <v>0</v>
      </c>
      <c r="L1373" s="8"/>
      <c r="M1373" s="8"/>
    </row>
    <row r="1374" spans="1:13" x14ac:dyDescent="0.2">
      <c r="A1374" s="17" t="str">
        <f>[1]SUMMARY!A1375</f>
        <v>165</v>
      </c>
      <c r="B1374" s="17">
        <f>[1]SUMMARY!B1375</f>
        <v>65</v>
      </c>
      <c r="C1374" s="17">
        <f>[1]SUMMARY!C1375</f>
        <v>14</v>
      </c>
      <c r="D1374" s="25" t="str">
        <f>[1]SUMMARY!D1375</f>
        <v>SAFERICH (CH)</v>
      </c>
      <c r="E1374" s="25" t="str">
        <f>[1]SUMMARY!E1375</f>
        <v>FRC16 H/T</v>
      </c>
      <c r="F1374" s="20">
        <v>2</v>
      </c>
      <c r="G1374" s="20">
        <v>24</v>
      </c>
      <c r="H1374" s="20">
        <v>26</v>
      </c>
      <c r="I1374" s="30">
        <f t="shared" si="14"/>
        <v>0</v>
      </c>
      <c r="J1374" s="22">
        <f>[1]SUMMARY!N1375</f>
        <v>1443.38</v>
      </c>
      <c r="K1374" s="23">
        <f t="shared" si="16"/>
        <v>0</v>
      </c>
      <c r="L1374" s="8"/>
      <c r="M1374" s="8"/>
    </row>
    <row r="1375" spans="1:13" x14ac:dyDescent="0.2">
      <c r="A1375" s="17">
        <f>[1]SUMMARY!A1376</f>
        <v>175</v>
      </c>
      <c r="B1375" s="17">
        <f>[1]SUMMARY!B1376</f>
        <v>65</v>
      </c>
      <c r="C1375" s="17">
        <f>[1]SUMMARY!C1376</f>
        <v>14</v>
      </c>
      <c r="D1375" s="25" t="str">
        <f>[1]SUMMARY!D1376</f>
        <v>SAFERICH (CH)</v>
      </c>
      <c r="E1375" s="25" t="str">
        <f>[1]SUMMARY!E1376</f>
        <v>FRC16 H/T</v>
      </c>
      <c r="F1375" s="20">
        <v>4</v>
      </c>
      <c r="G1375" s="20">
        <v>74</v>
      </c>
      <c r="H1375" s="20">
        <v>74</v>
      </c>
      <c r="I1375" s="30">
        <f t="shared" si="14"/>
        <v>4</v>
      </c>
      <c r="J1375" s="22">
        <f>[1]SUMMARY!N1376</f>
        <v>1513.4769650000001</v>
      </c>
      <c r="K1375" s="23">
        <f t="shared" si="16"/>
        <v>6053.9078600000003</v>
      </c>
      <c r="L1375" s="8"/>
      <c r="M1375" s="8"/>
    </row>
    <row r="1376" spans="1:13" x14ac:dyDescent="0.2">
      <c r="A1376" s="17">
        <f>[1]SUMMARY!A1377</f>
        <v>185</v>
      </c>
      <c r="B1376" s="17">
        <f>[1]SUMMARY!B1377</f>
        <v>65</v>
      </c>
      <c r="C1376" s="17">
        <f>[1]SUMMARY!C1377</f>
        <v>14</v>
      </c>
      <c r="D1376" s="25" t="str">
        <f>[1]SUMMARY!D1377</f>
        <v>SAFERICH (CH)</v>
      </c>
      <c r="E1376" s="25" t="str">
        <f>[1]SUMMARY!E1377</f>
        <v>FRC16 H/T</v>
      </c>
      <c r="F1376" s="20">
        <v>2</v>
      </c>
      <c r="G1376" s="20">
        <v>40</v>
      </c>
      <c r="H1376" s="20">
        <v>42</v>
      </c>
      <c r="I1376" s="21">
        <f t="shared" si="14"/>
        <v>0</v>
      </c>
      <c r="J1376" s="22">
        <f>[1]SUMMARY!N1377</f>
        <v>1653.75</v>
      </c>
      <c r="K1376" s="23">
        <f t="shared" si="16"/>
        <v>0</v>
      </c>
      <c r="L1376" s="8"/>
      <c r="M1376" s="8"/>
    </row>
    <row r="1377" spans="1:13" x14ac:dyDescent="0.2">
      <c r="A1377" s="17">
        <f>[1]SUMMARY!A1378</f>
        <v>165</v>
      </c>
      <c r="B1377" s="17">
        <f>[1]SUMMARY!B1378</f>
        <v>70</v>
      </c>
      <c r="C1377" s="17">
        <f>[1]SUMMARY!C1378</f>
        <v>14</v>
      </c>
      <c r="D1377" s="25" t="str">
        <f>[1]SUMMARY!D1378</f>
        <v>SAFERICH (CH)</v>
      </c>
      <c r="E1377" s="25" t="str">
        <f>[1]SUMMARY!E1378</f>
        <v>FRC16 H/T</v>
      </c>
      <c r="F1377" s="20">
        <v>4</v>
      </c>
      <c r="G1377" s="20">
        <v>4</v>
      </c>
      <c r="H1377" s="20">
        <v>8</v>
      </c>
      <c r="I1377" s="21">
        <f t="shared" si="14"/>
        <v>0</v>
      </c>
      <c r="J1377" s="22">
        <f>[1]SUMMARY!N1378</f>
        <v>1488.38</v>
      </c>
      <c r="K1377" s="23">
        <f t="shared" si="16"/>
        <v>0</v>
      </c>
      <c r="L1377" s="8"/>
      <c r="M1377" s="8"/>
    </row>
    <row r="1378" spans="1:13" x14ac:dyDescent="0.2">
      <c r="A1378" s="17">
        <f>[1]SUMMARY!A1379</f>
        <v>175</v>
      </c>
      <c r="B1378" s="17">
        <f>[1]SUMMARY!B1379</f>
        <v>70</v>
      </c>
      <c r="C1378" s="17">
        <f>[1]SUMMARY!C1379</f>
        <v>14</v>
      </c>
      <c r="D1378" s="25" t="str">
        <f>[1]SUMMARY!D1379</f>
        <v>SAFERICH (CH)</v>
      </c>
      <c r="E1378" s="25" t="str">
        <f>[1]SUMMARY!E1379</f>
        <v>FRC16 H/T</v>
      </c>
      <c r="F1378" s="20"/>
      <c r="G1378" s="20">
        <v>21</v>
      </c>
      <c r="H1378" s="20">
        <v>21</v>
      </c>
      <c r="I1378" s="21">
        <f t="shared" si="14"/>
        <v>0</v>
      </c>
      <c r="J1378" s="22">
        <f>[1]SUMMARY!N1379</f>
        <v>1543.39</v>
      </c>
      <c r="K1378" s="23">
        <f t="shared" si="16"/>
        <v>0</v>
      </c>
      <c r="L1378" s="8"/>
      <c r="M1378" s="8"/>
    </row>
    <row r="1379" spans="1:13" x14ac:dyDescent="0.2">
      <c r="A1379" s="17" t="str">
        <f>[1]SUMMARY!A1380</f>
        <v>185</v>
      </c>
      <c r="B1379" s="17">
        <f>[1]SUMMARY!B1380</f>
        <v>70</v>
      </c>
      <c r="C1379" s="17">
        <f>[1]SUMMARY!C1380</f>
        <v>14</v>
      </c>
      <c r="D1379" s="25" t="str">
        <f>[1]SUMMARY!D1380</f>
        <v>SAFERICH (CH)</v>
      </c>
      <c r="E1379" s="25" t="e">
        <f>LIPA '[2]#REF'!G1209</f>
        <v>#NAME?</v>
      </c>
      <c r="F1379" s="20"/>
      <c r="G1379" s="20">
        <v>32</v>
      </c>
      <c r="H1379" s="20">
        <v>29</v>
      </c>
      <c r="I1379" s="30">
        <f t="shared" si="14"/>
        <v>3</v>
      </c>
      <c r="J1379" s="22">
        <f>[1]SUMMARY!N1380</f>
        <v>1768.3465799999999</v>
      </c>
      <c r="K1379" s="23">
        <f t="shared" si="16"/>
        <v>5305.0397400000002</v>
      </c>
      <c r="L1379" s="8"/>
      <c r="M1379" s="8"/>
    </row>
    <row r="1380" spans="1:13" x14ac:dyDescent="0.2">
      <c r="A1380" s="17">
        <f>[1]SUMMARY!A1381</f>
        <v>195</v>
      </c>
      <c r="B1380" s="17">
        <f>[1]SUMMARY!B1381</f>
        <v>70</v>
      </c>
      <c r="C1380" s="17">
        <f>[1]SUMMARY!C1381</f>
        <v>14</v>
      </c>
      <c r="D1380" s="25" t="str">
        <f>[1]SUMMARY!D1381</f>
        <v>SAFERICH (CH)</v>
      </c>
      <c r="E1380" s="25" t="str">
        <f>[1]SUMMARY!E1381</f>
        <v>FRC16 H/T</v>
      </c>
      <c r="F1380" s="20"/>
      <c r="G1380" s="20">
        <v>25</v>
      </c>
      <c r="H1380" s="20">
        <v>25</v>
      </c>
      <c r="I1380" s="21">
        <f t="shared" si="14"/>
        <v>0</v>
      </c>
      <c r="J1380" s="22">
        <f>[1]SUMMARY!N1381</f>
        <v>1984.5</v>
      </c>
      <c r="K1380" s="23">
        <f t="shared" si="16"/>
        <v>0</v>
      </c>
      <c r="L1380" s="8"/>
      <c r="M1380" s="8"/>
    </row>
    <row r="1381" spans="1:13" x14ac:dyDescent="0.2">
      <c r="A1381" s="17" t="str">
        <f>[1]SUMMARY!A1382</f>
        <v>185</v>
      </c>
      <c r="B1381" s="17">
        <f>[1]SUMMARY!B1382</f>
        <v>0</v>
      </c>
      <c r="C1381" s="17" t="str">
        <f>[1]SUMMARY!C1382</f>
        <v>14C</v>
      </c>
      <c r="D1381" s="25" t="str">
        <f>[1]SUMMARY!D1382</f>
        <v>SAFERICH (CH)</v>
      </c>
      <c r="E1381" s="25" t="str">
        <f>[1]SUMMARY!E1382</f>
        <v>FRC96 A/T</v>
      </c>
      <c r="F1381" s="20"/>
      <c r="G1381" s="20">
        <v>72</v>
      </c>
      <c r="H1381" s="20">
        <v>72</v>
      </c>
      <c r="I1381" s="30">
        <f t="shared" si="14"/>
        <v>0</v>
      </c>
      <c r="J1381" s="22">
        <f>[1]SUMMARY!N1382</f>
        <v>2280.7734949999999</v>
      </c>
      <c r="K1381" s="23">
        <f t="shared" si="16"/>
        <v>0</v>
      </c>
      <c r="L1381" s="8"/>
      <c r="M1381" s="8"/>
    </row>
    <row r="1382" spans="1:13" x14ac:dyDescent="0.2">
      <c r="A1382" s="17">
        <f>[1]SUMMARY!A1383</f>
        <v>195</v>
      </c>
      <c r="B1382" s="17">
        <f>[1]SUMMARY!B1383</f>
        <v>0</v>
      </c>
      <c r="C1382" s="17" t="str">
        <f>[1]SUMMARY!C1383</f>
        <v>14C</v>
      </c>
      <c r="D1382" s="25" t="str">
        <f>[1]SUMMARY!D1383</f>
        <v>SAFERICH (CH)</v>
      </c>
      <c r="E1382" s="25" t="str">
        <f>[1]SUMMARY!E1383</f>
        <v>FRC96 A/T</v>
      </c>
      <c r="F1382" s="20">
        <v>4</v>
      </c>
      <c r="G1382" s="20">
        <v>31</v>
      </c>
      <c r="H1382" s="20">
        <v>35</v>
      </c>
      <c r="I1382" s="21">
        <f t="shared" si="14"/>
        <v>0</v>
      </c>
      <c r="J1382" s="22">
        <f>[1]SUMMARY!N1383</f>
        <v>2480.62</v>
      </c>
      <c r="K1382" s="23">
        <f t="shared" si="16"/>
        <v>0</v>
      </c>
      <c r="L1382" s="8"/>
      <c r="M1382" s="8"/>
    </row>
    <row r="1383" spans="1:13" x14ac:dyDescent="0.2">
      <c r="A1383" s="17">
        <f>[1]SUMMARY!A1384</f>
        <v>31</v>
      </c>
      <c r="B1383" s="17">
        <f>[1]SUMMARY!B1384</f>
        <v>10.5</v>
      </c>
      <c r="C1383" s="17">
        <f>[1]SUMMARY!C1384</f>
        <v>15</v>
      </c>
      <c r="D1383" s="25" t="str">
        <f>[1]SUMMARY!D1384</f>
        <v>SAFERICH (CH)</v>
      </c>
      <c r="E1383" s="25" t="str">
        <f>[1]SUMMARY!E1384</f>
        <v>MUD HUNTER BLACK letter</v>
      </c>
      <c r="F1383" s="20"/>
      <c r="G1383" s="20">
        <v>6</v>
      </c>
      <c r="H1383" s="20">
        <v>6</v>
      </c>
      <c r="I1383" s="21">
        <f t="shared" si="14"/>
        <v>0</v>
      </c>
      <c r="J1383" s="22">
        <f>[1]SUMMARY!N1384</f>
        <v>5347.12</v>
      </c>
      <c r="K1383" s="23">
        <f t="shared" si="16"/>
        <v>0</v>
      </c>
      <c r="L1383" s="8"/>
      <c r="M1383" s="8"/>
    </row>
    <row r="1384" spans="1:13" x14ac:dyDescent="0.2">
      <c r="A1384" s="17" t="str">
        <f>[1]SUMMARY!A1385</f>
        <v>31</v>
      </c>
      <c r="B1384" s="17">
        <f>[1]SUMMARY!B1385</f>
        <v>10.5</v>
      </c>
      <c r="C1384" s="17">
        <f>[1]SUMMARY!C1385</f>
        <v>15</v>
      </c>
      <c r="D1384" s="25" t="str">
        <f>[1]SUMMARY!D1385</f>
        <v>SAFERICH (CH)</v>
      </c>
      <c r="E1384" s="25" t="str">
        <f>[1]SUMMARY!E1385</f>
        <v>FRC86 A/T</v>
      </c>
      <c r="F1384" s="20"/>
      <c r="G1384" s="20">
        <v>4</v>
      </c>
      <c r="H1384" s="20">
        <v>4</v>
      </c>
      <c r="I1384" s="21">
        <f t="shared" si="14"/>
        <v>0</v>
      </c>
      <c r="J1384" s="22">
        <f>[1]SUMMARY!N1385</f>
        <v>4520.25</v>
      </c>
      <c r="K1384" s="23">
        <f t="shared" si="16"/>
        <v>0</v>
      </c>
      <c r="L1384" s="8"/>
      <c r="M1384" s="8"/>
    </row>
    <row r="1385" spans="1:13" x14ac:dyDescent="0.2">
      <c r="A1385" s="17" t="str">
        <f>[1]SUMMARY!A1386</f>
        <v>195</v>
      </c>
      <c r="B1385" s="17">
        <f>[1]SUMMARY!B1386</f>
        <v>50</v>
      </c>
      <c r="C1385" s="17">
        <f>[1]SUMMARY!C1386</f>
        <v>15</v>
      </c>
      <c r="D1385" s="25" t="str">
        <f>[1]SUMMARY!D1386</f>
        <v>SAFERICH (CH)</v>
      </c>
      <c r="E1385" s="25" t="str">
        <f>[1]SUMMARY!E1386</f>
        <v>FRC16 H/T</v>
      </c>
      <c r="F1385" s="20">
        <v>4</v>
      </c>
      <c r="G1385" s="20">
        <v>53</v>
      </c>
      <c r="H1385" s="20">
        <v>53</v>
      </c>
      <c r="I1385" s="30">
        <f t="shared" si="14"/>
        <v>4</v>
      </c>
      <c r="J1385" s="22">
        <f>[1]SUMMARY!N1386</f>
        <v>1811.865055</v>
      </c>
      <c r="K1385" s="23">
        <f t="shared" si="16"/>
        <v>7247.4602199999999</v>
      </c>
      <c r="L1385" s="8"/>
      <c r="M1385" s="8"/>
    </row>
    <row r="1386" spans="1:13" x14ac:dyDescent="0.2">
      <c r="A1386" s="17">
        <f>[1]SUMMARY!A1387</f>
        <v>175</v>
      </c>
      <c r="B1386" s="17">
        <f>[1]SUMMARY!B1387</f>
        <v>55</v>
      </c>
      <c r="C1386" s="17">
        <f>[1]SUMMARY!C1387</f>
        <v>15</v>
      </c>
      <c r="D1386" s="25" t="str">
        <f>[1]SUMMARY!D1387</f>
        <v>SAFERICH (CH)</v>
      </c>
      <c r="E1386" s="25" t="str">
        <f>[1]SUMMARY!E1387</f>
        <v>FRC16 H/T</v>
      </c>
      <c r="F1386" s="20"/>
      <c r="G1386" s="20">
        <v>27</v>
      </c>
      <c r="H1386" s="20">
        <v>27</v>
      </c>
      <c r="I1386" s="21">
        <f t="shared" si="14"/>
        <v>0</v>
      </c>
      <c r="J1386" s="22">
        <f>[1]SUMMARY!N1387</f>
        <v>1708.88</v>
      </c>
      <c r="K1386" s="23">
        <f t="shared" si="16"/>
        <v>0</v>
      </c>
      <c r="L1386" s="8"/>
      <c r="M1386" s="8"/>
    </row>
    <row r="1387" spans="1:13" x14ac:dyDescent="0.2">
      <c r="A1387" s="17">
        <f>[1]SUMMARY!A1388</f>
        <v>185</v>
      </c>
      <c r="B1387" s="17">
        <f>[1]SUMMARY!B1388</f>
        <v>55</v>
      </c>
      <c r="C1387" s="17">
        <f>[1]SUMMARY!C1388</f>
        <v>15</v>
      </c>
      <c r="D1387" s="25" t="str">
        <f>[1]SUMMARY!D1388</f>
        <v>SAFERICH (CH)</v>
      </c>
      <c r="E1387" s="25" t="str">
        <f>[1]SUMMARY!E1388</f>
        <v>FRC16 H/T</v>
      </c>
      <c r="F1387" s="20"/>
      <c r="G1387" s="20">
        <v>38</v>
      </c>
      <c r="H1387" s="20">
        <v>34</v>
      </c>
      <c r="I1387" s="30">
        <f t="shared" si="14"/>
        <v>4</v>
      </c>
      <c r="J1387" s="22">
        <f>[1]SUMMARY!N1388</f>
        <v>1708.88</v>
      </c>
      <c r="K1387" s="23">
        <f t="shared" si="16"/>
        <v>6835.52</v>
      </c>
      <c r="L1387" s="8"/>
      <c r="M1387" s="8"/>
    </row>
    <row r="1388" spans="1:13" x14ac:dyDescent="0.2">
      <c r="A1388" s="17">
        <f>[1]SUMMARY!A1389</f>
        <v>195</v>
      </c>
      <c r="B1388" s="17">
        <f>[1]SUMMARY!B1389</f>
        <v>55</v>
      </c>
      <c r="C1388" s="17">
        <f>[1]SUMMARY!C1389</f>
        <v>15</v>
      </c>
      <c r="D1388" s="25" t="str">
        <f>[1]SUMMARY!D1389</f>
        <v>SAFERICH (CH)</v>
      </c>
      <c r="E1388" s="25" t="str">
        <f>[1]SUMMARY!E1389</f>
        <v>FRC16 H/T</v>
      </c>
      <c r="F1388" s="20"/>
      <c r="G1388" s="20">
        <v>102</v>
      </c>
      <c r="H1388" s="20">
        <v>102</v>
      </c>
      <c r="I1388" s="30">
        <f t="shared" si="14"/>
        <v>0</v>
      </c>
      <c r="J1388" s="22">
        <f>[1]SUMMARY!N1389</f>
        <v>1820.3685499999999</v>
      </c>
      <c r="K1388" s="23">
        <f t="shared" si="16"/>
        <v>0</v>
      </c>
      <c r="L1388" s="8"/>
      <c r="M1388" s="8"/>
    </row>
    <row r="1389" spans="1:13" x14ac:dyDescent="0.2">
      <c r="A1389" s="17">
        <f>[1]SUMMARY!A1390</f>
        <v>185</v>
      </c>
      <c r="B1389" s="17">
        <f>[1]SUMMARY!B1390</f>
        <v>60</v>
      </c>
      <c r="C1389" s="17">
        <f>[1]SUMMARY!C1390</f>
        <v>15</v>
      </c>
      <c r="D1389" s="25" t="str">
        <f>[1]SUMMARY!D1390</f>
        <v>SAFERICH (CH)</v>
      </c>
      <c r="E1389" s="25" t="str">
        <f>[1]SUMMARY!E1390</f>
        <v>FRC16 H/T</v>
      </c>
      <c r="F1389" s="20"/>
      <c r="G1389" s="20">
        <v>38</v>
      </c>
      <c r="H1389" s="20">
        <v>38</v>
      </c>
      <c r="I1389" s="30">
        <f t="shared" si="14"/>
        <v>0</v>
      </c>
      <c r="J1389" s="22">
        <f>[1]SUMMARY!N1390</f>
        <v>1708.88</v>
      </c>
      <c r="K1389" s="23">
        <f t="shared" si="16"/>
        <v>0</v>
      </c>
      <c r="L1389" s="8"/>
      <c r="M1389" s="8"/>
    </row>
    <row r="1390" spans="1:13" x14ac:dyDescent="0.2">
      <c r="A1390" s="17">
        <f>[1]SUMMARY!A1391</f>
        <v>195</v>
      </c>
      <c r="B1390" s="17">
        <f>[1]SUMMARY!B1391</f>
        <v>60</v>
      </c>
      <c r="C1390" s="17">
        <f>[1]SUMMARY!C1391</f>
        <v>15</v>
      </c>
      <c r="D1390" s="25" t="str">
        <f>[1]SUMMARY!D1391</f>
        <v>SAFERICH (CH)</v>
      </c>
      <c r="E1390" s="25" t="str">
        <f>[1]SUMMARY!E1391</f>
        <v>FRC16 H/T</v>
      </c>
      <c r="F1390" s="20"/>
      <c r="G1390" s="20">
        <v>40</v>
      </c>
      <c r="H1390" s="20">
        <v>40</v>
      </c>
      <c r="I1390" s="30">
        <f t="shared" si="14"/>
        <v>0</v>
      </c>
      <c r="J1390" s="22">
        <f>[1]SUMMARY!N1391</f>
        <v>1874.25</v>
      </c>
      <c r="K1390" s="23">
        <f t="shared" si="16"/>
        <v>0</v>
      </c>
      <c r="L1390" s="8"/>
      <c r="M1390" s="8"/>
    </row>
    <row r="1391" spans="1:13" x14ac:dyDescent="0.2">
      <c r="A1391" s="17" t="str">
        <f>[1]SUMMARY!A1392</f>
        <v>205</v>
      </c>
      <c r="B1391" s="17">
        <f>[1]SUMMARY!B1392</f>
        <v>60</v>
      </c>
      <c r="C1391" s="17">
        <f>[1]SUMMARY!C1392</f>
        <v>15</v>
      </c>
      <c r="D1391" s="25" t="str">
        <f>[1]SUMMARY!D1392</f>
        <v>SAFERICH (CH)</v>
      </c>
      <c r="E1391" s="25" t="str">
        <f>[1]SUMMARY!E1392</f>
        <v>FRC16 H/T</v>
      </c>
      <c r="F1391" s="20"/>
      <c r="G1391" s="20">
        <v>4</v>
      </c>
      <c r="H1391" s="20">
        <v>4</v>
      </c>
      <c r="I1391" s="21">
        <f t="shared" si="14"/>
        <v>0</v>
      </c>
      <c r="J1391" s="22">
        <f>[1]SUMMARY!N1392</f>
        <v>2153.51136</v>
      </c>
      <c r="K1391" s="23">
        <f t="shared" si="16"/>
        <v>0</v>
      </c>
      <c r="L1391" s="8"/>
      <c r="M1391" s="8"/>
    </row>
    <row r="1392" spans="1:13" x14ac:dyDescent="0.2">
      <c r="A1392" s="17">
        <f>[1]SUMMARY!A1393</f>
        <v>175</v>
      </c>
      <c r="B1392" s="17">
        <f>[1]SUMMARY!B1393</f>
        <v>65</v>
      </c>
      <c r="C1392" s="17">
        <f>[1]SUMMARY!C1393</f>
        <v>15</v>
      </c>
      <c r="D1392" s="25" t="str">
        <f>[1]SUMMARY!D1393</f>
        <v>SAFERICH (CH)</v>
      </c>
      <c r="E1392" s="25" t="str">
        <f>[1]SUMMARY!E1393</f>
        <v>FRC16 H/T</v>
      </c>
      <c r="F1392" s="20">
        <v>4</v>
      </c>
      <c r="G1392" s="20">
        <v>24</v>
      </c>
      <c r="H1392" s="20">
        <v>24</v>
      </c>
      <c r="I1392" s="30">
        <f t="shared" si="14"/>
        <v>4</v>
      </c>
      <c r="J1392" s="22">
        <f>[1]SUMMARY!N1393</f>
        <v>1669.0173500000001</v>
      </c>
      <c r="K1392" s="23">
        <f t="shared" si="16"/>
        <v>6676.0694000000003</v>
      </c>
      <c r="L1392" s="8"/>
      <c r="M1392" s="8"/>
    </row>
    <row r="1393" spans="1:13" x14ac:dyDescent="0.2">
      <c r="A1393" s="17">
        <f>[1]SUMMARY!A1394</f>
        <v>185</v>
      </c>
      <c r="B1393" s="17">
        <f>[1]SUMMARY!B1394</f>
        <v>65</v>
      </c>
      <c r="C1393" s="17">
        <f>[1]SUMMARY!C1394</f>
        <v>15</v>
      </c>
      <c r="D1393" s="25" t="str">
        <f>[1]SUMMARY!D1394</f>
        <v>SAFERICH (CH)</v>
      </c>
      <c r="E1393" s="25" t="str">
        <f>[1]SUMMARY!E1394</f>
        <v>FRC16 H/T</v>
      </c>
      <c r="F1393" s="20"/>
      <c r="G1393" s="20">
        <v>60</v>
      </c>
      <c r="H1393" s="20">
        <v>58</v>
      </c>
      <c r="I1393" s="30">
        <f t="shared" si="14"/>
        <v>2</v>
      </c>
      <c r="J1393" s="22">
        <f>[1]SUMMARY!N1394</f>
        <v>1764</v>
      </c>
      <c r="K1393" s="23">
        <f t="shared" si="16"/>
        <v>3528</v>
      </c>
      <c r="L1393" s="8"/>
      <c r="M1393" s="8"/>
    </row>
    <row r="1394" spans="1:13" x14ac:dyDescent="0.2">
      <c r="A1394" s="17">
        <f>[1]SUMMARY!A1395</f>
        <v>195</v>
      </c>
      <c r="B1394" s="17">
        <f>[1]SUMMARY!B1395</f>
        <v>65</v>
      </c>
      <c r="C1394" s="17">
        <f>[1]SUMMARY!C1395</f>
        <v>15</v>
      </c>
      <c r="D1394" s="25" t="str">
        <f>[1]SUMMARY!D1395</f>
        <v>SAFERICH (CH)</v>
      </c>
      <c r="E1394" s="25" t="str">
        <f>[1]SUMMARY!E1395</f>
        <v>FRC16 H/T</v>
      </c>
      <c r="F1394" s="20">
        <v>2</v>
      </c>
      <c r="G1394" s="20">
        <v>40</v>
      </c>
      <c r="H1394" s="20">
        <v>39</v>
      </c>
      <c r="I1394" s="30">
        <f t="shared" si="14"/>
        <v>3</v>
      </c>
      <c r="J1394" s="22">
        <f>[1]SUMMARY!N1395</f>
        <v>1933.4264949999999</v>
      </c>
      <c r="K1394" s="23">
        <f t="shared" si="16"/>
        <v>5800.279485</v>
      </c>
      <c r="L1394" s="8"/>
      <c r="M1394" s="8"/>
    </row>
    <row r="1395" spans="1:13" x14ac:dyDescent="0.2">
      <c r="A1395" s="17">
        <f>[1]SUMMARY!A1396</f>
        <v>205</v>
      </c>
      <c r="B1395" s="17">
        <f>[1]SUMMARY!B1396</f>
        <v>65</v>
      </c>
      <c r="C1395" s="17">
        <f>[1]SUMMARY!C1396</f>
        <v>15</v>
      </c>
      <c r="D1395" s="25" t="str">
        <f>[1]SUMMARY!D1396</f>
        <v>SAFERICH (CH)</v>
      </c>
      <c r="E1395" s="25" t="str">
        <f>[1]SUMMARY!E1396</f>
        <v>FRC16 H/T</v>
      </c>
      <c r="F1395" s="20">
        <v>4</v>
      </c>
      <c r="G1395" s="20">
        <v>58</v>
      </c>
      <c r="H1395" s="20">
        <v>62</v>
      </c>
      <c r="I1395" s="62">
        <f t="shared" si="14"/>
        <v>0</v>
      </c>
      <c r="J1395" s="22">
        <f>[1]SUMMARY!N1396</f>
        <v>2099.031935</v>
      </c>
      <c r="K1395" s="23">
        <f t="shared" si="16"/>
        <v>0</v>
      </c>
      <c r="L1395" s="8"/>
      <c r="M1395" s="8"/>
    </row>
    <row r="1396" spans="1:13" x14ac:dyDescent="0.2">
      <c r="A1396" s="17">
        <f>[1]SUMMARY!A1397</f>
        <v>215</v>
      </c>
      <c r="B1396" s="17">
        <f>[1]SUMMARY!B1397</f>
        <v>65</v>
      </c>
      <c r="C1396" s="17">
        <f>[1]SUMMARY!C1397</f>
        <v>15</v>
      </c>
      <c r="D1396" s="25" t="str">
        <f>[1]SUMMARY!D1397</f>
        <v>SAFERICH (CH)</v>
      </c>
      <c r="E1396" s="25" t="str">
        <f>[1]SUMMARY!E1397</f>
        <v>FRC16 H/T</v>
      </c>
      <c r="F1396" s="60"/>
      <c r="G1396" s="60">
        <v>14</v>
      </c>
      <c r="H1396" s="60">
        <v>14</v>
      </c>
      <c r="I1396" s="21">
        <f t="shared" si="14"/>
        <v>0</v>
      </c>
      <c r="J1396" s="22">
        <f>[1]SUMMARY!N1397</f>
        <v>2220.37</v>
      </c>
      <c r="K1396" s="23">
        <f t="shared" si="16"/>
        <v>0</v>
      </c>
      <c r="L1396" s="8"/>
      <c r="M1396" s="8"/>
    </row>
    <row r="1397" spans="1:13" x14ac:dyDescent="0.2">
      <c r="A1397" s="17">
        <f>[1]SUMMARY!A1398</f>
        <v>195</v>
      </c>
      <c r="B1397" s="17">
        <f>[1]SUMMARY!B1398</f>
        <v>70</v>
      </c>
      <c r="C1397" s="17" t="str">
        <f>[1]SUMMARY!C1398</f>
        <v>15C</v>
      </c>
      <c r="D1397" s="25" t="str">
        <f>[1]SUMMARY!D1398</f>
        <v>SAFERICH (CH)</v>
      </c>
      <c r="E1397" s="25" t="str">
        <f>[1]SUMMARY!E1398</f>
        <v>FRC96 A/T</v>
      </c>
      <c r="F1397" s="20">
        <v>4</v>
      </c>
      <c r="G1397" s="20">
        <v>14</v>
      </c>
      <c r="H1397" s="20">
        <v>18</v>
      </c>
      <c r="I1397" s="62">
        <f t="shared" si="14"/>
        <v>0</v>
      </c>
      <c r="J1397" s="22">
        <f>[1]SUMMARY!N1398</f>
        <v>2480.63</v>
      </c>
      <c r="K1397" s="23">
        <f t="shared" si="16"/>
        <v>0</v>
      </c>
      <c r="L1397" s="8"/>
      <c r="M1397" s="8"/>
    </row>
    <row r="1398" spans="1:13" x14ac:dyDescent="0.2">
      <c r="A1398" s="17">
        <f>[1]SUMMARY!A1399</f>
        <v>205</v>
      </c>
      <c r="B1398" s="17">
        <f>[1]SUMMARY!B1399</f>
        <v>70</v>
      </c>
      <c r="C1398" s="17">
        <f>[1]SUMMARY!C1399</f>
        <v>15</v>
      </c>
      <c r="D1398" s="25" t="str">
        <f>[1]SUMMARY!D1399</f>
        <v>SAFERICH (CH)</v>
      </c>
      <c r="E1398" s="25" t="str">
        <f>[1]SUMMARY!E1399</f>
        <v>FRC16 H/T</v>
      </c>
      <c r="F1398" s="20"/>
      <c r="G1398" s="20">
        <v>24</v>
      </c>
      <c r="H1398" s="20">
        <v>24</v>
      </c>
      <c r="I1398" s="62">
        <f t="shared" si="14"/>
        <v>0</v>
      </c>
      <c r="J1398" s="22">
        <f>[1]SUMMARY!N1399</f>
        <v>2236.9299999999998</v>
      </c>
      <c r="K1398" s="23">
        <f t="shared" si="16"/>
        <v>0</v>
      </c>
      <c r="L1398" s="8"/>
      <c r="M1398" s="8"/>
    </row>
    <row r="1399" spans="1:13" x14ac:dyDescent="0.2">
      <c r="A1399" s="17" t="str">
        <f>[1]SUMMARY!A1400</f>
        <v>205</v>
      </c>
      <c r="B1399" s="17">
        <f>[1]SUMMARY!B1400</f>
        <v>70</v>
      </c>
      <c r="C1399" s="17" t="str">
        <f>[1]SUMMARY!C1400</f>
        <v>15C</v>
      </c>
      <c r="D1399" s="25" t="str">
        <f>[1]SUMMARY!D1400</f>
        <v>SAFERICH (CH)</v>
      </c>
      <c r="E1399" s="25" t="str">
        <f>[1]SUMMARY!E1400</f>
        <v>8PR FRC96 A/T</v>
      </c>
      <c r="F1399" s="20"/>
      <c r="G1399" s="20">
        <v>32</v>
      </c>
      <c r="H1399" s="20">
        <v>32</v>
      </c>
      <c r="I1399" s="21">
        <f t="shared" si="14"/>
        <v>0</v>
      </c>
      <c r="J1399" s="22">
        <f>[1]SUMMARY!N1400</f>
        <v>2593.08</v>
      </c>
      <c r="K1399" s="23">
        <f t="shared" si="16"/>
        <v>0</v>
      </c>
      <c r="L1399" s="8"/>
      <c r="M1399" s="8"/>
    </row>
    <row r="1400" spans="1:13" x14ac:dyDescent="0.2">
      <c r="A1400" s="17">
        <f>[1]SUMMARY!A1401</f>
        <v>215</v>
      </c>
      <c r="B1400" s="17">
        <f>[1]SUMMARY!B1401</f>
        <v>70</v>
      </c>
      <c r="C1400" s="17">
        <f>[1]SUMMARY!C1401</f>
        <v>15</v>
      </c>
      <c r="D1400" s="25" t="str">
        <f>[1]SUMMARY!D1401</f>
        <v>SAFERICH (CH)</v>
      </c>
      <c r="E1400" s="25" t="str">
        <f>[1]SUMMARY!E1401</f>
        <v>FRC16 H/T</v>
      </c>
      <c r="F1400" s="20"/>
      <c r="G1400" s="20">
        <v>24</v>
      </c>
      <c r="H1400" s="20">
        <v>24</v>
      </c>
      <c r="I1400" s="21">
        <f t="shared" si="14"/>
        <v>0</v>
      </c>
      <c r="J1400" s="22">
        <f>[1]SUMMARY!N1401</f>
        <v>2170</v>
      </c>
      <c r="K1400" s="23">
        <f t="shared" si="16"/>
        <v>0</v>
      </c>
      <c r="L1400" s="8"/>
      <c r="M1400" s="8"/>
    </row>
    <row r="1401" spans="1:13" x14ac:dyDescent="0.2">
      <c r="A1401" s="17">
        <f>[1]SUMMARY!A1402</f>
        <v>215</v>
      </c>
      <c r="B1401" s="17">
        <f>[1]SUMMARY!B1402</f>
        <v>70</v>
      </c>
      <c r="C1401" s="17" t="str">
        <f>[1]SUMMARY!C1402</f>
        <v>15C</v>
      </c>
      <c r="D1401" s="25" t="str">
        <f>[1]SUMMARY!D1402</f>
        <v>SAFERICH (CH)</v>
      </c>
      <c r="E1401" s="25" t="str">
        <f>[1]SUMMARY!E1402</f>
        <v>FRC96 A/T</v>
      </c>
      <c r="F1401" s="20">
        <v>4</v>
      </c>
      <c r="G1401" s="20">
        <v>45</v>
      </c>
      <c r="H1401" s="20">
        <v>47</v>
      </c>
      <c r="I1401" s="30">
        <f t="shared" si="14"/>
        <v>2</v>
      </c>
      <c r="J1401" s="22">
        <f>[1]SUMMARY!N1402</f>
        <v>2679.1765</v>
      </c>
      <c r="K1401" s="23">
        <f t="shared" si="16"/>
        <v>5358.3530000000001</v>
      </c>
      <c r="L1401" s="8"/>
      <c r="M1401" s="8"/>
    </row>
    <row r="1402" spans="1:13" x14ac:dyDescent="0.2">
      <c r="A1402" s="17" t="str">
        <f>[1]SUMMARY!A1403</f>
        <v>225</v>
      </c>
      <c r="B1402" s="17">
        <f>[1]SUMMARY!B1403</f>
        <v>70</v>
      </c>
      <c r="C1402" s="17" t="str">
        <f>[1]SUMMARY!C1403</f>
        <v>15C</v>
      </c>
      <c r="D1402" s="25" t="str">
        <f>[1]SUMMARY!D1403</f>
        <v>SAFERICH (CH)</v>
      </c>
      <c r="E1402" s="25" t="str">
        <f>[1]SUMMARY!E1403</f>
        <v>FRC96 A/T</v>
      </c>
      <c r="F1402" s="20">
        <v>2</v>
      </c>
      <c r="G1402" s="20">
        <v>27</v>
      </c>
      <c r="H1402" s="20">
        <v>29</v>
      </c>
      <c r="I1402" s="21">
        <f t="shared" si="14"/>
        <v>0</v>
      </c>
      <c r="J1402" s="22">
        <f>[1]SUMMARY!N1403</f>
        <v>2962.4895299999998</v>
      </c>
      <c r="K1402" s="23">
        <f t="shared" si="16"/>
        <v>0</v>
      </c>
      <c r="L1402" s="8"/>
      <c r="M1402" s="8"/>
    </row>
    <row r="1403" spans="1:13" x14ac:dyDescent="0.2">
      <c r="A1403" s="17" t="str">
        <f>[1]SUMMARY!A1404</f>
        <v>225</v>
      </c>
      <c r="B1403" s="17">
        <f>[1]SUMMARY!B1404</f>
        <v>70</v>
      </c>
      <c r="C1403" s="17">
        <f>[1]SUMMARY!C1404</f>
        <v>15</v>
      </c>
      <c r="D1403" s="25" t="str">
        <f>[1]SUMMARY!D1404</f>
        <v>SAFERICH (CH)</v>
      </c>
      <c r="E1403" s="25" t="str">
        <f>[1]SUMMARY!E1404</f>
        <v>FRC16 H/T</v>
      </c>
      <c r="F1403" s="20"/>
      <c r="G1403" s="20">
        <v>4</v>
      </c>
      <c r="H1403" s="20">
        <v>4</v>
      </c>
      <c r="I1403" s="21">
        <f t="shared" si="14"/>
        <v>0</v>
      </c>
      <c r="J1403" s="22">
        <f>[1]SUMMARY!N1404</f>
        <v>2541.1799999999998</v>
      </c>
      <c r="K1403" s="23">
        <f t="shared" si="16"/>
        <v>0</v>
      </c>
      <c r="L1403" s="8"/>
      <c r="M1403" s="8"/>
    </row>
    <row r="1404" spans="1:13" x14ac:dyDescent="0.2">
      <c r="A1404" s="17">
        <f>[1]SUMMARY!A1405</f>
        <v>265</v>
      </c>
      <c r="B1404" s="17">
        <f>[1]SUMMARY!B1405</f>
        <v>70</v>
      </c>
      <c r="C1404" s="17">
        <f>[1]SUMMARY!C1405</f>
        <v>15</v>
      </c>
      <c r="D1404" s="25" t="str">
        <f>[1]SUMMARY!D1405</f>
        <v>SAFERICH (CH)</v>
      </c>
      <c r="E1404" s="25" t="str">
        <f>[1]SUMMARY!E1405</f>
        <v>FRC66 H/T</v>
      </c>
      <c r="F1404" s="20"/>
      <c r="G1404" s="20"/>
      <c r="H1404" s="20"/>
      <c r="I1404" s="21">
        <f t="shared" si="14"/>
        <v>0</v>
      </c>
      <c r="J1404" s="22">
        <f>[1]SUMMARY!N1405</f>
        <v>3913.88</v>
      </c>
      <c r="K1404" s="23">
        <f t="shared" si="16"/>
        <v>0</v>
      </c>
      <c r="L1404" s="8"/>
      <c r="M1404" s="8"/>
    </row>
    <row r="1405" spans="1:13" x14ac:dyDescent="0.2">
      <c r="A1405" s="17">
        <f>[1]SUMMARY!A1406</f>
        <v>235</v>
      </c>
      <c r="B1405" s="17">
        <f>[1]SUMMARY!B1406</f>
        <v>75</v>
      </c>
      <c r="C1405" s="17">
        <f>[1]SUMMARY!C1406</f>
        <v>15</v>
      </c>
      <c r="D1405" s="25" t="str">
        <f>[1]SUMMARY!D1406</f>
        <v>SAFERICH (CH)</v>
      </c>
      <c r="E1405" s="25" t="str">
        <f>[1]SUMMARY!E1406</f>
        <v>FRC66 H/T</v>
      </c>
      <c r="F1405" s="20"/>
      <c r="G1405" s="20">
        <v>8</v>
      </c>
      <c r="H1405" s="20">
        <v>8</v>
      </c>
      <c r="I1405" s="21">
        <f t="shared" si="14"/>
        <v>0</v>
      </c>
      <c r="J1405" s="22">
        <f>[1]SUMMARY!N1406</f>
        <v>3252.38</v>
      </c>
      <c r="K1405" s="23">
        <f t="shared" si="16"/>
        <v>0</v>
      </c>
      <c r="L1405" s="8"/>
      <c r="M1405" s="8"/>
    </row>
    <row r="1406" spans="1:13" x14ac:dyDescent="0.2">
      <c r="A1406" s="17">
        <f>[1]SUMMARY!A1407</f>
        <v>235</v>
      </c>
      <c r="B1406" s="17">
        <f>[1]SUMMARY!B1407</f>
        <v>75</v>
      </c>
      <c r="C1406" s="17">
        <f>[1]SUMMARY!C1407</f>
        <v>15</v>
      </c>
      <c r="D1406" s="25" t="str">
        <f>[1]SUMMARY!D1407</f>
        <v>SAFERICH (CH)</v>
      </c>
      <c r="E1406" s="25" t="str">
        <f>[1]SUMMARY!E1407</f>
        <v>MUD HUNTER BLACK letter</v>
      </c>
      <c r="F1406" s="20">
        <v>8</v>
      </c>
      <c r="G1406" s="20">
        <v>8</v>
      </c>
      <c r="H1406" s="20">
        <v>16</v>
      </c>
      <c r="I1406" s="21">
        <f t="shared" si="14"/>
        <v>0</v>
      </c>
      <c r="J1406" s="22">
        <f>[1]SUMMARY!N1407</f>
        <v>4410</v>
      </c>
      <c r="K1406" s="23">
        <f t="shared" si="16"/>
        <v>0</v>
      </c>
      <c r="L1406" s="8"/>
      <c r="M1406" s="8"/>
    </row>
    <row r="1407" spans="1:13" x14ac:dyDescent="0.2">
      <c r="A1407" s="17" t="str">
        <f>[1]SUMMARY!A1408</f>
        <v>195</v>
      </c>
      <c r="B1407" s="17">
        <f>[1]SUMMARY!B1408</f>
        <v>0</v>
      </c>
      <c r="C1407" s="17" t="str">
        <f>[1]SUMMARY!C1408</f>
        <v>15C</v>
      </c>
      <c r="D1407" s="25" t="str">
        <f>[1]SUMMARY!D1408</f>
        <v>SAFERICH (CH)</v>
      </c>
      <c r="E1407" s="25" t="str">
        <f>[1]SUMMARY!E1408</f>
        <v>FRC96 A/T</v>
      </c>
      <c r="F1407" s="20">
        <v>4</v>
      </c>
      <c r="G1407" s="20">
        <v>58</v>
      </c>
      <c r="H1407" s="20">
        <v>62</v>
      </c>
      <c r="I1407" s="62">
        <f t="shared" si="14"/>
        <v>0</v>
      </c>
      <c r="J1407" s="22">
        <f>[1]SUMMARY!N1408</f>
        <v>2550.0675200000001</v>
      </c>
      <c r="K1407" s="23">
        <f t="shared" si="16"/>
        <v>0</v>
      </c>
      <c r="L1407" s="8"/>
      <c r="M1407" s="8"/>
    </row>
    <row r="1408" spans="1:13" x14ac:dyDescent="0.2">
      <c r="A1408" s="17" t="str">
        <f>[1]SUMMARY!A1409</f>
        <v>205</v>
      </c>
      <c r="B1408" s="17">
        <f>[1]SUMMARY!B1409</f>
        <v>45</v>
      </c>
      <c r="C1408" s="17">
        <f>[1]SUMMARY!C1409</f>
        <v>16</v>
      </c>
      <c r="D1408" s="25" t="str">
        <f>[1]SUMMARY!D1409</f>
        <v>SAFERICH (CH)</v>
      </c>
      <c r="E1408" s="25" t="str">
        <f>[1]SUMMARY!E1409</f>
        <v>FRC26</v>
      </c>
      <c r="F1408" s="20"/>
      <c r="G1408" s="20">
        <v>32</v>
      </c>
      <c r="H1408" s="20">
        <v>32</v>
      </c>
      <c r="I1408" s="30">
        <f t="shared" si="14"/>
        <v>0</v>
      </c>
      <c r="J1408" s="22">
        <f>[1]SUMMARY!N1409</f>
        <v>2039.62</v>
      </c>
      <c r="K1408" s="23">
        <f t="shared" si="16"/>
        <v>0</v>
      </c>
      <c r="L1408" s="8"/>
      <c r="M1408" s="8"/>
    </row>
    <row r="1409" spans="1:13" x14ac:dyDescent="0.2">
      <c r="A1409" s="17">
        <f>[1]SUMMARY!A1410</f>
        <v>195</v>
      </c>
      <c r="B1409" s="17">
        <f>[1]SUMMARY!B1410</f>
        <v>50</v>
      </c>
      <c r="C1409" s="17">
        <f>[1]SUMMARY!C1410</f>
        <v>16</v>
      </c>
      <c r="D1409" s="25" t="str">
        <f>[1]SUMMARY!D1410</f>
        <v>SAFERICH (CH)</v>
      </c>
      <c r="E1409" s="25" t="str">
        <f>[1]SUMMARY!E1410</f>
        <v>FRC16 H/T</v>
      </c>
      <c r="F1409" s="20">
        <v>8</v>
      </c>
      <c r="G1409" s="20">
        <v>31</v>
      </c>
      <c r="H1409" s="20">
        <v>39</v>
      </c>
      <c r="I1409" s="21">
        <f t="shared" si="14"/>
        <v>0</v>
      </c>
      <c r="J1409" s="22">
        <f>[1]SUMMARY!N1410</f>
        <v>1924.96</v>
      </c>
      <c r="K1409" s="23">
        <f t="shared" si="16"/>
        <v>0</v>
      </c>
      <c r="L1409" s="8"/>
      <c r="M1409" s="8"/>
    </row>
    <row r="1410" spans="1:13" x14ac:dyDescent="0.2">
      <c r="A1410" s="17">
        <f>[1]SUMMARY!A1411</f>
        <v>185</v>
      </c>
      <c r="B1410" s="17">
        <f>[1]SUMMARY!B1411</f>
        <v>55</v>
      </c>
      <c r="C1410" s="17">
        <f>[1]SUMMARY!C1411</f>
        <v>16</v>
      </c>
      <c r="D1410" s="25" t="str">
        <f>[1]SUMMARY!D1411</f>
        <v>SAFERICH (CH)</v>
      </c>
      <c r="E1410" s="25" t="str">
        <f>[1]SUMMARY!E1411</f>
        <v>FRC16 H/T</v>
      </c>
      <c r="F1410" s="20"/>
      <c r="G1410" s="20">
        <v>35</v>
      </c>
      <c r="H1410" s="20">
        <v>31</v>
      </c>
      <c r="I1410" s="30">
        <f t="shared" si="14"/>
        <v>4</v>
      </c>
      <c r="J1410" s="22">
        <f>[1]SUMMARY!N1411</f>
        <v>1870.5436749999999</v>
      </c>
      <c r="K1410" s="23">
        <f t="shared" si="16"/>
        <v>7482.1746999999996</v>
      </c>
      <c r="L1410" s="8"/>
      <c r="M1410" s="8"/>
    </row>
    <row r="1411" spans="1:13" x14ac:dyDescent="0.2">
      <c r="A1411" s="17">
        <f>[1]SUMMARY!A1412</f>
        <v>195</v>
      </c>
      <c r="B1411" s="17">
        <f>[1]SUMMARY!B1412</f>
        <v>55</v>
      </c>
      <c r="C1411" s="17">
        <f>[1]SUMMARY!C1412</f>
        <v>16</v>
      </c>
      <c r="D1411" s="25" t="str">
        <f>[1]SUMMARY!D1412</f>
        <v>SAFERICH (CH)</v>
      </c>
      <c r="E1411" s="25" t="str">
        <f>[1]SUMMARY!E1412</f>
        <v>FRC16 H/T</v>
      </c>
      <c r="F1411" s="20">
        <v>4</v>
      </c>
      <c r="G1411" s="20">
        <v>2</v>
      </c>
      <c r="H1411" s="20">
        <v>6</v>
      </c>
      <c r="I1411" s="21">
        <f t="shared" si="14"/>
        <v>0</v>
      </c>
      <c r="J1411" s="22">
        <f>[1]SUMMARY!N1412</f>
        <v>1984.5</v>
      </c>
      <c r="K1411" s="23">
        <f t="shared" si="16"/>
        <v>0</v>
      </c>
      <c r="L1411" s="8"/>
      <c r="M1411" s="8"/>
    </row>
    <row r="1412" spans="1:13" x14ac:dyDescent="0.2">
      <c r="A1412" s="17" t="str">
        <f>[1]SUMMARY!A1413</f>
        <v>205</v>
      </c>
      <c r="B1412" s="17">
        <f>[1]SUMMARY!B1413</f>
        <v>55</v>
      </c>
      <c r="C1412" s="17">
        <f>[1]SUMMARY!C1413</f>
        <v>16</v>
      </c>
      <c r="D1412" s="25" t="str">
        <f>[1]SUMMARY!D1413</f>
        <v>SAFERICH (CH)</v>
      </c>
      <c r="E1412" s="25" t="str">
        <f>[1]SUMMARY!E1413</f>
        <v>FRC16 H/T</v>
      </c>
      <c r="F1412" s="20">
        <v>2</v>
      </c>
      <c r="G1412" s="20">
        <v>49</v>
      </c>
      <c r="H1412" s="20">
        <v>48</v>
      </c>
      <c r="I1412" s="30">
        <f t="shared" si="14"/>
        <v>3</v>
      </c>
      <c r="J1412" s="22">
        <f>[1]SUMMARY!N1413</f>
        <v>2039.63</v>
      </c>
      <c r="K1412" s="23">
        <f t="shared" si="16"/>
        <v>6118.89</v>
      </c>
      <c r="L1412" s="8"/>
      <c r="M1412" s="8"/>
    </row>
    <row r="1413" spans="1:13" x14ac:dyDescent="0.2">
      <c r="A1413" s="17" t="str">
        <f>[1]SUMMARY!A1414</f>
        <v>215</v>
      </c>
      <c r="B1413" s="17">
        <f>[1]SUMMARY!B1414</f>
        <v>55</v>
      </c>
      <c r="C1413" s="17">
        <f>[1]SUMMARY!C1414</f>
        <v>16</v>
      </c>
      <c r="D1413" s="25" t="str">
        <f>[1]SUMMARY!D1414</f>
        <v>SAFERICH (CH)</v>
      </c>
      <c r="E1413" s="25" t="str">
        <f>[1]SUMMARY!E1414</f>
        <v>FRC16 H/T</v>
      </c>
      <c r="F1413" s="20"/>
      <c r="G1413" s="20">
        <v>16</v>
      </c>
      <c r="H1413" s="20">
        <v>12</v>
      </c>
      <c r="I1413" s="30">
        <f t="shared" si="14"/>
        <v>4</v>
      </c>
      <c r="J1413" s="22">
        <f>[1]SUMMARY!N1414</f>
        <v>2275.16</v>
      </c>
      <c r="K1413" s="23">
        <f t="shared" si="16"/>
        <v>9100.64</v>
      </c>
      <c r="L1413" s="8"/>
      <c r="M1413" s="8"/>
    </row>
    <row r="1414" spans="1:13" x14ac:dyDescent="0.2">
      <c r="A1414" s="17" t="str">
        <f>[1]SUMMARY!A1415</f>
        <v>195</v>
      </c>
      <c r="B1414" s="17">
        <f>[1]SUMMARY!B1415</f>
        <v>60</v>
      </c>
      <c r="C1414" s="17" t="str">
        <f>[1]SUMMARY!C1415</f>
        <v>16C</v>
      </c>
      <c r="D1414" s="25" t="str">
        <f>[1]SUMMARY!D1415</f>
        <v>SAFERICH (CH)</v>
      </c>
      <c r="E1414" s="25" t="str">
        <f>[1]SUMMARY!E1415</f>
        <v>FRC96 A/T</v>
      </c>
      <c r="F1414" s="20"/>
      <c r="G1414" s="20">
        <v>4</v>
      </c>
      <c r="H1414" s="20">
        <v>4</v>
      </c>
      <c r="I1414" s="21">
        <f t="shared" si="14"/>
        <v>0</v>
      </c>
      <c r="J1414" s="22">
        <f>[1]SUMMARY!N1415</f>
        <v>2315.25</v>
      </c>
      <c r="K1414" s="23">
        <f t="shared" si="16"/>
        <v>0</v>
      </c>
      <c r="L1414" s="8"/>
      <c r="M1414" s="8"/>
    </row>
    <row r="1415" spans="1:13" x14ac:dyDescent="0.2">
      <c r="A1415" s="17">
        <f>[1]SUMMARY!A1416</f>
        <v>205</v>
      </c>
      <c r="B1415" s="17">
        <f>[1]SUMMARY!B1416</f>
        <v>60</v>
      </c>
      <c r="C1415" s="17">
        <f>[1]SUMMARY!C1416</f>
        <v>16</v>
      </c>
      <c r="D1415" s="25" t="str">
        <f>[1]SUMMARY!D1416</f>
        <v>SAFERICH (CH)</v>
      </c>
      <c r="E1415" s="25" t="str">
        <f>[1]SUMMARY!E1416</f>
        <v>FRC16 H/T</v>
      </c>
      <c r="F1415" s="20"/>
      <c r="G1415" s="20">
        <v>30</v>
      </c>
      <c r="H1415" s="20">
        <v>28</v>
      </c>
      <c r="I1415" s="30">
        <f t="shared" si="14"/>
        <v>2</v>
      </c>
      <c r="J1415" s="22">
        <f>[1]SUMMARY!N1416</f>
        <v>2260.13</v>
      </c>
      <c r="K1415" s="23">
        <f t="shared" si="16"/>
        <v>4520.26</v>
      </c>
      <c r="L1415" s="8"/>
      <c r="M1415" s="8"/>
    </row>
    <row r="1416" spans="1:13" x14ac:dyDescent="0.2">
      <c r="A1416" s="17">
        <f>[1]SUMMARY!A1417</f>
        <v>215</v>
      </c>
      <c r="B1416" s="17">
        <f>[1]SUMMARY!B1417</f>
        <v>60</v>
      </c>
      <c r="C1416" s="17">
        <f>[1]SUMMARY!C1417</f>
        <v>16</v>
      </c>
      <c r="D1416" s="25" t="str">
        <f>[1]SUMMARY!D1417</f>
        <v>SAFERICH (CH)</v>
      </c>
      <c r="E1416" s="25" t="str">
        <f>[1]SUMMARY!E1417</f>
        <v>FRC16 H/T</v>
      </c>
      <c r="F1416" s="20">
        <v>4</v>
      </c>
      <c r="G1416" s="20">
        <v>16</v>
      </c>
      <c r="H1416" s="20">
        <v>20</v>
      </c>
      <c r="I1416" s="21">
        <f t="shared" si="14"/>
        <v>0</v>
      </c>
      <c r="J1416" s="22">
        <f>[1]SUMMARY!N1417</f>
        <v>2315.25</v>
      </c>
      <c r="K1416" s="23">
        <f t="shared" si="16"/>
        <v>0</v>
      </c>
      <c r="L1416" s="8"/>
      <c r="M1416" s="8"/>
    </row>
    <row r="1417" spans="1:13" x14ac:dyDescent="0.2">
      <c r="A1417" s="17" t="str">
        <f>[1]SUMMARY!A1418</f>
        <v>215</v>
      </c>
      <c r="B1417" s="17">
        <f>[1]SUMMARY!B1418</f>
        <v>60</v>
      </c>
      <c r="C1417" s="17">
        <f>[1]SUMMARY!C1418</f>
        <v>16</v>
      </c>
      <c r="D1417" s="25" t="str">
        <f>[1]SUMMARY!D1418</f>
        <v>SAFERICH (CH)</v>
      </c>
      <c r="E1417" s="25" t="str">
        <f>[1]SUMMARY!E1418</f>
        <v>FRC96 A/T</v>
      </c>
      <c r="F1417" s="20"/>
      <c r="G1417" s="20">
        <v>4</v>
      </c>
      <c r="H1417" s="20">
        <v>4</v>
      </c>
      <c r="I1417" s="21">
        <f t="shared" si="14"/>
        <v>0</v>
      </c>
      <c r="J1417" s="22">
        <f>[1]SUMMARY!N1418</f>
        <v>2756.42</v>
      </c>
      <c r="K1417" s="23">
        <f t="shared" si="16"/>
        <v>0</v>
      </c>
      <c r="L1417" s="8"/>
      <c r="M1417" s="8"/>
    </row>
    <row r="1418" spans="1:13" x14ac:dyDescent="0.2">
      <c r="A1418" s="17">
        <f>[1]SUMMARY!A1419</f>
        <v>235</v>
      </c>
      <c r="B1418" s="17">
        <f>[1]SUMMARY!B1419</f>
        <v>60</v>
      </c>
      <c r="C1418" s="17">
        <f>[1]SUMMARY!C1419</f>
        <v>16</v>
      </c>
      <c r="D1418" s="25" t="str">
        <f>[1]SUMMARY!D1419</f>
        <v>SAFERICH (CH)</v>
      </c>
      <c r="E1418" s="25" t="str">
        <f>[1]SUMMARY!E1419</f>
        <v>FRC66 H/T</v>
      </c>
      <c r="F1418" s="20"/>
      <c r="G1418" s="20">
        <v>12</v>
      </c>
      <c r="H1418" s="20">
        <v>12</v>
      </c>
      <c r="I1418" s="21">
        <f t="shared" si="14"/>
        <v>0</v>
      </c>
      <c r="J1418" s="22">
        <f>[1]SUMMARY!N1419</f>
        <v>3087</v>
      </c>
      <c r="K1418" s="23">
        <f t="shared" si="16"/>
        <v>0</v>
      </c>
      <c r="L1418" s="8"/>
      <c r="M1418" s="8"/>
    </row>
    <row r="1419" spans="1:13" x14ac:dyDescent="0.2">
      <c r="A1419" s="17">
        <f>[1]SUMMARY!A1420</f>
        <v>205</v>
      </c>
      <c r="B1419" s="17">
        <f>[1]SUMMARY!B1420</f>
        <v>65</v>
      </c>
      <c r="C1419" s="17">
        <f>[1]SUMMARY!C1420</f>
        <v>16</v>
      </c>
      <c r="D1419" s="25" t="str">
        <f>[1]SUMMARY!D1420</f>
        <v>SAFERICH (CH)</v>
      </c>
      <c r="E1419" s="25" t="str">
        <f>[1]SUMMARY!E1420</f>
        <v>FRC16 H/T</v>
      </c>
      <c r="F1419" s="20">
        <v>4</v>
      </c>
      <c r="G1419" s="20">
        <v>74</v>
      </c>
      <c r="H1419" s="20">
        <v>74</v>
      </c>
      <c r="I1419" s="30">
        <f t="shared" si="14"/>
        <v>4</v>
      </c>
      <c r="J1419" s="22">
        <f>[1]SUMMARY!N1420</f>
        <v>2370.38</v>
      </c>
      <c r="K1419" s="23">
        <f t="shared" si="16"/>
        <v>9481.52</v>
      </c>
      <c r="L1419" s="8"/>
      <c r="M1419" s="8"/>
    </row>
    <row r="1420" spans="1:13" x14ac:dyDescent="0.2">
      <c r="A1420" s="17" t="str">
        <f>[1]SUMMARY!A1421</f>
        <v>215</v>
      </c>
      <c r="B1420" s="17">
        <f>[1]SUMMARY!B1421</f>
        <v>65</v>
      </c>
      <c r="C1420" s="17">
        <f>[1]SUMMARY!C1421</f>
        <v>16</v>
      </c>
      <c r="D1420" s="25" t="str">
        <f>[1]SUMMARY!D1421</f>
        <v>SAFERICH (CH)</v>
      </c>
      <c r="E1420" s="25" t="str">
        <f>[1]SUMMARY!E1421</f>
        <v>FRC16 H/T</v>
      </c>
      <c r="F1420" s="20">
        <v>4</v>
      </c>
      <c r="G1420" s="20">
        <v>23</v>
      </c>
      <c r="H1420" s="20">
        <v>27</v>
      </c>
      <c r="I1420" s="30">
        <f t="shared" si="14"/>
        <v>0</v>
      </c>
      <c r="J1420" s="22">
        <f>[1]SUMMARY!N1421</f>
        <v>2462.91</v>
      </c>
      <c r="K1420" s="23">
        <f t="shared" si="16"/>
        <v>0</v>
      </c>
      <c r="L1420" s="8"/>
      <c r="M1420" s="8"/>
    </row>
    <row r="1421" spans="1:13" x14ac:dyDescent="0.2">
      <c r="A1421" s="17">
        <f>[1]SUMMARY!A1422</f>
        <v>215</v>
      </c>
      <c r="B1421" s="17">
        <f>[1]SUMMARY!B1422</f>
        <v>65</v>
      </c>
      <c r="C1421" s="17">
        <f>[1]SUMMARY!C1422</f>
        <v>16</v>
      </c>
      <c r="D1421" s="25" t="str">
        <f>[1]SUMMARY!D1422</f>
        <v>SAFERICH (CH)</v>
      </c>
      <c r="E1421" s="25" t="str">
        <f>[1]SUMMARY!E1422</f>
        <v>FRC96 A/T</v>
      </c>
      <c r="F1421" s="20">
        <v>2</v>
      </c>
      <c r="G1421" s="20"/>
      <c r="H1421" s="20">
        <v>2</v>
      </c>
      <c r="I1421" s="21">
        <f t="shared" si="14"/>
        <v>0</v>
      </c>
      <c r="J1421" s="22">
        <f>[1]SUMMARY!N1422</f>
        <v>2866.5</v>
      </c>
      <c r="K1421" s="23">
        <f t="shared" si="16"/>
        <v>0</v>
      </c>
      <c r="L1421" s="8"/>
      <c r="M1421" s="8"/>
    </row>
    <row r="1422" spans="1:13" x14ac:dyDescent="0.2">
      <c r="A1422" s="17" t="str">
        <f>[1]SUMMARY!A1423</f>
        <v>235</v>
      </c>
      <c r="B1422" s="17">
        <f>[1]SUMMARY!B1423</f>
        <v>65</v>
      </c>
      <c r="C1422" s="17" t="str">
        <f>[1]SUMMARY!C1423</f>
        <v>16C</v>
      </c>
      <c r="D1422" s="25" t="str">
        <f>[1]SUMMARY!D1423</f>
        <v>SAFERICH (CH)</v>
      </c>
      <c r="E1422" s="25" t="str">
        <f>[1]SUMMARY!E1423</f>
        <v>FRC96 A/T</v>
      </c>
      <c r="F1422" s="20"/>
      <c r="G1422" s="20">
        <v>16</v>
      </c>
      <c r="H1422" s="20">
        <v>16</v>
      </c>
      <c r="I1422" s="30">
        <f t="shared" si="14"/>
        <v>0</v>
      </c>
      <c r="J1422" s="22">
        <f>[1]SUMMARY!N1423</f>
        <v>3247.53</v>
      </c>
      <c r="K1422" s="23">
        <f t="shared" si="16"/>
        <v>0</v>
      </c>
      <c r="L1422" s="8"/>
      <c r="M1422" s="8"/>
    </row>
    <row r="1423" spans="1:13" x14ac:dyDescent="0.2">
      <c r="A1423" s="17">
        <f>[1]SUMMARY!A1424</f>
        <v>215</v>
      </c>
      <c r="B1423" s="17">
        <f>[1]SUMMARY!B1424</f>
        <v>70</v>
      </c>
      <c r="C1423" s="17">
        <f>[1]SUMMARY!C1424</f>
        <v>16</v>
      </c>
      <c r="D1423" s="25" t="str">
        <f>[1]SUMMARY!D1424</f>
        <v>SAFERICH (CH)</v>
      </c>
      <c r="E1423" s="25" t="str">
        <f>[1]SUMMARY!E1424</f>
        <v>FRC16 H/T</v>
      </c>
      <c r="F1423" s="20"/>
      <c r="G1423" s="20">
        <v>47</v>
      </c>
      <c r="H1423" s="20">
        <v>47</v>
      </c>
      <c r="I1423" s="62">
        <f t="shared" si="14"/>
        <v>0</v>
      </c>
      <c r="J1423" s="22">
        <f>[1]SUMMARY!N1424</f>
        <v>2701.12</v>
      </c>
      <c r="K1423" s="23">
        <f t="shared" si="16"/>
        <v>0</v>
      </c>
      <c r="L1423" s="8"/>
      <c r="M1423" s="8"/>
    </row>
    <row r="1424" spans="1:13" x14ac:dyDescent="0.2">
      <c r="A1424" s="17" t="str">
        <f>[1]SUMMARY!A1425</f>
        <v>215</v>
      </c>
      <c r="B1424" s="17">
        <f>[1]SUMMARY!B1425</f>
        <v>70</v>
      </c>
      <c r="C1424" s="17">
        <f>[1]SUMMARY!C1425</f>
        <v>16</v>
      </c>
      <c r="D1424" s="25" t="str">
        <f>[1]SUMMARY!D1425</f>
        <v>SAFERICH (CH)</v>
      </c>
      <c r="E1424" s="25" t="str">
        <f>[1]SUMMARY!E1425</f>
        <v>FRC86 A/T</v>
      </c>
      <c r="F1424" s="20"/>
      <c r="G1424" s="20">
        <v>14</v>
      </c>
      <c r="H1424" s="20">
        <v>14</v>
      </c>
      <c r="I1424" s="21">
        <f t="shared" si="14"/>
        <v>0</v>
      </c>
      <c r="J1424" s="22">
        <f>[1]SUMMARY!N1425</f>
        <v>3087</v>
      </c>
      <c r="K1424" s="23">
        <f t="shared" si="16"/>
        <v>0</v>
      </c>
      <c r="L1424" s="8"/>
      <c r="M1424" s="8"/>
    </row>
    <row r="1425" spans="1:13" x14ac:dyDescent="0.2">
      <c r="A1425" s="17">
        <f>[1]SUMMARY!A1426</f>
        <v>225</v>
      </c>
      <c r="B1425" s="17">
        <f>[1]SUMMARY!B1426</f>
        <v>70</v>
      </c>
      <c r="C1425" s="17">
        <f>[1]SUMMARY!C1426</f>
        <v>16</v>
      </c>
      <c r="D1425" s="25" t="str">
        <f>[1]SUMMARY!D1426</f>
        <v>SAFERICH (CH)</v>
      </c>
      <c r="E1425" s="25" t="str">
        <f>[1]SUMMARY!E1426</f>
        <v>FRC16 H/T</v>
      </c>
      <c r="F1425" s="20">
        <v>4</v>
      </c>
      <c r="G1425" s="20">
        <v>22</v>
      </c>
      <c r="H1425" s="20">
        <v>26</v>
      </c>
      <c r="I1425" s="21">
        <f t="shared" si="14"/>
        <v>0</v>
      </c>
      <c r="J1425" s="22">
        <f>[1]SUMMARY!N1426</f>
        <v>2866</v>
      </c>
      <c r="K1425" s="23">
        <f t="shared" si="16"/>
        <v>0</v>
      </c>
      <c r="L1425" s="8"/>
      <c r="M1425" s="8"/>
    </row>
    <row r="1426" spans="1:13" x14ac:dyDescent="0.2">
      <c r="A1426" s="17">
        <f>[1]SUMMARY!A1427</f>
        <v>245</v>
      </c>
      <c r="B1426" s="17">
        <f>[1]SUMMARY!B1427</f>
        <v>70</v>
      </c>
      <c r="C1426" s="17">
        <f>[1]SUMMARY!C1427</f>
        <v>16</v>
      </c>
      <c r="D1426" s="25" t="str">
        <f>[1]SUMMARY!D1427</f>
        <v>SAFERICH (CH)</v>
      </c>
      <c r="E1426" s="25" t="str">
        <f>[1]SUMMARY!E1427</f>
        <v>FRC66 H/T</v>
      </c>
      <c r="F1426" s="20"/>
      <c r="G1426" s="20">
        <v>10</v>
      </c>
      <c r="H1426" s="20">
        <v>10</v>
      </c>
      <c r="I1426" s="21">
        <f t="shared" si="14"/>
        <v>0</v>
      </c>
      <c r="J1426" s="22">
        <f>[1]SUMMARY!N1427</f>
        <v>3313.15</v>
      </c>
      <c r="K1426" s="23">
        <f t="shared" si="16"/>
        <v>0</v>
      </c>
      <c r="L1426" s="8"/>
      <c r="M1426" s="8"/>
    </row>
    <row r="1427" spans="1:13" x14ac:dyDescent="0.2">
      <c r="A1427" s="17">
        <f>[1]SUMMARY!A1428</f>
        <v>265</v>
      </c>
      <c r="B1427" s="17">
        <f>[1]SUMMARY!B1428</f>
        <v>70</v>
      </c>
      <c r="C1427" s="17">
        <f>[1]SUMMARY!C1428</f>
        <v>16</v>
      </c>
      <c r="D1427" s="25" t="str">
        <f>[1]SUMMARY!D1428</f>
        <v>SAFERICH (CH)</v>
      </c>
      <c r="E1427" s="25" t="str">
        <f>[1]SUMMARY!E1428</f>
        <v>FRC66 H/T</v>
      </c>
      <c r="F1427" s="20"/>
      <c r="G1427" s="20">
        <v>14</v>
      </c>
      <c r="H1427" s="20">
        <v>14</v>
      </c>
      <c r="I1427" s="21">
        <f t="shared" si="14"/>
        <v>0</v>
      </c>
      <c r="J1427" s="22">
        <f>[1]SUMMARY!N1428</f>
        <v>4052.24</v>
      </c>
      <c r="K1427" s="23">
        <f t="shared" si="16"/>
        <v>0</v>
      </c>
      <c r="L1427" s="8"/>
      <c r="M1427" s="8"/>
    </row>
    <row r="1428" spans="1:13" x14ac:dyDescent="0.2">
      <c r="A1428" s="17">
        <f>[1]SUMMARY!A1429</f>
        <v>265</v>
      </c>
      <c r="B1428" s="17">
        <f>[1]SUMMARY!B1429</f>
        <v>70</v>
      </c>
      <c r="C1428" s="17">
        <f>[1]SUMMARY!C1429</f>
        <v>16</v>
      </c>
      <c r="D1428" s="25" t="str">
        <f>[1]SUMMARY!D1429</f>
        <v>SAFERICH (CH)</v>
      </c>
      <c r="E1428" s="25" t="str">
        <f>[1]SUMMARY!E1429</f>
        <v>FRC86 A/T</v>
      </c>
      <c r="F1428" s="20"/>
      <c r="G1428" s="20">
        <v>16</v>
      </c>
      <c r="H1428" s="20">
        <v>16</v>
      </c>
      <c r="I1428" s="21">
        <f t="shared" si="14"/>
        <v>0</v>
      </c>
      <c r="J1428" s="22">
        <f>[1]SUMMARY!N1429</f>
        <v>4906.12</v>
      </c>
      <c r="K1428" s="23">
        <f t="shared" si="16"/>
        <v>0</v>
      </c>
      <c r="L1428" s="8"/>
      <c r="M1428" s="8"/>
    </row>
    <row r="1429" spans="1:13" x14ac:dyDescent="0.2">
      <c r="A1429" s="17">
        <f>[1]SUMMARY!A1430</f>
        <v>205</v>
      </c>
      <c r="B1429" s="17">
        <f>[1]SUMMARY!B1430</f>
        <v>40</v>
      </c>
      <c r="C1429" s="17">
        <f>[1]SUMMARY!C1430</f>
        <v>17</v>
      </c>
      <c r="D1429" s="25" t="str">
        <f>[1]SUMMARY!D1430</f>
        <v>SAFERICH (CH)</v>
      </c>
      <c r="E1429" s="25" t="str">
        <f>[1]SUMMARY!E1430</f>
        <v>FRC26</v>
      </c>
      <c r="F1429" s="20">
        <v>4</v>
      </c>
      <c r="G1429" s="20">
        <v>14</v>
      </c>
      <c r="H1429" s="20">
        <v>18</v>
      </c>
      <c r="I1429" s="21">
        <f t="shared" si="14"/>
        <v>0</v>
      </c>
      <c r="J1429" s="22">
        <f>[1]SUMMARY!N1430</f>
        <v>2039.63</v>
      </c>
      <c r="K1429" s="23">
        <f t="shared" si="16"/>
        <v>0</v>
      </c>
      <c r="L1429" s="8"/>
      <c r="M1429" s="8"/>
    </row>
    <row r="1430" spans="1:13" x14ac:dyDescent="0.2">
      <c r="A1430" s="17">
        <f>[1]SUMMARY!A1431</f>
        <v>205</v>
      </c>
      <c r="B1430" s="17">
        <f>[1]SUMMARY!B1431</f>
        <v>45</v>
      </c>
      <c r="C1430" s="17">
        <f>[1]SUMMARY!C1431</f>
        <v>17</v>
      </c>
      <c r="D1430" s="25" t="str">
        <f>[1]SUMMARY!D1431</f>
        <v>SAFERICH (CH)</v>
      </c>
      <c r="E1430" s="25" t="str">
        <f>[1]SUMMARY!E1431</f>
        <v>FRC26</v>
      </c>
      <c r="F1430" s="20"/>
      <c r="G1430" s="20">
        <v>86</v>
      </c>
      <c r="H1430" s="20">
        <v>86</v>
      </c>
      <c r="I1430" s="62">
        <f t="shared" si="14"/>
        <v>0</v>
      </c>
      <c r="J1430" s="22">
        <f>[1]SUMMARY!N1431</f>
        <v>2106.09</v>
      </c>
      <c r="K1430" s="23">
        <f t="shared" si="16"/>
        <v>0</v>
      </c>
      <c r="L1430" s="8"/>
      <c r="M1430" s="8"/>
    </row>
    <row r="1431" spans="1:13" x14ac:dyDescent="0.2">
      <c r="A1431" s="17">
        <f>[1]SUMMARY!A1432</f>
        <v>215</v>
      </c>
      <c r="B1431" s="17">
        <f>[1]SUMMARY!B1432</f>
        <v>45</v>
      </c>
      <c r="C1431" s="17">
        <f>[1]SUMMARY!C1432</f>
        <v>17</v>
      </c>
      <c r="D1431" s="25" t="str">
        <f>[1]SUMMARY!D1432</f>
        <v>SAFERICH (CH)</v>
      </c>
      <c r="E1431" s="25" t="str">
        <f>[1]SUMMARY!E1432</f>
        <v>FRC26</v>
      </c>
      <c r="F1431" s="20"/>
      <c r="G1431" s="20">
        <v>57</v>
      </c>
      <c r="H1431" s="20">
        <v>57</v>
      </c>
      <c r="I1431" s="21">
        <f t="shared" si="14"/>
        <v>0</v>
      </c>
      <c r="J1431" s="22">
        <f>[1]SUMMARY!N1432</f>
        <v>2260.12</v>
      </c>
      <c r="K1431" s="23">
        <f t="shared" si="16"/>
        <v>0</v>
      </c>
      <c r="L1431" s="8"/>
      <c r="M1431" s="8"/>
    </row>
    <row r="1432" spans="1:13" x14ac:dyDescent="0.2">
      <c r="A1432" s="17" t="str">
        <f>[1]SUMMARY!A1433</f>
        <v>225</v>
      </c>
      <c r="B1432" s="17">
        <f>[1]SUMMARY!B1433</f>
        <v>45</v>
      </c>
      <c r="C1432" s="17">
        <f>[1]SUMMARY!C1433</f>
        <v>17</v>
      </c>
      <c r="D1432" s="25" t="str">
        <f>[1]SUMMARY!D1433</f>
        <v>SAFERICH (CH)</v>
      </c>
      <c r="E1432" s="25" t="str">
        <f>[1]SUMMARY!E1433</f>
        <v>FRC26</v>
      </c>
      <c r="F1432" s="20"/>
      <c r="G1432" s="20">
        <v>4</v>
      </c>
      <c r="H1432" s="20">
        <v>1</v>
      </c>
      <c r="I1432" s="30">
        <f t="shared" si="14"/>
        <v>3</v>
      </c>
      <c r="J1432" s="22">
        <f>[1]SUMMARY!N1433</f>
        <v>2294.0300000000002</v>
      </c>
      <c r="K1432" s="23">
        <f t="shared" si="16"/>
        <v>6882.09</v>
      </c>
      <c r="L1432" s="8"/>
      <c r="M1432" s="8"/>
    </row>
    <row r="1433" spans="1:13" x14ac:dyDescent="0.2">
      <c r="A1433" s="17">
        <f>[1]SUMMARY!A1434</f>
        <v>215</v>
      </c>
      <c r="B1433" s="17">
        <f>[1]SUMMARY!B1434</f>
        <v>50</v>
      </c>
      <c r="C1433" s="17">
        <f>[1]SUMMARY!C1434</f>
        <v>17</v>
      </c>
      <c r="D1433" s="25" t="str">
        <f>[1]SUMMARY!D1434</f>
        <v>SAFERICH (CH)</v>
      </c>
      <c r="E1433" s="25" t="str">
        <f>[1]SUMMARY!E1434</f>
        <v>FRC26</v>
      </c>
      <c r="F1433" s="20"/>
      <c r="G1433" s="20">
        <v>25</v>
      </c>
      <c r="H1433" s="20">
        <v>25</v>
      </c>
      <c r="I1433" s="21">
        <f t="shared" si="14"/>
        <v>0</v>
      </c>
      <c r="J1433" s="22">
        <f>[1]SUMMARY!N1434</f>
        <v>2535.75</v>
      </c>
      <c r="K1433" s="23">
        <f t="shared" si="16"/>
        <v>0</v>
      </c>
      <c r="L1433" s="8"/>
      <c r="M1433" s="8"/>
    </row>
    <row r="1434" spans="1:13" x14ac:dyDescent="0.2">
      <c r="A1434" s="17">
        <f>[1]SUMMARY!A1435</f>
        <v>225</v>
      </c>
      <c r="B1434" s="17">
        <f>[1]SUMMARY!B1435</f>
        <v>50</v>
      </c>
      <c r="C1434" s="17">
        <f>[1]SUMMARY!C1435</f>
        <v>17</v>
      </c>
      <c r="D1434" s="25" t="str">
        <f>[1]SUMMARY!D1435</f>
        <v>SAFERICH (CH)</v>
      </c>
      <c r="E1434" s="25" t="str">
        <f>[1]SUMMARY!E1435</f>
        <v>FRC26</v>
      </c>
      <c r="F1434" s="20">
        <v>8</v>
      </c>
      <c r="G1434" s="20">
        <v>12</v>
      </c>
      <c r="H1434" s="20">
        <v>20</v>
      </c>
      <c r="I1434" s="21">
        <f t="shared" si="14"/>
        <v>0</v>
      </c>
      <c r="J1434" s="22">
        <f>[1]SUMMARY!N1435</f>
        <v>2120</v>
      </c>
      <c r="K1434" s="23">
        <f t="shared" si="16"/>
        <v>0</v>
      </c>
      <c r="L1434" s="8"/>
      <c r="M1434" s="8"/>
    </row>
    <row r="1435" spans="1:13" x14ac:dyDescent="0.2">
      <c r="A1435" s="17" t="str">
        <f>[1]SUMMARY!A1436</f>
        <v>215</v>
      </c>
      <c r="B1435" s="17">
        <f>[1]SUMMARY!B1436</f>
        <v>55</v>
      </c>
      <c r="C1435" s="17">
        <f>[1]SUMMARY!C1436</f>
        <v>17</v>
      </c>
      <c r="D1435" s="25" t="str">
        <f>[1]SUMMARY!D1436</f>
        <v>SAFERICH (CH)</v>
      </c>
      <c r="E1435" s="25" t="str">
        <f>[1]SUMMARY!E1436</f>
        <v>FRC26</v>
      </c>
      <c r="F1435" s="20"/>
      <c r="G1435" s="20">
        <v>61</v>
      </c>
      <c r="H1435" s="20">
        <v>61</v>
      </c>
      <c r="I1435" s="21">
        <f t="shared" si="14"/>
        <v>0</v>
      </c>
      <c r="J1435" s="22">
        <f>[1]SUMMARY!N1436</f>
        <v>2500.88</v>
      </c>
      <c r="K1435" s="23">
        <f t="shared" si="16"/>
        <v>0</v>
      </c>
      <c r="L1435" s="8"/>
      <c r="M1435" s="8"/>
    </row>
    <row r="1436" spans="1:13" x14ac:dyDescent="0.2">
      <c r="A1436" s="17">
        <f>[1]SUMMARY!A1437</f>
        <v>225</v>
      </c>
      <c r="B1436" s="17">
        <f>[1]SUMMARY!B1437</f>
        <v>55</v>
      </c>
      <c r="C1436" s="17">
        <f>[1]SUMMARY!C1437</f>
        <v>17</v>
      </c>
      <c r="D1436" s="25" t="str">
        <f>[1]SUMMARY!D1437</f>
        <v>SAFERICH (CH)</v>
      </c>
      <c r="E1436" s="25" t="str">
        <f>[1]SUMMARY!E1437</f>
        <v>FRC26</v>
      </c>
      <c r="F1436" s="20"/>
      <c r="G1436" s="20">
        <v>32</v>
      </c>
      <c r="H1436" s="20">
        <v>32</v>
      </c>
      <c r="I1436" s="21">
        <f t="shared" si="14"/>
        <v>0</v>
      </c>
      <c r="J1436" s="22">
        <f>[1]SUMMARY!N1437</f>
        <v>2811.33</v>
      </c>
      <c r="K1436" s="23">
        <f t="shared" si="16"/>
        <v>0</v>
      </c>
      <c r="L1436" s="8"/>
      <c r="M1436" s="8"/>
    </row>
    <row r="1437" spans="1:13" x14ac:dyDescent="0.2">
      <c r="A1437" s="17" t="str">
        <f>[1]SUMMARY!A1438</f>
        <v>215</v>
      </c>
      <c r="B1437" s="17">
        <f>[1]SUMMARY!B1438</f>
        <v>60</v>
      </c>
      <c r="C1437" s="17">
        <f>[1]SUMMARY!C1438</f>
        <v>17</v>
      </c>
      <c r="D1437" s="25" t="str">
        <f>[1]SUMMARY!D1438</f>
        <v>SAFERICH (CH)</v>
      </c>
      <c r="E1437" s="25" t="str">
        <f>[1]SUMMARY!E1438</f>
        <v xml:space="preserve">FRC66 </v>
      </c>
      <c r="F1437" s="20"/>
      <c r="G1437" s="20">
        <v>17</v>
      </c>
      <c r="H1437" s="20">
        <v>17</v>
      </c>
      <c r="I1437" s="21">
        <f t="shared" si="14"/>
        <v>0</v>
      </c>
      <c r="J1437" s="22">
        <f>[1]SUMMARY!N1438</f>
        <v>2553.1799999999998</v>
      </c>
      <c r="K1437" s="23">
        <f t="shared" si="16"/>
        <v>0</v>
      </c>
      <c r="L1437" s="8"/>
      <c r="M1437" s="8"/>
    </row>
    <row r="1438" spans="1:13" x14ac:dyDescent="0.2">
      <c r="A1438" s="17">
        <f>[1]SUMMARY!A1439</f>
        <v>225</v>
      </c>
      <c r="B1438" s="17">
        <f>[1]SUMMARY!B1439</f>
        <v>60</v>
      </c>
      <c r="C1438" s="17">
        <f>[1]SUMMARY!C1439</f>
        <v>17</v>
      </c>
      <c r="D1438" s="25" t="str">
        <f>[1]SUMMARY!D1439</f>
        <v>SAFERICH (CH)</v>
      </c>
      <c r="E1438" s="25" t="str">
        <f>[1]SUMMARY!E1439</f>
        <v>FRC26</v>
      </c>
      <c r="F1438" s="20"/>
      <c r="G1438" s="20">
        <v>31</v>
      </c>
      <c r="H1438" s="20">
        <v>31</v>
      </c>
      <c r="I1438" s="62">
        <f t="shared" si="14"/>
        <v>0</v>
      </c>
      <c r="J1438" s="22">
        <f>[1]SUMMARY!N1439</f>
        <v>2807.96</v>
      </c>
      <c r="K1438" s="23">
        <f t="shared" si="16"/>
        <v>0</v>
      </c>
      <c r="L1438" s="8"/>
      <c r="M1438" s="8"/>
    </row>
    <row r="1439" spans="1:13" x14ac:dyDescent="0.2">
      <c r="A1439" s="17" t="str">
        <f>[1]SUMMARY!A1440</f>
        <v>235</v>
      </c>
      <c r="B1439" s="17">
        <f>[1]SUMMARY!B1440</f>
        <v>60</v>
      </c>
      <c r="C1439" s="17">
        <f>[1]SUMMARY!C1440</f>
        <v>17</v>
      </c>
      <c r="D1439" s="25" t="str">
        <f>[1]SUMMARY!D1440</f>
        <v>SAFERICH (CH)</v>
      </c>
      <c r="E1439" s="25" t="str">
        <f>[1]SUMMARY!E1440</f>
        <v>FRC26</v>
      </c>
      <c r="F1439" s="20"/>
      <c r="G1439" s="20">
        <v>4</v>
      </c>
      <c r="H1439" s="20">
        <v>4</v>
      </c>
      <c r="I1439" s="21">
        <f t="shared" si="14"/>
        <v>0</v>
      </c>
      <c r="J1439" s="22">
        <f>[1]SUMMARY!N1440</f>
        <v>2480</v>
      </c>
      <c r="K1439" s="23">
        <f t="shared" si="16"/>
        <v>0</v>
      </c>
      <c r="L1439" s="8"/>
      <c r="M1439" s="8"/>
    </row>
    <row r="1440" spans="1:13" x14ac:dyDescent="0.2">
      <c r="A1440" s="17">
        <f>[1]SUMMARY!A1441</f>
        <v>225</v>
      </c>
      <c r="B1440" s="17">
        <f>[1]SUMMARY!B1441</f>
        <v>65</v>
      </c>
      <c r="C1440" s="17">
        <f>[1]SUMMARY!C1441</f>
        <v>17</v>
      </c>
      <c r="D1440" s="25" t="str">
        <f>[1]SUMMARY!D1441</f>
        <v>SAFERICH (CH)</v>
      </c>
      <c r="E1440" s="25" t="str">
        <f>[1]SUMMARY!E1441</f>
        <v>FRC66 H/T</v>
      </c>
      <c r="F1440" s="20">
        <v>4</v>
      </c>
      <c r="G1440" s="20">
        <v>30</v>
      </c>
      <c r="H1440" s="20">
        <v>34</v>
      </c>
      <c r="I1440" s="21">
        <f t="shared" si="14"/>
        <v>0</v>
      </c>
      <c r="J1440" s="22">
        <f>[1]SUMMARY!N1441</f>
        <v>3142.12</v>
      </c>
      <c r="K1440" s="23">
        <f t="shared" si="16"/>
        <v>0</v>
      </c>
      <c r="L1440" s="8"/>
      <c r="M1440" s="8"/>
    </row>
    <row r="1441" spans="1:13" x14ac:dyDescent="0.2">
      <c r="A1441" s="17">
        <f>[1]SUMMARY!A1442</f>
        <v>235</v>
      </c>
      <c r="B1441" s="17">
        <f>[1]SUMMARY!B1442</f>
        <v>65</v>
      </c>
      <c r="C1441" s="17">
        <f>[1]SUMMARY!C1442</f>
        <v>17</v>
      </c>
      <c r="D1441" s="25" t="str">
        <f>[1]SUMMARY!D1442</f>
        <v>SAFERICH (CH)</v>
      </c>
      <c r="E1441" s="25" t="str">
        <f>[1]SUMMARY!E1442</f>
        <v>FRC66 H/T</v>
      </c>
      <c r="F1441" s="20"/>
      <c r="G1441" s="20">
        <v>6</v>
      </c>
      <c r="H1441" s="20">
        <v>6</v>
      </c>
      <c r="I1441" s="21">
        <f t="shared" si="14"/>
        <v>0</v>
      </c>
      <c r="J1441" s="22">
        <f>[1]SUMMARY!N1442</f>
        <v>3192.08</v>
      </c>
      <c r="K1441" s="23">
        <f t="shared" si="16"/>
        <v>0</v>
      </c>
      <c r="L1441" s="8"/>
      <c r="M1441" s="8"/>
    </row>
    <row r="1442" spans="1:13" x14ac:dyDescent="0.2">
      <c r="A1442" s="17" t="str">
        <f>[1]SUMMARY!A1443</f>
        <v>265</v>
      </c>
      <c r="B1442" s="17">
        <f>[1]SUMMARY!B1443</f>
        <v>65</v>
      </c>
      <c r="C1442" s="17">
        <f>[1]SUMMARY!C1443</f>
        <v>17</v>
      </c>
      <c r="D1442" s="25" t="str">
        <f>[1]SUMMARY!D1443</f>
        <v>SAFERICH (CH)</v>
      </c>
      <c r="E1442" s="25" t="str">
        <f>[1]SUMMARY!E1443</f>
        <v>FRC66 H/T</v>
      </c>
      <c r="F1442" s="20">
        <v>8</v>
      </c>
      <c r="G1442" s="20">
        <v>19</v>
      </c>
      <c r="H1442" s="20">
        <v>24</v>
      </c>
      <c r="I1442" s="30">
        <f t="shared" si="14"/>
        <v>3</v>
      </c>
      <c r="J1442" s="22">
        <f>[1]SUMMARY!N1443</f>
        <v>4052.75</v>
      </c>
      <c r="K1442" s="23">
        <f t="shared" si="16"/>
        <v>12158.25</v>
      </c>
      <c r="L1442" s="8"/>
      <c r="M1442" s="8"/>
    </row>
    <row r="1443" spans="1:13" x14ac:dyDescent="0.2">
      <c r="A1443" s="17" t="str">
        <f>[1]SUMMARY!A1444</f>
        <v>265</v>
      </c>
      <c r="B1443" s="17">
        <f>[1]SUMMARY!B1444</f>
        <v>65</v>
      </c>
      <c r="C1443" s="17">
        <f>[1]SUMMARY!C1444</f>
        <v>17</v>
      </c>
      <c r="D1443" s="25" t="str">
        <f>[1]SUMMARY!D1444</f>
        <v>SAFERICH (CH)</v>
      </c>
      <c r="E1443" s="25" t="str">
        <f>[1]SUMMARY!E1444</f>
        <v>FRC86 A/T</v>
      </c>
      <c r="F1443" s="20"/>
      <c r="G1443" s="20">
        <v>39</v>
      </c>
      <c r="H1443" s="20">
        <v>35</v>
      </c>
      <c r="I1443" s="30">
        <f t="shared" si="14"/>
        <v>4</v>
      </c>
      <c r="J1443" s="22">
        <f>[1]SUMMARY!N1444</f>
        <v>4410</v>
      </c>
      <c r="K1443" s="23">
        <f t="shared" si="16"/>
        <v>17640</v>
      </c>
      <c r="L1443" s="8"/>
      <c r="M1443" s="8"/>
    </row>
    <row r="1444" spans="1:13" x14ac:dyDescent="0.2">
      <c r="A1444" s="17" t="str">
        <f>[1]SUMMARY!A1445</f>
        <v>265</v>
      </c>
      <c r="B1444" s="17">
        <f>[1]SUMMARY!B1445</f>
        <v>70</v>
      </c>
      <c r="C1444" s="17">
        <f>[1]SUMMARY!C1445</f>
        <v>17</v>
      </c>
      <c r="D1444" s="25" t="str">
        <f>[1]SUMMARY!D1445</f>
        <v>SAFERICH (CH)</v>
      </c>
      <c r="E1444" s="25" t="str">
        <f>[1]SUMMARY!E1445</f>
        <v>FRC86 A/T</v>
      </c>
      <c r="F1444" s="20"/>
      <c r="G1444" s="20">
        <v>4</v>
      </c>
      <c r="H1444" s="20">
        <v>4</v>
      </c>
      <c r="I1444" s="21">
        <f t="shared" si="14"/>
        <v>0</v>
      </c>
      <c r="J1444" s="22">
        <f>[1]SUMMARY!N1445</f>
        <v>4630.5</v>
      </c>
      <c r="K1444" s="23">
        <f t="shared" si="16"/>
        <v>0</v>
      </c>
      <c r="L1444" s="8"/>
      <c r="M1444" s="8"/>
    </row>
    <row r="1445" spans="1:13" x14ac:dyDescent="0.2">
      <c r="A1445" s="17" t="str">
        <f>[1]SUMMARY!A1446</f>
        <v>265</v>
      </c>
      <c r="B1445" s="17">
        <f>[1]SUMMARY!B1446</f>
        <v>70</v>
      </c>
      <c r="C1445" s="17">
        <f>[1]SUMMARY!C1446</f>
        <v>17</v>
      </c>
      <c r="D1445" s="25" t="str">
        <f>[1]SUMMARY!D1446</f>
        <v>SAFERICH (CH)</v>
      </c>
      <c r="E1445" s="25" t="str">
        <f>[1]SUMMARY!E1446</f>
        <v>MUD HUNTER BLACK letter</v>
      </c>
      <c r="F1445" s="20"/>
      <c r="G1445" s="20">
        <v>6</v>
      </c>
      <c r="H1445" s="20">
        <v>6</v>
      </c>
      <c r="I1445" s="21">
        <f t="shared" si="14"/>
        <v>0</v>
      </c>
      <c r="J1445" s="22">
        <f>[1]SUMMARY!N1446</f>
        <v>4750</v>
      </c>
      <c r="K1445" s="23">
        <f t="shared" si="16"/>
        <v>0</v>
      </c>
      <c r="L1445" s="8"/>
      <c r="M1445" s="8"/>
    </row>
    <row r="1446" spans="1:13" x14ac:dyDescent="0.2">
      <c r="A1446" s="17" t="str">
        <f>[1]SUMMARY!A1447</f>
        <v>285</v>
      </c>
      <c r="B1446" s="17">
        <f>[1]SUMMARY!B1447</f>
        <v>70</v>
      </c>
      <c r="C1446" s="17">
        <f>[1]SUMMARY!C1447</f>
        <v>17</v>
      </c>
      <c r="D1446" s="25" t="str">
        <f>[1]SUMMARY!D1447</f>
        <v>SAFERICH (CH)</v>
      </c>
      <c r="E1446" s="25" t="str">
        <f>[1]SUMMARY!E1447</f>
        <v>FRC86 A/T</v>
      </c>
      <c r="F1446" s="20"/>
      <c r="G1446" s="20"/>
      <c r="H1446" s="20"/>
      <c r="I1446" s="21">
        <f t="shared" si="14"/>
        <v>0</v>
      </c>
      <c r="J1446" s="22">
        <f>[1]SUMMARY!N1447</f>
        <v>5731.6459199999999</v>
      </c>
      <c r="K1446" s="23">
        <f t="shared" si="16"/>
        <v>0</v>
      </c>
      <c r="L1446" s="8"/>
      <c r="M1446" s="8"/>
    </row>
    <row r="1447" spans="1:13" x14ac:dyDescent="0.2">
      <c r="A1447" s="17" t="str">
        <f>[1]SUMMARY!A1448</f>
        <v>285</v>
      </c>
      <c r="B1447" s="17">
        <f>[1]SUMMARY!B1448</f>
        <v>70</v>
      </c>
      <c r="C1447" s="17">
        <f>[1]SUMMARY!C1448</f>
        <v>17</v>
      </c>
      <c r="D1447" s="25" t="str">
        <f>[1]SUMMARY!D1448</f>
        <v>SAFERICH (CH)</v>
      </c>
      <c r="E1447" s="25" t="str">
        <f>[1]SUMMARY!E1448</f>
        <v>MUD HUNTER BLACK letter</v>
      </c>
      <c r="F1447" s="20"/>
      <c r="G1447" s="20">
        <v>4</v>
      </c>
      <c r="H1447" s="20">
        <v>4</v>
      </c>
      <c r="I1447" s="21">
        <f t="shared" si="14"/>
        <v>0</v>
      </c>
      <c r="J1447" s="22">
        <f>[1]SUMMARY!N1448</f>
        <v>5210</v>
      </c>
      <c r="K1447" s="23">
        <f t="shared" si="16"/>
        <v>0</v>
      </c>
      <c r="L1447" s="8"/>
      <c r="M1447" s="8"/>
    </row>
    <row r="1448" spans="1:13" x14ac:dyDescent="0.2">
      <c r="A1448" s="17" t="str">
        <f>[1]SUMMARY!A1449</f>
        <v>215</v>
      </c>
      <c r="B1448" s="17">
        <f>[1]SUMMARY!B1449</f>
        <v>40</v>
      </c>
      <c r="C1448" s="17">
        <f>[1]SUMMARY!C1449</f>
        <v>18</v>
      </c>
      <c r="D1448" s="25" t="str">
        <f>[1]SUMMARY!D1449</f>
        <v>SAFERICH (CH)</v>
      </c>
      <c r="E1448" s="25" t="str">
        <f>[1]SUMMARY!E1449</f>
        <v>FRC26</v>
      </c>
      <c r="F1448" s="20"/>
      <c r="G1448" s="20"/>
      <c r="H1448" s="20"/>
      <c r="I1448" s="21">
        <f t="shared" si="14"/>
        <v>0</v>
      </c>
      <c r="J1448" s="22">
        <f>[1]SUMMARY!N1449</f>
        <v>2370.38</v>
      </c>
      <c r="K1448" s="23">
        <f t="shared" si="16"/>
        <v>0</v>
      </c>
      <c r="L1448" s="8"/>
      <c r="M1448" s="8"/>
    </row>
    <row r="1449" spans="1:13" x14ac:dyDescent="0.2">
      <c r="A1449" s="17">
        <f>[1]SUMMARY!A1450</f>
        <v>225</v>
      </c>
      <c r="B1449" s="17">
        <f>[1]SUMMARY!B1450</f>
        <v>40</v>
      </c>
      <c r="C1449" s="17">
        <f>[1]SUMMARY!C1450</f>
        <v>18</v>
      </c>
      <c r="D1449" s="25" t="str">
        <f>[1]SUMMARY!D1450</f>
        <v>SAFERICH (CH)</v>
      </c>
      <c r="E1449" s="25" t="str">
        <f>[1]SUMMARY!E1450</f>
        <v>FRC26</v>
      </c>
      <c r="F1449" s="20"/>
      <c r="G1449" s="20">
        <v>21</v>
      </c>
      <c r="H1449" s="20">
        <v>21</v>
      </c>
      <c r="I1449" s="21">
        <f t="shared" si="14"/>
        <v>0</v>
      </c>
      <c r="J1449" s="22">
        <f>[1]SUMMARY!N1450</f>
        <v>2480.63</v>
      </c>
      <c r="K1449" s="23">
        <f t="shared" si="16"/>
        <v>0</v>
      </c>
      <c r="L1449" s="8"/>
      <c r="M1449" s="8"/>
    </row>
    <row r="1450" spans="1:13" x14ac:dyDescent="0.2">
      <c r="A1450" s="17" t="str">
        <f>[1]SUMMARY!A1451</f>
        <v>235</v>
      </c>
      <c r="B1450" s="17">
        <f>[1]SUMMARY!B1451</f>
        <v>40</v>
      </c>
      <c r="C1450" s="17">
        <f>[1]SUMMARY!C1451</f>
        <v>18</v>
      </c>
      <c r="D1450" s="25" t="str">
        <f>[1]SUMMARY!D1451</f>
        <v>SAFERICH (CH)</v>
      </c>
      <c r="E1450" s="25" t="str">
        <f>[1]SUMMARY!E1451</f>
        <v>FRC26</v>
      </c>
      <c r="F1450" s="20"/>
      <c r="G1450" s="20">
        <v>8</v>
      </c>
      <c r="H1450" s="20">
        <v>8</v>
      </c>
      <c r="I1450" s="21">
        <f t="shared" si="14"/>
        <v>0</v>
      </c>
      <c r="J1450" s="22">
        <f>[1]SUMMARY!N1451</f>
        <v>2811.38</v>
      </c>
      <c r="K1450" s="23">
        <f t="shared" si="16"/>
        <v>0</v>
      </c>
      <c r="L1450" s="8"/>
      <c r="M1450" s="8"/>
    </row>
    <row r="1451" spans="1:13" x14ac:dyDescent="0.2">
      <c r="A1451" s="17" t="str">
        <f>[1]SUMMARY!A1452</f>
        <v>225</v>
      </c>
      <c r="B1451" s="17">
        <f>[1]SUMMARY!B1452</f>
        <v>45</v>
      </c>
      <c r="C1451" s="17">
        <f>[1]SUMMARY!C1452</f>
        <v>18</v>
      </c>
      <c r="D1451" s="25" t="str">
        <f>[1]SUMMARY!D1452</f>
        <v>SAFERICH (CH)</v>
      </c>
      <c r="E1451" s="25" t="str">
        <f>[1]SUMMARY!E1452</f>
        <v>FRC26</v>
      </c>
      <c r="F1451" s="20"/>
      <c r="G1451" s="20">
        <v>22</v>
      </c>
      <c r="H1451" s="20">
        <v>18</v>
      </c>
      <c r="I1451" s="30">
        <f t="shared" si="14"/>
        <v>4</v>
      </c>
      <c r="J1451" s="22">
        <f>[1]SUMMARY!N1452</f>
        <v>2579.6999999999998</v>
      </c>
      <c r="K1451" s="23">
        <f t="shared" si="16"/>
        <v>10318.799999999999</v>
      </c>
      <c r="L1451" s="8"/>
      <c r="M1451" s="8"/>
    </row>
    <row r="1452" spans="1:13" x14ac:dyDescent="0.2">
      <c r="A1452" s="17" t="str">
        <f>[1]SUMMARY!A1453</f>
        <v>235</v>
      </c>
      <c r="B1452" s="17">
        <f>[1]SUMMARY!B1453</f>
        <v>45</v>
      </c>
      <c r="C1452" s="17">
        <f>[1]SUMMARY!C1453</f>
        <v>18</v>
      </c>
      <c r="D1452" s="25" t="str">
        <f>[1]SUMMARY!D1453</f>
        <v>SAFERICH (CH)</v>
      </c>
      <c r="E1452" s="25" t="str">
        <f>[1]SUMMARY!E1453</f>
        <v>FRC26</v>
      </c>
      <c r="F1452" s="20"/>
      <c r="G1452" s="20">
        <v>6</v>
      </c>
      <c r="H1452" s="20">
        <v>6</v>
      </c>
      <c r="I1452" s="21">
        <f t="shared" si="14"/>
        <v>0</v>
      </c>
      <c r="J1452" s="22">
        <f>[1]SUMMARY!N1453</f>
        <v>2300</v>
      </c>
      <c r="K1452" s="23">
        <f t="shared" si="16"/>
        <v>0</v>
      </c>
      <c r="L1452" s="8"/>
      <c r="M1452" s="8"/>
    </row>
    <row r="1453" spans="1:13" x14ac:dyDescent="0.2">
      <c r="A1453" s="17">
        <f>[1]SUMMARY!A1454</f>
        <v>235</v>
      </c>
      <c r="B1453" s="17">
        <f>[1]SUMMARY!B1454</f>
        <v>50</v>
      </c>
      <c r="C1453" s="17">
        <f>[1]SUMMARY!C1454</f>
        <v>18</v>
      </c>
      <c r="D1453" s="25" t="str">
        <f>[1]SUMMARY!D1454</f>
        <v>SAFERICH (CH)</v>
      </c>
      <c r="E1453" s="25" t="str">
        <f>[1]SUMMARY!E1454</f>
        <v>FRC26</v>
      </c>
      <c r="F1453" s="20"/>
      <c r="G1453" s="20">
        <v>32</v>
      </c>
      <c r="H1453" s="20">
        <v>28</v>
      </c>
      <c r="I1453" s="30">
        <f t="shared" si="14"/>
        <v>4</v>
      </c>
      <c r="J1453" s="22">
        <f>[1]SUMMARY!N1454</f>
        <v>2991.72874</v>
      </c>
      <c r="K1453" s="23">
        <f t="shared" si="16"/>
        <v>11966.91496</v>
      </c>
      <c r="L1453" s="8"/>
      <c r="M1453" s="8"/>
    </row>
    <row r="1454" spans="1:13" x14ac:dyDescent="0.2">
      <c r="A1454" s="17">
        <f>[1]SUMMARY!A1455</f>
        <v>225</v>
      </c>
      <c r="B1454" s="17">
        <f>[1]SUMMARY!B1455</f>
        <v>55</v>
      </c>
      <c r="C1454" s="17">
        <f>[1]SUMMARY!C1455</f>
        <v>18</v>
      </c>
      <c r="D1454" s="25" t="str">
        <f>[1]SUMMARY!D1455</f>
        <v>SAFERICH (CH)</v>
      </c>
      <c r="E1454" s="25" t="str">
        <f>[1]SUMMARY!E1455</f>
        <v>FRC86 A/T</v>
      </c>
      <c r="F1454" s="20"/>
      <c r="G1454" s="20">
        <v>5</v>
      </c>
      <c r="H1454" s="20">
        <v>5</v>
      </c>
      <c r="I1454" s="21">
        <f t="shared" si="14"/>
        <v>0</v>
      </c>
      <c r="J1454" s="22">
        <f>[1]SUMMARY!N1455</f>
        <v>3252.38</v>
      </c>
      <c r="K1454" s="23">
        <f t="shared" si="16"/>
        <v>0</v>
      </c>
      <c r="L1454" s="8"/>
      <c r="M1454" s="8"/>
    </row>
    <row r="1455" spans="1:13" x14ac:dyDescent="0.2">
      <c r="A1455" s="17">
        <f>[1]SUMMARY!A1456</f>
        <v>235</v>
      </c>
      <c r="B1455" s="17">
        <f>[1]SUMMARY!B1456</f>
        <v>55</v>
      </c>
      <c r="C1455" s="17">
        <f>[1]SUMMARY!C1456</f>
        <v>18</v>
      </c>
      <c r="D1455" s="25" t="str">
        <f>[1]SUMMARY!D1456</f>
        <v>SAFERICH (CH)</v>
      </c>
      <c r="E1455" s="25" t="str">
        <f>[1]SUMMARY!E1456</f>
        <v>FRC66 H/T</v>
      </c>
      <c r="F1455" s="20">
        <v>4</v>
      </c>
      <c r="G1455" s="20">
        <v>10</v>
      </c>
      <c r="H1455" s="20">
        <v>14</v>
      </c>
      <c r="I1455" s="21">
        <f t="shared" si="14"/>
        <v>0</v>
      </c>
      <c r="J1455" s="22">
        <f>[1]SUMMARY!N1456</f>
        <v>3100.72</v>
      </c>
      <c r="K1455" s="23">
        <f t="shared" si="16"/>
        <v>0</v>
      </c>
      <c r="L1455" s="8"/>
      <c r="M1455" s="8"/>
    </row>
    <row r="1456" spans="1:13" x14ac:dyDescent="0.2">
      <c r="A1456" s="17">
        <f>[1]SUMMARY!A1457</f>
        <v>235</v>
      </c>
      <c r="B1456" s="17">
        <f>[1]SUMMARY!B1457</f>
        <v>60</v>
      </c>
      <c r="C1456" s="17">
        <f>[1]SUMMARY!C1457</f>
        <v>18</v>
      </c>
      <c r="D1456" s="25" t="str">
        <f>[1]SUMMARY!D1457</f>
        <v>SAFERICH (CH)</v>
      </c>
      <c r="E1456" s="25" t="str">
        <f>[1]SUMMARY!E1457</f>
        <v>FRC66 H/T</v>
      </c>
      <c r="F1456" s="20"/>
      <c r="G1456" s="20">
        <v>10</v>
      </c>
      <c r="H1456" s="20">
        <v>10</v>
      </c>
      <c r="I1456" s="30">
        <f t="shared" si="14"/>
        <v>0</v>
      </c>
      <c r="J1456" s="22">
        <f>[1]SUMMARY!N1457</f>
        <v>3387.399015</v>
      </c>
      <c r="K1456" s="23">
        <f t="shared" si="16"/>
        <v>0</v>
      </c>
      <c r="L1456" s="8"/>
      <c r="M1456" s="8"/>
    </row>
    <row r="1457" spans="1:13" x14ac:dyDescent="0.2">
      <c r="A1457" s="17" t="str">
        <f>[1]SUMMARY!A1458</f>
        <v>255</v>
      </c>
      <c r="B1457" s="17">
        <f>[1]SUMMARY!B1458</f>
        <v>60</v>
      </c>
      <c r="C1457" s="17">
        <f>[1]SUMMARY!C1458</f>
        <v>18</v>
      </c>
      <c r="D1457" s="25" t="str">
        <f>[1]SUMMARY!D1458</f>
        <v>SAFERICH (CH)</v>
      </c>
      <c r="E1457" s="25" t="str">
        <f>[1]SUMMARY!E1458</f>
        <v>FRC66 H/T</v>
      </c>
      <c r="F1457" s="20"/>
      <c r="G1457" s="20">
        <v>4</v>
      </c>
      <c r="H1457" s="20">
        <v>4</v>
      </c>
      <c r="I1457" s="21">
        <f t="shared" si="14"/>
        <v>0</v>
      </c>
      <c r="J1457" s="22">
        <f>[1]SUMMARY!N1458</f>
        <v>3913.88</v>
      </c>
      <c r="K1457" s="23">
        <f t="shared" si="16"/>
        <v>0</v>
      </c>
      <c r="L1457" s="8"/>
      <c r="M1457" s="8"/>
    </row>
    <row r="1458" spans="1:13" x14ac:dyDescent="0.2">
      <c r="A1458" s="17">
        <f>[1]SUMMARY!A1459</f>
        <v>265</v>
      </c>
      <c r="B1458" s="17">
        <f>[1]SUMMARY!B1459</f>
        <v>60</v>
      </c>
      <c r="C1458" s="17">
        <f>[1]SUMMARY!C1459</f>
        <v>18</v>
      </c>
      <c r="D1458" s="25" t="str">
        <f>[1]SUMMARY!D1459</f>
        <v>SAFERICH (CH)</v>
      </c>
      <c r="E1458" s="25" t="str">
        <f>[1]SUMMARY!E1459</f>
        <v>FRC66 H/T</v>
      </c>
      <c r="F1458" s="20">
        <v>4</v>
      </c>
      <c r="G1458" s="20">
        <v>38</v>
      </c>
      <c r="H1458" s="20">
        <v>38</v>
      </c>
      <c r="I1458" s="30">
        <f t="shared" si="14"/>
        <v>4</v>
      </c>
      <c r="J1458" s="22">
        <f>[1]SUMMARY!N1459</f>
        <v>4244.63</v>
      </c>
      <c r="K1458" s="23">
        <f t="shared" si="16"/>
        <v>16978.52</v>
      </c>
      <c r="L1458" s="8"/>
      <c r="M1458" s="8"/>
    </row>
    <row r="1459" spans="1:13" x14ac:dyDescent="0.2">
      <c r="A1459" s="17">
        <f>[1]SUMMARY!A1460</f>
        <v>33</v>
      </c>
      <c r="B1459" s="17">
        <f>[1]SUMMARY!B1460</f>
        <v>12.5</v>
      </c>
      <c r="C1459" s="17">
        <f>[1]SUMMARY!C1460</f>
        <v>20</v>
      </c>
      <c r="D1459" s="25" t="str">
        <f>[1]SUMMARY!D1460</f>
        <v>SAFERICH (CH)</v>
      </c>
      <c r="E1459" s="25" t="str">
        <f>[1]SUMMARY!E1460</f>
        <v>MUD HUNTER BLACK letter</v>
      </c>
      <c r="F1459" s="20"/>
      <c r="G1459" s="20">
        <v>2</v>
      </c>
      <c r="H1459" s="20">
        <v>2</v>
      </c>
      <c r="I1459" s="21">
        <f t="shared" si="14"/>
        <v>0</v>
      </c>
      <c r="J1459" s="22">
        <f>[1]SUMMARY!N1460</f>
        <v>6180</v>
      </c>
      <c r="K1459" s="23">
        <f t="shared" si="16"/>
        <v>0</v>
      </c>
      <c r="L1459" s="8"/>
      <c r="M1459" s="8"/>
    </row>
    <row r="1460" spans="1:13" x14ac:dyDescent="0.2">
      <c r="A1460" s="17" t="str">
        <f>[1]SUMMARY!A1461</f>
        <v>225</v>
      </c>
      <c r="B1460" s="17">
        <f>[1]SUMMARY!B1461</f>
        <v>35</v>
      </c>
      <c r="C1460" s="17">
        <f>[1]SUMMARY!C1461</f>
        <v>20</v>
      </c>
      <c r="D1460" s="25" t="str">
        <f>[1]SUMMARY!D1461</f>
        <v>SAFERICH (CH)</v>
      </c>
      <c r="E1460" s="25" t="str">
        <f>[1]SUMMARY!E1461</f>
        <v>FRC26</v>
      </c>
      <c r="F1460" s="20"/>
      <c r="G1460" s="20">
        <v>2</v>
      </c>
      <c r="H1460" s="20">
        <v>2</v>
      </c>
      <c r="I1460" s="21">
        <f t="shared" si="14"/>
        <v>0</v>
      </c>
      <c r="J1460" s="22">
        <f>[1]SUMMARY!N1461</f>
        <v>2756</v>
      </c>
      <c r="K1460" s="23">
        <f t="shared" si="16"/>
        <v>0</v>
      </c>
      <c r="L1460" s="8"/>
      <c r="M1460" s="8"/>
    </row>
    <row r="1461" spans="1:13" x14ac:dyDescent="0.2">
      <c r="A1461" s="17" t="str">
        <f>[1]SUMMARY!A1462</f>
        <v>245</v>
      </c>
      <c r="B1461" s="17">
        <f>[1]SUMMARY!B1462</f>
        <v>45</v>
      </c>
      <c r="C1461" s="17">
        <f>[1]SUMMARY!C1462</f>
        <v>20</v>
      </c>
      <c r="D1461" s="25" t="str">
        <f>[1]SUMMARY!D1462</f>
        <v>SAFERICH (CH)</v>
      </c>
      <c r="E1461" s="25" t="str">
        <f>[1]SUMMARY!E1462</f>
        <v>FRC88</v>
      </c>
      <c r="F1461" s="20"/>
      <c r="G1461" s="20"/>
      <c r="H1461" s="20"/>
      <c r="I1461" s="21">
        <f t="shared" si="14"/>
        <v>0</v>
      </c>
      <c r="J1461" s="22">
        <f>[1]SUMMARY!N1462</f>
        <v>3748.5</v>
      </c>
      <c r="K1461" s="23">
        <f t="shared" si="16"/>
        <v>0</v>
      </c>
      <c r="L1461" s="8"/>
      <c r="M1461" s="8"/>
    </row>
    <row r="1462" spans="1:13" x14ac:dyDescent="0.2">
      <c r="A1462" s="17">
        <f>[1]SUMMARY!A1463</f>
        <v>265</v>
      </c>
      <c r="B1462" s="17">
        <f>[1]SUMMARY!B1463</f>
        <v>50</v>
      </c>
      <c r="C1462" s="17">
        <f>[1]SUMMARY!C1463</f>
        <v>20</v>
      </c>
      <c r="D1462" s="25" t="str">
        <f>[1]SUMMARY!D1463</f>
        <v>SAFERICH (CH)</v>
      </c>
      <c r="E1462" s="25" t="str">
        <f>[1]SUMMARY!E1463</f>
        <v>FRC26</v>
      </c>
      <c r="F1462" s="20">
        <v>7</v>
      </c>
      <c r="G1462" s="20">
        <v>39</v>
      </c>
      <c r="H1462" s="20">
        <v>43</v>
      </c>
      <c r="I1462" s="30">
        <f t="shared" si="14"/>
        <v>3</v>
      </c>
      <c r="J1462" s="22">
        <f>[1]SUMMARY!N1463</f>
        <v>4410</v>
      </c>
      <c r="K1462" s="23">
        <f t="shared" si="16"/>
        <v>13230</v>
      </c>
      <c r="L1462" s="8"/>
      <c r="M1462" s="8"/>
    </row>
    <row r="1463" spans="1:13" x14ac:dyDescent="0.2">
      <c r="A1463" s="17" t="str">
        <f>[1]SUMMARY!A1464</f>
        <v>275</v>
      </c>
      <c r="B1463" s="17">
        <f>[1]SUMMARY!B1464</f>
        <v>55</v>
      </c>
      <c r="C1463" s="17">
        <f>[1]SUMMARY!C1464</f>
        <v>20</v>
      </c>
      <c r="D1463" s="25" t="str">
        <f>[1]SUMMARY!D1464</f>
        <v>SAFERICH (CH)</v>
      </c>
      <c r="E1463" s="25" t="str">
        <f>[1]SUMMARY!E1464</f>
        <v>FRC88</v>
      </c>
      <c r="F1463" s="20">
        <v>4</v>
      </c>
      <c r="G1463" s="20">
        <v>10</v>
      </c>
      <c r="H1463" s="20">
        <v>14</v>
      </c>
      <c r="I1463" s="21">
        <f t="shared" si="14"/>
        <v>0</v>
      </c>
      <c r="J1463" s="22">
        <f>[1]SUMMARY!N1464</f>
        <v>4070</v>
      </c>
      <c r="K1463" s="23">
        <f t="shared" si="16"/>
        <v>0</v>
      </c>
      <c r="L1463" s="28">
        <f>SUM(K1365:K1463)</f>
        <v>172682.689365</v>
      </c>
      <c r="M1463" s="29" t="s">
        <v>73</v>
      </c>
    </row>
    <row r="1464" spans="1:13" x14ac:dyDescent="0.2">
      <c r="A1464" s="17">
        <f>[1]SUMMARY!A1465</f>
        <v>275</v>
      </c>
      <c r="B1464" s="17">
        <f>[1]SUMMARY!B1465</f>
        <v>55</v>
      </c>
      <c r="C1464" s="17">
        <f>[1]SUMMARY!C1465</f>
        <v>20</v>
      </c>
      <c r="D1464" s="25" t="str">
        <f>[1]SUMMARY!D1465</f>
        <v>SAFIRO</v>
      </c>
      <c r="E1464" s="25" t="str">
        <f>[1]SUMMARY!E1465</f>
        <v>H/T SF8000</v>
      </c>
      <c r="F1464" s="20"/>
      <c r="G1464" s="20">
        <v>8</v>
      </c>
      <c r="H1464" s="20">
        <v>8</v>
      </c>
      <c r="I1464" s="21">
        <f t="shared" si="14"/>
        <v>0</v>
      </c>
      <c r="J1464" s="22">
        <f>[1]SUMMARY!N1465</f>
        <v>6500</v>
      </c>
      <c r="K1464" s="23">
        <f t="shared" si="16"/>
        <v>0</v>
      </c>
      <c r="L1464" s="28">
        <f>SUM(K1464)</f>
        <v>0</v>
      </c>
      <c r="M1464" s="29" t="s">
        <v>74</v>
      </c>
    </row>
    <row r="1465" spans="1:13" x14ac:dyDescent="0.2">
      <c r="A1465" s="52" t="str">
        <f>[1]SUMMARY!A1466</f>
        <v>175</v>
      </c>
      <c r="B1465" s="63">
        <f>[1]SUMMARY!B1466</f>
        <v>50</v>
      </c>
      <c r="C1465" s="63">
        <f>[1]SUMMARY!C1466</f>
        <v>15</v>
      </c>
      <c r="D1465" s="64" t="str">
        <f>[1]SUMMARY!D1466</f>
        <v>SAILUN (CH)</v>
      </c>
      <c r="E1465" s="25">
        <f>[1]SUMMARY!E1466</f>
        <v>0</v>
      </c>
      <c r="F1465" s="20"/>
      <c r="G1465" s="20">
        <v>4</v>
      </c>
      <c r="H1465" s="20">
        <v>4</v>
      </c>
      <c r="I1465" s="21">
        <f t="shared" si="14"/>
        <v>0</v>
      </c>
      <c r="J1465" s="22">
        <f>[1]SUMMARY!N1466</f>
        <v>2400</v>
      </c>
      <c r="K1465" s="23">
        <f t="shared" si="16"/>
        <v>0</v>
      </c>
      <c r="L1465" s="8"/>
      <c r="M1465" s="8"/>
    </row>
    <row r="1466" spans="1:13" x14ac:dyDescent="0.2">
      <c r="A1466" s="52" t="str">
        <f>[1]SUMMARY!A1467</f>
        <v>235</v>
      </c>
      <c r="B1466" s="63">
        <f>[1]SUMMARY!B1467</f>
        <v>70</v>
      </c>
      <c r="C1466" s="63">
        <f>[1]SUMMARY!C1467</f>
        <v>15</v>
      </c>
      <c r="D1466" s="64" t="str">
        <f>[1]SUMMARY!D1467</f>
        <v>SAILUN (CH)</v>
      </c>
      <c r="E1466" s="25" t="str">
        <f>[1]SUMMARY!E1467</f>
        <v>TERRAMAX AT</v>
      </c>
      <c r="F1466" s="20"/>
      <c r="G1466" s="20">
        <v>2</v>
      </c>
      <c r="H1466" s="20">
        <v>2</v>
      </c>
      <c r="I1466" s="21">
        <f t="shared" si="14"/>
        <v>0</v>
      </c>
      <c r="J1466" s="22">
        <f>[1]SUMMARY!N1467</f>
        <v>4500</v>
      </c>
      <c r="K1466" s="23">
        <f t="shared" si="16"/>
        <v>0</v>
      </c>
      <c r="L1466" s="8"/>
      <c r="M1466" s="8"/>
    </row>
    <row r="1467" spans="1:13" x14ac:dyDescent="0.2">
      <c r="A1467" s="17">
        <f>[1]SUMMARY!A1468</f>
        <v>215</v>
      </c>
      <c r="B1467" s="17">
        <f>[1]SUMMARY!B1468</f>
        <v>60</v>
      </c>
      <c r="C1467" s="17">
        <f>[1]SUMMARY!C1468</f>
        <v>16</v>
      </c>
      <c r="D1467" s="25" t="str">
        <f>[1]SUMMARY!D1468</f>
        <v>SAILUN (CH)</v>
      </c>
      <c r="E1467" s="25" t="str">
        <f>[1]SUMMARY!E1468</f>
        <v>ATREZZO ELITE</v>
      </c>
      <c r="F1467" s="20"/>
      <c r="G1467" s="20"/>
      <c r="H1467" s="20"/>
      <c r="I1467" s="21">
        <f t="shared" si="14"/>
        <v>0</v>
      </c>
      <c r="J1467" s="22">
        <f>[1]SUMMARY!N1468</f>
        <v>2375</v>
      </c>
      <c r="K1467" s="23">
        <f t="shared" si="16"/>
        <v>0</v>
      </c>
      <c r="L1467" s="8"/>
      <c r="M1467" s="8"/>
    </row>
    <row r="1468" spans="1:13" x14ac:dyDescent="0.2">
      <c r="A1468" s="17" t="str">
        <f>[1]SUMMARY!A1469</f>
        <v>215</v>
      </c>
      <c r="B1468" s="17">
        <f>[1]SUMMARY!B1469</f>
        <v>70</v>
      </c>
      <c r="C1468" s="17">
        <f>[1]SUMMARY!C1469</f>
        <v>16</v>
      </c>
      <c r="D1468" s="25" t="str">
        <f>[1]SUMMARY!D1469</f>
        <v>SAILUN (CH)</v>
      </c>
      <c r="E1468" s="25" t="str">
        <f>[1]SUMMARY!E1469</f>
        <v>H100</v>
      </c>
      <c r="F1468" s="20"/>
      <c r="G1468" s="20"/>
      <c r="H1468" s="20"/>
      <c r="I1468" s="21">
        <f t="shared" si="14"/>
        <v>0</v>
      </c>
      <c r="J1468" s="22">
        <f>[1]SUMMARY!N1469</f>
        <v>3700</v>
      </c>
      <c r="K1468" s="23">
        <f t="shared" si="16"/>
        <v>0</v>
      </c>
      <c r="L1468" s="8"/>
      <c r="M1468" s="8"/>
    </row>
    <row r="1469" spans="1:13" x14ac:dyDescent="0.2">
      <c r="A1469" s="17" t="str">
        <f>[1]SUMMARY!A1470</f>
        <v>265</v>
      </c>
      <c r="B1469" s="17">
        <f>[1]SUMMARY!B1470</f>
        <v>70</v>
      </c>
      <c r="C1469" s="17">
        <f>[1]SUMMARY!C1470</f>
        <v>16</v>
      </c>
      <c r="D1469" s="25" t="str">
        <f>[1]SUMMARY!D1470</f>
        <v>SAILUN (CH)</v>
      </c>
      <c r="E1469" s="25" t="str">
        <f>[1]SUMMARY!E1470</f>
        <v>TERRAMX CVR</v>
      </c>
      <c r="F1469" s="20"/>
      <c r="G1469" s="20"/>
      <c r="H1469" s="20"/>
      <c r="I1469" s="21">
        <f t="shared" si="14"/>
        <v>0</v>
      </c>
      <c r="J1469" s="22">
        <f>[1]SUMMARY!N1470</f>
        <v>3990</v>
      </c>
      <c r="K1469" s="23">
        <f t="shared" si="16"/>
        <v>0</v>
      </c>
      <c r="L1469" s="8"/>
      <c r="M1469" s="8"/>
    </row>
    <row r="1470" spans="1:13" x14ac:dyDescent="0.2">
      <c r="A1470" s="17" t="str">
        <f>[1]SUMMARY!A1471</f>
        <v>205</v>
      </c>
      <c r="B1470" s="17">
        <f>[1]SUMMARY!B1471</f>
        <v>45</v>
      </c>
      <c r="C1470" s="17">
        <f>[1]SUMMARY!C1471</f>
        <v>17</v>
      </c>
      <c r="D1470" s="25" t="str">
        <f>[1]SUMMARY!D1471</f>
        <v>SAILUN (CH)</v>
      </c>
      <c r="E1470" s="25" t="str">
        <f>[1]SUMMARY!E1471</f>
        <v>ATREZZO ZSR</v>
      </c>
      <c r="F1470" s="20"/>
      <c r="G1470" s="20"/>
      <c r="H1470" s="20"/>
      <c r="I1470" s="21">
        <f t="shared" si="14"/>
        <v>0</v>
      </c>
      <c r="J1470" s="22">
        <f>[1]SUMMARY!N1471</f>
        <v>3600</v>
      </c>
      <c r="K1470" s="23">
        <f t="shared" si="16"/>
        <v>0</v>
      </c>
      <c r="L1470" s="8"/>
      <c r="M1470" s="8"/>
    </row>
    <row r="1471" spans="1:13" x14ac:dyDescent="0.2">
      <c r="A1471" s="17" t="str">
        <f>[1]SUMMARY!A1472</f>
        <v>215</v>
      </c>
      <c r="B1471" s="17">
        <f>[1]SUMMARY!B1472</f>
        <v>55</v>
      </c>
      <c r="C1471" s="17">
        <f>[1]SUMMARY!C1472</f>
        <v>17</v>
      </c>
      <c r="D1471" s="25" t="str">
        <f>[1]SUMMARY!D1472</f>
        <v>SAILUN (CH)</v>
      </c>
      <c r="E1471" s="25" t="str">
        <f>[1]SUMMARY!E1472</f>
        <v>ATREZO ZSR</v>
      </c>
      <c r="F1471" s="20"/>
      <c r="G1471" s="20"/>
      <c r="H1471" s="20"/>
      <c r="I1471" s="21">
        <f t="shared" si="14"/>
        <v>0</v>
      </c>
      <c r="J1471" s="22">
        <f>[1]SUMMARY!N1472</f>
        <v>3200</v>
      </c>
      <c r="K1471" s="23">
        <f t="shared" si="16"/>
        <v>0</v>
      </c>
      <c r="L1471" s="8"/>
      <c r="M1471" s="8"/>
    </row>
    <row r="1472" spans="1:13" x14ac:dyDescent="0.2">
      <c r="A1472" s="17" t="str">
        <f>[1]SUMMARY!A1473</f>
        <v>225</v>
      </c>
      <c r="B1472" s="17">
        <f>[1]SUMMARY!B1473</f>
        <v>45</v>
      </c>
      <c r="C1472" s="17">
        <f>[1]SUMMARY!C1473</f>
        <v>17</v>
      </c>
      <c r="D1472" s="25" t="str">
        <f>[1]SUMMARY!D1473</f>
        <v>SAILUN (CH)</v>
      </c>
      <c r="E1472" s="25" t="str">
        <f>[1]SUMMARY!E1473</f>
        <v>ZSR</v>
      </c>
      <c r="F1472" s="20"/>
      <c r="G1472" s="20">
        <v>2</v>
      </c>
      <c r="H1472" s="20">
        <v>2</v>
      </c>
      <c r="I1472" s="21">
        <f t="shared" si="14"/>
        <v>0</v>
      </c>
      <c r="J1472" s="22">
        <f>[1]SUMMARY!N1473</f>
        <v>3800</v>
      </c>
      <c r="K1472" s="23">
        <f t="shared" si="16"/>
        <v>0</v>
      </c>
      <c r="L1472" s="8"/>
      <c r="M1472" s="8"/>
    </row>
    <row r="1473" spans="1:13" x14ac:dyDescent="0.2">
      <c r="A1473" s="17" t="str">
        <f>[1]SUMMARY!A1474</f>
        <v>225</v>
      </c>
      <c r="B1473" s="17">
        <f>[1]SUMMARY!B1474</f>
        <v>40</v>
      </c>
      <c r="C1473" s="17">
        <f>[1]SUMMARY!C1474</f>
        <v>18</v>
      </c>
      <c r="D1473" s="25" t="str">
        <f>[1]SUMMARY!D1474</f>
        <v>SAILUN (CH)</v>
      </c>
      <c r="E1473" s="25" t="str">
        <f>[1]SUMMARY!E1474</f>
        <v>ATREZZO SLR</v>
      </c>
      <c r="F1473" s="20"/>
      <c r="G1473" s="20">
        <v>2</v>
      </c>
      <c r="H1473" s="20">
        <v>2</v>
      </c>
      <c r="I1473" s="21">
        <f t="shared" si="14"/>
        <v>0</v>
      </c>
      <c r="J1473" s="22">
        <f>[1]SUMMARY!N1474</f>
        <v>3300</v>
      </c>
      <c r="K1473" s="23">
        <f t="shared" si="16"/>
        <v>0</v>
      </c>
      <c r="L1473" s="8"/>
      <c r="M1473" s="8"/>
    </row>
    <row r="1474" spans="1:13" x14ac:dyDescent="0.2">
      <c r="A1474" s="17" t="str">
        <f>[1]SUMMARY!A1475</f>
        <v>235</v>
      </c>
      <c r="B1474" s="17">
        <f>[1]SUMMARY!B1475</f>
        <v>40</v>
      </c>
      <c r="C1474" s="17">
        <f>[1]SUMMARY!C1475</f>
        <v>18</v>
      </c>
      <c r="D1474" s="25" t="str">
        <f>[1]SUMMARY!D1475</f>
        <v>SAILUN (CH)</v>
      </c>
      <c r="E1474" s="25" t="str">
        <f>[1]SUMMARY!E1475</f>
        <v xml:space="preserve">ATREZZO </v>
      </c>
      <c r="F1474" s="20"/>
      <c r="G1474" s="20"/>
      <c r="H1474" s="20"/>
      <c r="I1474" s="21">
        <f t="shared" si="14"/>
        <v>0</v>
      </c>
      <c r="J1474" s="22">
        <f>[1]SUMMARY!N1475</f>
        <v>3500</v>
      </c>
      <c r="K1474" s="23">
        <f t="shared" si="16"/>
        <v>0</v>
      </c>
      <c r="L1474" s="8"/>
      <c r="M1474" s="8"/>
    </row>
    <row r="1475" spans="1:13" x14ac:dyDescent="0.2">
      <c r="A1475" s="17" t="str">
        <f>[1]SUMMARY!A1476</f>
        <v>265</v>
      </c>
      <c r="B1475" s="17">
        <f>[1]SUMMARY!B1476</f>
        <v>40</v>
      </c>
      <c r="C1475" s="17">
        <f>[1]SUMMARY!C1476</f>
        <v>22</v>
      </c>
      <c r="D1475" s="25" t="str">
        <f>[1]SUMMARY!D1476</f>
        <v>SAILUN (CH)</v>
      </c>
      <c r="E1475" s="25" t="str">
        <f>[1]SUMMARY!E1476</f>
        <v xml:space="preserve">ATREZZO </v>
      </c>
      <c r="F1475" s="20"/>
      <c r="G1475" s="20"/>
      <c r="H1475" s="20"/>
      <c r="I1475" s="21">
        <f t="shared" si="14"/>
        <v>0</v>
      </c>
      <c r="J1475" s="22">
        <f>[1]SUMMARY!N1476</f>
        <v>6950</v>
      </c>
      <c r="K1475" s="23">
        <f t="shared" si="16"/>
        <v>0</v>
      </c>
      <c r="L1475" s="8"/>
      <c r="M1475" s="8"/>
    </row>
    <row r="1476" spans="1:13" x14ac:dyDescent="0.2">
      <c r="A1476" s="17" t="str">
        <f>[1]SUMMARY!A1477</f>
        <v>305</v>
      </c>
      <c r="B1476" s="17">
        <f>[1]SUMMARY!B1477</f>
        <v>40</v>
      </c>
      <c r="C1476" s="17">
        <f>[1]SUMMARY!C1477</f>
        <v>22</v>
      </c>
      <c r="D1476" s="25" t="str">
        <f>[1]SUMMARY!D1477</f>
        <v>SAILUN (CH)</v>
      </c>
      <c r="E1476" s="25" t="str">
        <f>[1]SUMMARY!E1477</f>
        <v>ATREZZO</v>
      </c>
      <c r="F1476" s="20"/>
      <c r="G1476" s="20"/>
      <c r="H1476" s="20"/>
      <c r="I1476" s="21">
        <f t="shared" si="14"/>
        <v>0</v>
      </c>
      <c r="J1476" s="22">
        <f>[1]SUMMARY!N1477</f>
        <v>8300</v>
      </c>
      <c r="K1476" s="23">
        <f t="shared" si="16"/>
        <v>0</v>
      </c>
      <c r="L1476" s="28">
        <f>SUM(K1465:K1476)</f>
        <v>0</v>
      </c>
      <c r="M1476" s="29" t="s">
        <v>75</v>
      </c>
    </row>
    <row r="1477" spans="1:13" x14ac:dyDescent="0.2">
      <c r="A1477" s="17" t="str">
        <f>[1]SUMMARY!A1478</f>
        <v>175</v>
      </c>
      <c r="B1477" s="17">
        <f>[1]SUMMARY!B1478</f>
        <v>0</v>
      </c>
      <c r="C1477" s="17">
        <f>[1]SUMMARY!C1478</f>
        <v>13</v>
      </c>
      <c r="D1477" s="25" t="str">
        <f>[1]SUMMARY!D1478</f>
        <v>SKYFIRE</v>
      </c>
      <c r="E1477" s="25" t="str">
        <f>[1]SUMMARY!E1478</f>
        <v>SK801</v>
      </c>
      <c r="F1477" s="20"/>
      <c r="G1477" s="20"/>
      <c r="H1477" s="20"/>
      <c r="I1477" s="21">
        <f t="shared" si="14"/>
        <v>0</v>
      </c>
      <c r="J1477" s="22">
        <f>[1]SUMMARY!N1478</f>
        <v>2200</v>
      </c>
      <c r="K1477" s="23">
        <f t="shared" si="16"/>
        <v>0</v>
      </c>
      <c r="L1477" s="28">
        <f>SUM(K1477)</f>
        <v>0</v>
      </c>
      <c r="M1477" s="29" t="s">
        <v>76</v>
      </c>
    </row>
    <row r="1478" spans="1:13" x14ac:dyDescent="0.2">
      <c r="A1478" s="17" t="str">
        <f>[1]SUMMARY!A1479</f>
        <v>225</v>
      </c>
      <c r="B1478" s="17">
        <f>[1]SUMMARY!B1479</f>
        <v>70</v>
      </c>
      <c r="C1478" s="17">
        <f>[1]SUMMARY!C1479</f>
        <v>15</v>
      </c>
      <c r="D1478" s="25" t="str">
        <f>[1]SUMMARY!D1479</f>
        <v>SKYFIRE</v>
      </c>
      <c r="E1478" s="25">
        <f>[1]SUMMARY!E1479</f>
        <v>0</v>
      </c>
      <c r="F1478" s="20"/>
      <c r="G1478" s="20"/>
      <c r="H1478" s="20"/>
      <c r="I1478" s="21">
        <f t="shared" si="14"/>
        <v>0</v>
      </c>
      <c r="J1478" s="22">
        <f>[1]SUMMARY!N1479</f>
        <v>3500</v>
      </c>
      <c r="K1478" s="23">
        <f t="shared" si="16"/>
        <v>0</v>
      </c>
      <c r="L1478" s="33"/>
      <c r="M1478" s="33"/>
    </row>
    <row r="1479" spans="1:13" x14ac:dyDescent="0.2">
      <c r="A1479" s="17" t="str">
        <f>[1]SUMMARY!A1480</f>
        <v>205</v>
      </c>
      <c r="B1479" s="17">
        <f>[1]SUMMARY!B1480</f>
        <v>75</v>
      </c>
      <c r="C1479" s="17">
        <f>[1]SUMMARY!C1480</f>
        <v>16</v>
      </c>
      <c r="D1479" s="25" t="str">
        <f>[1]SUMMARY!D1480</f>
        <v>SPORTRAC</v>
      </c>
      <c r="E1479" s="25" t="str">
        <f>[1]SUMMARY!E1480</f>
        <v>8PR RIB</v>
      </c>
      <c r="F1479" s="20"/>
      <c r="G1479" s="20"/>
      <c r="H1479" s="20"/>
      <c r="I1479" s="21">
        <f t="shared" si="14"/>
        <v>0</v>
      </c>
      <c r="J1479" s="22">
        <f>[1]SUMMARY!N1480</f>
        <v>3500</v>
      </c>
      <c r="K1479" s="23">
        <f t="shared" si="16"/>
        <v>0</v>
      </c>
      <c r="L1479" s="28">
        <f>SUM(K1479)</f>
        <v>0</v>
      </c>
      <c r="M1479" s="29" t="s">
        <v>77</v>
      </c>
    </row>
    <row r="1480" spans="1:13" x14ac:dyDescent="0.2">
      <c r="A1480" s="17" t="str">
        <f>[1]SUMMARY!A1481</f>
        <v>165</v>
      </c>
      <c r="B1480" s="17">
        <f>[1]SUMMARY!B1481</f>
        <v>65</v>
      </c>
      <c r="C1480" s="17">
        <f>[1]SUMMARY!C1481</f>
        <v>13</v>
      </c>
      <c r="D1480" s="25" t="str">
        <f>[1]SUMMARY!D1481</f>
        <v>SUNNY (CH)</v>
      </c>
      <c r="E1480" s="25" t="str">
        <f>[1]SUMMARY!E1481</f>
        <v>NP 226</v>
      </c>
      <c r="F1480" s="20"/>
      <c r="G1480" s="20">
        <v>10</v>
      </c>
      <c r="H1480" s="20">
        <v>10</v>
      </c>
      <c r="I1480" s="21">
        <f t="shared" si="14"/>
        <v>0</v>
      </c>
      <c r="J1480" s="22">
        <f>[1]SUMMARY!N1481</f>
        <v>1600</v>
      </c>
      <c r="K1480" s="23">
        <f t="shared" si="16"/>
        <v>0</v>
      </c>
      <c r="L1480" s="8"/>
      <c r="M1480" s="8"/>
    </row>
    <row r="1481" spans="1:13" x14ac:dyDescent="0.2">
      <c r="A1481" s="17" t="str">
        <f>[1]SUMMARY!A1482</f>
        <v>165</v>
      </c>
      <c r="B1481" s="17">
        <f>[1]SUMMARY!B1482</f>
        <v>65</v>
      </c>
      <c r="C1481" s="17">
        <f>[1]SUMMARY!C1482</f>
        <v>13</v>
      </c>
      <c r="D1481" s="25" t="str">
        <f>[1]SUMMARY!D1482</f>
        <v>SUNNY (CH)</v>
      </c>
      <c r="E1481" s="25" t="str">
        <f>[1]SUMMARY!E1482</f>
        <v>NP118</v>
      </c>
      <c r="F1481" s="20"/>
      <c r="G1481" s="20">
        <v>8</v>
      </c>
      <c r="H1481" s="20">
        <v>8</v>
      </c>
      <c r="I1481" s="21">
        <f t="shared" si="14"/>
        <v>0</v>
      </c>
      <c r="J1481" s="22">
        <f>[1]SUMMARY!N1482</f>
        <v>1600</v>
      </c>
      <c r="K1481" s="23">
        <f t="shared" si="16"/>
        <v>0</v>
      </c>
      <c r="L1481" s="8"/>
      <c r="M1481" s="8"/>
    </row>
    <row r="1482" spans="1:13" x14ac:dyDescent="0.2">
      <c r="A1482" s="17" t="str">
        <f>[1]SUMMARY!A1483</f>
        <v>175</v>
      </c>
      <c r="B1482" s="17">
        <f>[1]SUMMARY!B1483</f>
        <v>70</v>
      </c>
      <c r="C1482" s="17">
        <f>[1]SUMMARY!C1483</f>
        <v>13</v>
      </c>
      <c r="D1482" s="25" t="str">
        <f>[1]SUMMARY!D1483</f>
        <v>SUNNY (CH)</v>
      </c>
      <c r="E1482" s="25" t="str">
        <f>[1]SUMMARY!E1483</f>
        <v>NP226</v>
      </c>
      <c r="F1482" s="20"/>
      <c r="G1482" s="20"/>
      <c r="H1482" s="20"/>
      <c r="I1482" s="21">
        <f t="shared" si="14"/>
        <v>0</v>
      </c>
      <c r="J1482" s="22">
        <f>[1]SUMMARY!N1483</f>
        <v>1571.06</v>
      </c>
      <c r="K1482" s="23">
        <f t="shared" si="16"/>
        <v>0</v>
      </c>
      <c r="L1482" s="8"/>
      <c r="M1482" s="8"/>
    </row>
    <row r="1483" spans="1:13" x14ac:dyDescent="0.2">
      <c r="A1483" s="17" t="str">
        <f>[1]SUMMARY!A1484</f>
        <v>185</v>
      </c>
      <c r="B1483" s="17">
        <f>[1]SUMMARY!B1484</f>
        <v>70</v>
      </c>
      <c r="C1483" s="17">
        <f>[1]SUMMARY!C1484</f>
        <v>13</v>
      </c>
      <c r="D1483" s="25" t="str">
        <f>[1]SUMMARY!D1484</f>
        <v>SUNNY (CH)</v>
      </c>
      <c r="E1483" s="25" t="str">
        <f>[1]SUMMARY!E1484</f>
        <v>NP118</v>
      </c>
      <c r="F1483" s="20"/>
      <c r="G1483" s="20">
        <v>12</v>
      </c>
      <c r="H1483" s="20">
        <v>12</v>
      </c>
      <c r="I1483" s="21">
        <f t="shared" si="14"/>
        <v>0</v>
      </c>
      <c r="J1483" s="22">
        <f>[1]SUMMARY!N1484</f>
        <v>1600</v>
      </c>
      <c r="K1483" s="23">
        <f t="shared" si="16"/>
        <v>0</v>
      </c>
      <c r="L1483" s="8"/>
      <c r="M1483" s="8"/>
    </row>
    <row r="1484" spans="1:13" x14ac:dyDescent="0.2">
      <c r="A1484" s="17" t="str">
        <f>[1]SUMMARY!A1485</f>
        <v>185</v>
      </c>
      <c r="B1484" s="17">
        <f>[1]SUMMARY!B1485</f>
        <v>65</v>
      </c>
      <c r="C1484" s="17">
        <f>[1]SUMMARY!C1485</f>
        <v>14</v>
      </c>
      <c r="D1484" s="25" t="str">
        <f>[1]SUMMARY!D1485</f>
        <v>SUNNY (CH)</v>
      </c>
      <c r="E1484" s="25" t="str">
        <f>[1]SUMMARY!E1485</f>
        <v>NP118</v>
      </c>
      <c r="F1484" s="20"/>
      <c r="G1484" s="20">
        <v>8</v>
      </c>
      <c r="H1484" s="20">
        <v>8</v>
      </c>
      <c r="I1484" s="21">
        <f t="shared" si="14"/>
        <v>0</v>
      </c>
      <c r="J1484" s="22">
        <f>[1]SUMMARY!N1485</f>
        <v>1603.12</v>
      </c>
      <c r="K1484" s="23">
        <f t="shared" si="16"/>
        <v>0</v>
      </c>
      <c r="L1484" s="8"/>
      <c r="M1484" s="8"/>
    </row>
    <row r="1485" spans="1:13" x14ac:dyDescent="0.2">
      <c r="A1485" s="17" t="str">
        <f>[1]SUMMARY!A1486</f>
        <v>175</v>
      </c>
      <c r="B1485" s="17">
        <f>[1]SUMMARY!B1486</f>
        <v>65</v>
      </c>
      <c r="C1485" s="17">
        <f>[1]SUMMARY!C1486</f>
        <v>14</v>
      </c>
      <c r="D1485" s="25" t="str">
        <f>[1]SUMMARY!D1486</f>
        <v>SUNNY (CH)</v>
      </c>
      <c r="E1485" s="25" t="str">
        <f>[1]SUMMARY!E1486</f>
        <v>NP118</v>
      </c>
      <c r="F1485" s="20"/>
      <c r="G1485" s="20">
        <v>12</v>
      </c>
      <c r="H1485" s="20">
        <v>12</v>
      </c>
      <c r="I1485" s="21">
        <f t="shared" si="14"/>
        <v>0</v>
      </c>
      <c r="J1485" s="22">
        <f>[1]SUMMARY!N1486</f>
        <v>1600</v>
      </c>
      <c r="K1485" s="23">
        <f t="shared" si="16"/>
        <v>0</v>
      </c>
      <c r="L1485" s="8"/>
      <c r="M1485" s="8"/>
    </row>
    <row r="1486" spans="1:13" x14ac:dyDescent="0.2">
      <c r="A1486" s="17" t="str">
        <f>[1]SUMMARY!A1487</f>
        <v>185</v>
      </c>
      <c r="B1486" s="17">
        <f>[1]SUMMARY!B1487</f>
        <v>70</v>
      </c>
      <c r="C1486" s="17">
        <f>[1]SUMMARY!C1487</f>
        <v>14</v>
      </c>
      <c r="D1486" s="25" t="str">
        <f>[1]SUMMARY!D1487</f>
        <v>SUNNY (CH)</v>
      </c>
      <c r="E1486" s="25" t="str">
        <f>[1]SUMMARY!E1487</f>
        <v>NP226</v>
      </c>
      <c r="F1486" s="20"/>
      <c r="G1486" s="20">
        <v>8</v>
      </c>
      <c r="H1486" s="20">
        <v>8</v>
      </c>
      <c r="I1486" s="21">
        <f t="shared" si="14"/>
        <v>0</v>
      </c>
      <c r="J1486" s="22">
        <f>[1]SUMMARY!N1487</f>
        <v>1603.12</v>
      </c>
      <c r="K1486" s="23">
        <f t="shared" si="16"/>
        <v>0</v>
      </c>
      <c r="L1486" s="8"/>
      <c r="M1486" s="8"/>
    </row>
    <row r="1487" spans="1:13" x14ac:dyDescent="0.2">
      <c r="A1487" s="17" t="str">
        <f>[1]SUMMARY!A1488</f>
        <v>185</v>
      </c>
      <c r="B1487" s="17"/>
      <c r="C1487" s="17" t="str">
        <f>[1]SUMMARY!C1488</f>
        <v>14C</v>
      </c>
      <c r="D1487" s="25" t="str">
        <f>[1]SUMMARY!D1488</f>
        <v>SUNNY (CH)</v>
      </c>
      <c r="E1487" s="25"/>
      <c r="F1487" s="20"/>
      <c r="G1487" s="20">
        <v>12</v>
      </c>
      <c r="H1487" s="20">
        <v>12</v>
      </c>
      <c r="I1487" s="21">
        <f t="shared" si="14"/>
        <v>0</v>
      </c>
      <c r="J1487" s="22">
        <f>[1]SUMMARY!N1488</f>
        <v>2400</v>
      </c>
      <c r="K1487" s="23">
        <f t="shared" si="16"/>
        <v>0</v>
      </c>
      <c r="L1487" s="8"/>
      <c r="M1487" s="8"/>
    </row>
    <row r="1488" spans="1:13" x14ac:dyDescent="0.2">
      <c r="A1488" s="17" t="str">
        <f>[1]SUMMARY!A1489</f>
        <v>195</v>
      </c>
      <c r="B1488" s="17">
        <f>[1]SUMMARY!B1489</f>
        <v>0</v>
      </c>
      <c r="C1488" s="17" t="str">
        <f>[1]SUMMARY!C1489</f>
        <v>14C</v>
      </c>
      <c r="D1488" s="25" t="str">
        <f>[1]SUMMARY!D1489</f>
        <v>SUNNY (CH)</v>
      </c>
      <c r="E1488" s="25" t="str">
        <f>[1]SUMMARY!E1489</f>
        <v>8PR NL106</v>
      </c>
      <c r="F1488" s="20"/>
      <c r="G1488" s="20">
        <v>4</v>
      </c>
      <c r="H1488" s="20">
        <v>4</v>
      </c>
      <c r="I1488" s="21">
        <f t="shared" si="14"/>
        <v>0</v>
      </c>
      <c r="J1488" s="22">
        <f>[1]SUMMARY!N1489</f>
        <v>2404.6799999999998</v>
      </c>
      <c r="K1488" s="23">
        <f t="shared" si="16"/>
        <v>0</v>
      </c>
      <c r="L1488" s="8"/>
      <c r="M1488" s="8"/>
    </row>
    <row r="1489" spans="1:13" x14ac:dyDescent="0.2">
      <c r="A1489" s="17" t="str">
        <f>[1]SUMMARY!A1490</f>
        <v>195</v>
      </c>
      <c r="B1489" s="17">
        <f>[1]SUMMARY!B1490</f>
        <v>0</v>
      </c>
      <c r="C1489" s="17" t="str">
        <f>[1]SUMMARY!C1490</f>
        <v>15C</v>
      </c>
      <c r="D1489" s="25" t="str">
        <f>[1]SUMMARY!D1490</f>
        <v>SUNNY (CH)</v>
      </c>
      <c r="E1489" s="25" t="str">
        <f>[1]SUMMARY!E1490</f>
        <v>NL106 (8PR)</v>
      </c>
      <c r="F1489" s="20"/>
      <c r="G1489" s="20">
        <v>4</v>
      </c>
      <c r="H1489" s="20">
        <v>4</v>
      </c>
      <c r="I1489" s="21">
        <f t="shared" si="14"/>
        <v>0</v>
      </c>
      <c r="J1489" s="22">
        <f>[1]SUMMARY!N1490</f>
        <v>2436.75</v>
      </c>
      <c r="K1489" s="23">
        <f t="shared" si="16"/>
        <v>0</v>
      </c>
      <c r="L1489" s="8"/>
      <c r="M1489" s="8"/>
    </row>
    <row r="1490" spans="1:13" x14ac:dyDescent="0.2">
      <c r="A1490" s="17" t="str">
        <f>[1]SUMMARY!A1491</f>
        <v>195</v>
      </c>
      <c r="B1490" s="17">
        <f>[1]SUMMARY!B1491</f>
        <v>50</v>
      </c>
      <c r="C1490" s="17">
        <f>[1]SUMMARY!C1491</f>
        <v>15</v>
      </c>
      <c r="D1490" s="25" t="str">
        <f>[1]SUMMARY!D1491</f>
        <v>SUNNY (CH)</v>
      </c>
      <c r="E1490" s="25" t="str">
        <f>[1]SUMMARY!E1491</f>
        <v>NP226</v>
      </c>
      <c r="F1490" s="20"/>
      <c r="G1490" s="20">
        <v>9</v>
      </c>
      <c r="H1490" s="20">
        <v>9</v>
      </c>
      <c r="I1490" s="21">
        <f t="shared" si="14"/>
        <v>0</v>
      </c>
      <c r="J1490" s="22">
        <f>[1]SUMMARY!N1491</f>
        <v>1635.18</v>
      </c>
      <c r="K1490" s="23">
        <f t="shared" si="16"/>
        <v>0</v>
      </c>
      <c r="L1490" s="8"/>
      <c r="M1490" s="8"/>
    </row>
    <row r="1491" spans="1:13" x14ac:dyDescent="0.2">
      <c r="A1491" s="17" t="str">
        <f>[1]SUMMARY!A1492</f>
        <v>205</v>
      </c>
      <c r="B1491" s="17">
        <f>[1]SUMMARY!B1492</f>
        <v>65</v>
      </c>
      <c r="C1491" s="17">
        <f>[1]SUMMARY!C1492</f>
        <v>15</v>
      </c>
      <c r="D1491" s="25" t="str">
        <f>[1]SUMMARY!D1492</f>
        <v>SUNNY (CH)</v>
      </c>
      <c r="E1491" s="25" t="str">
        <f>[1]SUMMARY!E1492</f>
        <v>NP226</v>
      </c>
      <c r="F1491" s="20"/>
      <c r="G1491" s="20">
        <v>8</v>
      </c>
      <c r="H1491" s="20">
        <v>8</v>
      </c>
      <c r="I1491" s="21">
        <f t="shared" si="14"/>
        <v>0</v>
      </c>
      <c r="J1491" s="22">
        <f>[1]SUMMARY!N1492</f>
        <v>2995.5</v>
      </c>
      <c r="K1491" s="23">
        <f t="shared" si="16"/>
        <v>0</v>
      </c>
      <c r="L1491" s="8"/>
      <c r="M1491" s="8"/>
    </row>
    <row r="1492" spans="1:13" x14ac:dyDescent="0.2">
      <c r="A1492" s="17" t="str">
        <f>[1]SUMMARY!A1493</f>
        <v>205</v>
      </c>
      <c r="B1492" s="17">
        <f>[1]SUMMARY!B1493</f>
        <v>70</v>
      </c>
      <c r="C1492" s="17">
        <f>[1]SUMMARY!C1493</f>
        <v>15</v>
      </c>
      <c r="D1492" s="25" t="str">
        <f>[1]SUMMARY!D1493</f>
        <v>SUNNY (CH)</v>
      </c>
      <c r="E1492" s="25" t="str">
        <f>[1]SUMMARY!E1493</f>
        <v>NP226</v>
      </c>
      <c r="F1492" s="20"/>
      <c r="G1492" s="20">
        <v>4</v>
      </c>
      <c r="H1492" s="20">
        <v>4</v>
      </c>
      <c r="I1492" s="21">
        <f t="shared" si="14"/>
        <v>0</v>
      </c>
      <c r="J1492" s="22">
        <f>[1]SUMMARY!N1493</f>
        <v>2004</v>
      </c>
      <c r="K1492" s="23">
        <f t="shared" si="16"/>
        <v>0</v>
      </c>
      <c r="L1492" s="8"/>
      <c r="M1492" s="8"/>
    </row>
    <row r="1493" spans="1:13" x14ac:dyDescent="0.2">
      <c r="A1493" s="17" t="str">
        <f>[1]SUMMARY!A1494</f>
        <v>205</v>
      </c>
      <c r="B1493" s="17">
        <f>[1]SUMMARY!B1494</f>
        <v>70</v>
      </c>
      <c r="C1493" s="17" t="str">
        <f>[1]SUMMARY!C1494</f>
        <v>15C</v>
      </c>
      <c r="D1493" s="25" t="str">
        <f>[1]SUMMARY!D1494</f>
        <v>SUNNY (CH)</v>
      </c>
      <c r="E1493" s="25" t="str">
        <f>[1]SUMMARY!E1494</f>
        <v>NL106 (8PR)</v>
      </c>
      <c r="F1493" s="20"/>
      <c r="G1493" s="20">
        <v>16</v>
      </c>
      <c r="H1493" s="20">
        <v>16</v>
      </c>
      <c r="I1493" s="21">
        <f t="shared" si="14"/>
        <v>0</v>
      </c>
      <c r="J1493" s="22">
        <f>[1]SUMMARY!N1494</f>
        <v>3200</v>
      </c>
      <c r="K1493" s="23">
        <f t="shared" si="16"/>
        <v>0</v>
      </c>
      <c r="L1493" s="8"/>
      <c r="M1493" s="8"/>
    </row>
    <row r="1494" spans="1:13" x14ac:dyDescent="0.2">
      <c r="A1494" s="17" t="str">
        <f>[1]SUMMARY!A1495</f>
        <v>235</v>
      </c>
      <c r="B1494" s="17">
        <f>[1]SUMMARY!B1495</f>
        <v>75</v>
      </c>
      <c r="C1494" s="17">
        <f>[1]SUMMARY!C1495</f>
        <v>15</v>
      </c>
      <c r="D1494" s="25" t="str">
        <f>[1]SUMMARY!D1495</f>
        <v>SUNNY (CH)</v>
      </c>
      <c r="E1494" s="25" t="str">
        <f>[1]SUMMARY!E1495</f>
        <v>SN105 A/T</v>
      </c>
      <c r="F1494" s="20"/>
      <c r="G1494" s="20">
        <v>4</v>
      </c>
      <c r="H1494" s="20">
        <v>4</v>
      </c>
      <c r="I1494" s="21">
        <f t="shared" si="14"/>
        <v>0</v>
      </c>
      <c r="J1494" s="22">
        <f>[1]SUMMARY!N1495</f>
        <v>3783</v>
      </c>
      <c r="K1494" s="23">
        <f t="shared" si="16"/>
        <v>0</v>
      </c>
      <c r="L1494" s="8"/>
      <c r="M1494" s="8"/>
    </row>
    <row r="1495" spans="1:13" x14ac:dyDescent="0.2">
      <c r="A1495" s="17" t="str">
        <f>[1]SUMMARY!A1496</f>
        <v>205</v>
      </c>
      <c r="B1495" s="17">
        <f>[1]SUMMARY!B1496</f>
        <v>60</v>
      </c>
      <c r="C1495" s="17">
        <f>[1]SUMMARY!C1496</f>
        <v>16</v>
      </c>
      <c r="D1495" s="25" t="str">
        <f>[1]SUMMARY!D1496</f>
        <v>SUNNY (CH)</v>
      </c>
      <c r="E1495" s="25" t="str">
        <f>[1]SUMMARY!E1496</f>
        <v>NP226</v>
      </c>
      <c r="F1495" s="20"/>
      <c r="G1495" s="20">
        <v>6</v>
      </c>
      <c r="H1495" s="20">
        <v>6</v>
      </c>
      <c r="I1495" s="21">
        <f t="shared" si="14"/>
        <v>0</v>
      </c>
      <c r="J1495" s="22">
        <f>[1]SUMMARY!N1496</f>
        <v>1955.81</v>
      </c>
      <c r="K1495" s="23">
        <f t="shared" si="16"/>
        <v>0</v>
      </c>
      <c r="L1495" s="8"/>
      <c r="M1495" s="8"/>
    </row>
    <row r="1496" spans="1:13" x14ac:dyDescent="0.2">
      <c r="A1496" s="17" t="str">
        <f>[1]SUMMARY!A1497</f>
        <v>215</v>
      </c>
      <c r="B1496" s="17">
        <f>[1]SUMMARY!B1497</f>
        <v>70</v>
      </c>
      <c r="C1496" s="17">
        <f>[1]SUMMARY!C1497</f>
        <v>16</v>
      </c>
      <c r="D1496" s="25" t="str">
        <f>[1]SUMMARY!D1497</f>
        <v>SUNNY (CH)</v>
      </c>
      <c r="E1496" s="25" t="str">
        <f>[1]SUMMARY!E1497</f>
        <v>SAS028</v>
      </c>
      <c r="F1496" s="20"/>
      <c r="G1496" s="20">
        <v>10</v>
      </c>
      <c r="H1496" s="20">
        <v>10</v>
      </c>
      <c r="I1496" s="21">
        <f t="shared" si="14"/>
        <v>0</v>
      </c>
      <c r="J1496" s="22">
        <f>[1]SUMMARY!N1497</f>
        <v>2661.18</v>
      </c>
      <c r="K1496" s="23">
        <f t="shared" si="16"/>
        <v>0</v>
      </c>
      <c r="L1496" s="8"/>
      <c r="M1496" s="8"/>
    </row>
    <row r="1497" spans="1:13" x14ac:dyDescent="0.2">
      <c r="A1497" s="17" t="str">
        <f>[1]SUMMARY!A1498</f>
        <v>205</v>
      </c>
      <c r="B1497" s="17">
        <f>[1]SUMMARY!B1498</f>
        <v>45</v>
      </c>
      <c r="C1497" s="17">
        <f>[1]SUMMARY!C1498</f>
        <v>17</v>
      </c>
      <c r="D1497" s="25" t="str">
        <f>[1]SUMMARY!D1498</f>
        <v>SUNNY (CH)</v>
      </c>
      <c r="E1497" s="25" t="str">
        <f>[1]SUMMARY!E1498</f>
        <v>NA305</v>
      </c>
      <c r="F1497" s="20"/>
      <c r="G1497" s="20">
        <v>6</v>
      </c>
      <c r="H1497" s="20">
        <v>6</v>
      </c>
      <c r="I1497" s="21">
        <f t="shared" si="14"/>
        <v>0</v>
      </c>
      <c r="J1497" s="22">
        <f>[1]SUMMARY!N1498</f>
        <v>1955.81</v>
      </c>
      <c r="K1497" s="23">
        <f t="shared" si="16"/>
        <v>0</v>
      </c>
      <c r="L1497" s="8"/>
      <c r="M1497" s="8"/>
    </row>
    <row r="1498" spans="1:13" x14ac:dyDescent="0.2">
      <c r="A1498" s="17" t="str">
        <f>[1]SUMMARY!A1499</f>
        <v>225</v>
      </c>
      <c r="B1498" s="17">
        <f>[1]SUMMARY!B1499</f>
        <v>55</v>
      </c>
      <c r="C1498" s="17">
        <f>[1]SUMMARY!C1499</f>
        <v>17</v>
      </c>
      <c r="D1498" s="25" t="str">
        <f>[1]SUMMARY!D1499</f>
        <v>SUNNY (CH)</v>
      </c>
      <c r="E1498" s="25" t="str">
        <f>[1]SUMMARY!E1499</f>
        <v>NA305</v>
      </c>
      <c r="F1498" s="20"/>
      <c r="G1498" s="20">
        <v>12</v>
      </c>
      <c r="H1498" s="20">
        <v>12</v>
      </c>
      <c r="I1498" s="21">
        <f t="shared" si="14"/>
        <v>0</v>
      </c>
      <c r="J1498" s="22">
        <f>[1]SUMMARY!N1499</f>
        <v>3249</v>
      </c>
      <c r="K1498" s="23">
        <f t="shared" si="16"/>
        <v>0</v>
      </c>
      <c r="L1498" s="8"/>
      <c r="M1498" s="8"/>
    </row>
    <row r="1499" spans="1:13" x14ac:dyDescent="0.2">
      <c r="A1499" s="17" t="str">
        <f>[1]SUMMARY!A1500</f>
        <v>265</v>
      </c>
      <c r="B1499" s="17">
        <f>[1]SUMMARY!B1500</f>
        <v>65</v>
      </c>
      <c r="C1499" s="17">
        <f>[1]SUMMARY!C1500</f>
        <v>17</v>
      </c>
      <c r="D1499" s="25" t="str">
        <f>[1]SUMMARY!D1500</f>
        <v>SUNNY (CH)</v>
      </c>
      <c r="E1499" s="25" t="str">
        <f>[1]SUMMARY!E1500</f>
        <v>NU006 A/T</v>
      </c>
      <c r="F1499" s="20"/>
      <c r="G1499" s="20"/>
      <c r="H1499" s="20"/>
      <c r="I1499" s="21">
        <f t="shared" si="14"/>
        <v>0</v>
      </c>
      <c r="J1499" s="22">
        <f>[1]SUMMARY!N1500</f>
        <v>4136.0600000000004</v>
      </c>
      <c r="K1499" s="23">
        <f t="shared" si="16"/>
        <v>0</v>
      </c>
      <c r="L1499" s="8"/>
      <c r="M1499" s="8"/>
    </row>
    <row r="1500" spans="1:13" x14ac:dyDescent="0.2">
      <c r="A1500" s="17" t="str">
        <f>[1]SUMMARY!A1501</f>
        <v>265</v>
      </c>
      <c r="B1500" s="17">
        <f>[1]SUMMARY!B1501</f>
        <v>70</v>
      </c>
      <c r="C1500" s="17">
        <f>[1]SUMMARY!C1501</f>
        <v>17</v>
      </c>
      <c r="D1500" s="25" t="str">
        <f>[1]SUMMARY!D1501</f>
        <v>SUNNY (CH)</v>
      </c>
      <c r="E1500" s="25" t="str">
        <f>[1]SUMMARY!E1501</f>
        <v>NU006 A/T</v>
      </c>
      <c r="F1500" s="20"/>
      <c r="G1500" s="20">
        <v>8</v>
      </c>
      <c r="H1500" s="20">
        <v>8</v>
      </c>
      <c r="I1500" s="21">
        <f t="shared" si="14"/>
        <v>0</v>
      </c>
      <c r="J1500" s="22">
        <f>[1]SUMMARY!N1501</f>
        <v>4280.34</v>
      </c>
      <c r="K1500" s="23">
        <f t="shared" si="16"/>
        <v>0</v>
      </c>
      <c r="L1500" s="8"/>
      <c r="M1500" s="8"/>
    </row>
    <row r="1501" spans="1:13" x14ac:dyDescent="0.2">
      <c r="A1501" s="17" t="str">
        <f>[1]SUMMARY!A1502</f>
        <v>265</v>
      </c>
      <c r="B1501" s="17">
        <f>[1]SUMMARY!B1502</f>
        <v>60</v>
      </c>
      <c r="C1501" s="17">
        <f>[1]SUMMARY!C1502</f>
        <v>18</v>
      </c>
      <c r="D1501" s="25" t="str">
        <f>[1]SUMMARY!D1502</f>
        <v>SUNNY (CH)</v>
      </c>
      <c r="E1501" s="25" t="str">
        <f>[1]SUMMARY!E1502</f>
        <v>NU006 A/T</v>
      </c>
      <c r="F1501" s="20"/>
      <c r="G1501" s="20">
        <v>4</v>
      </c>
      <c r="H1501" s="20">
        <v>4</v>
      </c>
      <c r="I1501" s="21">
        <f t="shared" si="14"/>
        <v>0</v>
      </c>
      <c r="J1501" s="22">
        <f>[1]SUMMARY!N1502</f>
        <v>4839.3</v>
      </c>
      <c r="K1501" s="23">
        <f t="shared" si="16"/>
        <v>0</v>
      </c>
      <c r="L1501" s="8"/>
      <c r="M1501" s="8"/>
    </row>
    <row r="1502" spans="1:13" x14ac:dyDescent="0.2">
      <c r="A1502" s="17" t="str">
        <f>[1]SUMMARY!A1503</f>
        <v>235</v>
      </c>
      <c r="B1502" s="17">
        <f>[1]SUMMARY!B1503</f>
        <v>55</v>
      </c>
      <c r="C1502" s="17">
        <f>[1]SUMMARY!C1503</f>
        <v>18</v>
      </c>
      <c r="D1502" s="25" t="str">
        <f>[1]SUMMARY!D1503</f>
        <v>SUNNY (CH)</v>
      </c>
      <c r="E1502" s="25" t="str">
        <f>[1]SUMMARY!E1503</f>
        <v>NA305</v>
      </c>
      <c r="F1502" s="20">
        <v>4</v>
      </c>
      <c r="G1502" s="20">
        <v>8</v>
      </c>
      <c r="H1502" s="20">
        <v>12</v>
      </c>
      <c r="I1502" s="21">
        <f t="shared" si="14"/>
        <v>0</v>
      </c>
      <c r="J1502" s="22">
        <f>[1]SUMMARY!N1503</f>
        <v>2869.59</v>
      </c>
      <c r="K1502" s="23">
        <f t="shared" si="16"/>
        <v>0</v>
      </c>
      <c r="L1502" s="8"/>
      <c r="M1502" s="8"/>
    </row>
    <row r="1503" spans="1:13" x14ac:dyDescent="0.2">
      <c r="A1503" s="17" t="str">
        <f>[1]SUMMARY!A1504</f>
        <v>275</v>
      </c>
      <c r="B1503" s="17">
        <f>[1]SUMMARY!B1504</f>
        <v>55</v>
      </c>
      <c r="C1503" s="17">
        <f>[1]SUMMARY!C1504</f>
        <v>20</v>
      </c>
      <c r="D1503" s="25" t="str">
        <f>[1]SUMMARY!D1504</f>
        <v>SUNNY (CH)</v>
      </c>
      <c r="E1503" s="25" t="str">
        <f>[1]SUMMARY!E1504</f>
        <v>NU006 A/T</v>
      </c>
      <c r="F1503" s="20"/>
      <c r="G1503" s="20">
        <v>4</v>
      </c>
      <c r="H1503" s="20">
        <v>4</v>
      </c>
      <c r="I1503" s="21">
        <f t="shared" si="14"/>
        <v>0</v>
      </c>
      <c r="J1503" s="22">
        <f>[1]SUMMARY!N1504</f>
        <v>4584.93</v>
      </c>
      <c r="K1503" s="23">
        <f t="shared" si="16"/>
        <v>0</v>
      </c>
      <c r="L1503" s="28">
        <f>SUM(K1480:K1503)</f>
        <v>0</v>
      </c>
      <c r="M1503" s="29" t="s">
        <v>78</v>
      </c>
    </row>
    <row r="1504" spans="1:13" x14ac:dyDescent="0.2">
      <c r="A1504" s="17" t="str">
        <f>[1]SUMMARY!A1505</f>
        <v>175</v>
      </c>
      <c r="B1504" s="17">
        <f>[1]SUMMARY!B1505</f>
        <v>65</v>
      </c>
      <c r="C1504" s="17">
        <f>[1]SUMMARY!C1505</f>
        <v>14</v>
      </c>
      <c r="D1504" s="25" t="str">
        <f>[1]SUMMARY!D1505</f>
        <v>TIREBOT (CH)</v>
      </c>
      <c r="E1504" s="25" t="str">
        <f>[1]SUMMARY!E1505</f>
        <v>CT108</v>
      </c>
      <c r="F1504" s="20"/>
      <c r="G1504" s="20"/>
      <c r="H1504" s="20"/>
      <c r="I1504" s="21">
        <f t="shared" si="14"/>
        <v>0</v>
      </c>
      <c r="J1504" s="22">
        <f>[1]SUMMARY!N1505</f>
        <v>1260</v>
      </c>
      <c r="K1504" s="23">
        <f t="shared" si="16"/>
        <v>0</v>
      </c>
      <c r="L1504" s="8"/>
      <c r="M1504" s="8"/>
    </row>
    <row r="1505" spans="1:13" x14ac:dyDescent="0.2">
      <c r="A1505" s="17" t="str">
        <f>[1]SUMMARY!A1506</f>
        <v>175</v>
      </c>
      <c r="B1505" s="17">
        <f>[1]SUMMARY!B1506</f>
        <v>70</v>
      </c>
      <c r="C1505" s="17">
        <f>[1]SUMMARY!C1506</f>
        <v>14</v>
      </c>
      <c r="D1505" s="25" t="str">
        <f>[1]SUMMARY!D1506</f>
        <v>TIREBOT (CH)</v>
      </c>
      <c r="E1505" s="25" t="str">
        <f>[1]SUMMARY!E1506</f>
        <v>CT113</v>
      </c>
      <c r="F1505" s="20"/>
      <c r="G1505" s="20"/>
      <c r="H1505" s="20"/>
      <c r="I1505" s="21">
        <f t="shared" si="14"/>
        <v>0</v>
      </c>
      <c r="J1505" s="22">
        <f>[1]SUMMARY!N1506</f>
        <v>1340</v>
      </c>
      <c r="K1505" s="23">
        <f t="shared" si="16"/>
        <v>0</v>
      </c>
      <c r="L1505" s="8"/>
      <c r="M1505" s="8"/>
    </row>
    <row r="1506" spans="1:13" x14ac:dyDescent="0.2">
      <c r="A1506" s="17" t="str">
        <f>[1]SUMMARY!A1507</f>
        <v>185</v>
      </c>
      <c r="B1506" s="17">
        <f>[1]SUMMARY!B1507</f>
        <v>65</v>
      </c>
      <c r="C1506" s="17">
        <f>[1]SUMMARY!C1507</f>
        <v>14</v>
      </c>
      <c r="D1506" s="25" t="str">
        <f>[1]SUMMARY!D1507</f>
        <v>TIREBOT (CH)</v>
      </c>
      <c r="E1506" s="25" t="str">
        <f>[1]SUMMARY!E1507</f>
        <v>CT108</v>
      </c>
      <c r="F1506" s="20"/>
      <c r="G1506" s="20">
        <v>4</v>
      </c>
      <c r="H1506" s="20">
        <v>4</v>
      </c>
      <c r="I1506" s="21">
        <f t="shared" ref="I1506:I1760" si="17">F1506+G1506-H1506</f>
        <v>0</v>
      </c>
      <c r="J1506" s="22">
        <f>[1]SUMMARY!N1507</f>
        <v>1380</v>
      </c>
      <c r="K1506" s="23">
        <f t="shared" si="16"/>
        <v>0</v>
      </c>
      <c r="L1506" s="8"/>
      <c r="M1506" s="8"/>
    </row>
    <row r="1507" spans="1:13" x14ac:dyDescent="0.2">
      <c r="A1507" s="17" t="str">
        <f>[1]SUMMARY!A1508</f>
        <v>185</v>
      </c>
      <c r="B1507" s="17">
        <f>[1]SUMMARY!B1508</f>
        <v>0</v>
      </c>
      <c r="C1507" s="17" t="str">
        <f>[1]SUMMARY!C1508</f>
        <v>14C</v>
      </c>
      <c r="D1507" s="25" t="str">
        <f>[1]SUMMARY!D1508</f>
        <v>TIREBOT (CH)</v>
      </c>
      <c r="E1507" s="25" t="str">
        <f>[1]SUMMARY!E1508</f>
        <v>VM105</v>
      </c>
      <c r="F1507" s="20"/>
      <c r="G1507" s="20">
        <v>4</v>
      </c>
      <c r="H1507" s="20">
        <v>4</v>
      </c>
      <c r="I1507" s="21">
        <f t="shared" si="17"/>
        <v>0</v>
      </c>
      <c r="J1507" s="22">
        <f>[1]SUMMARY!N1508</f>
        <v>1850</v>
      </c>
      <c r="K1507" s="23">
        <f t="shared" si="16"/>
        <v>0</v>
      </c>
      <c r="L1507" s="8"/>
      <c r="M1507" s="8"/>
    </row>
    <row r="1508" spans="1:13" x14ac:dyDescent="0.2">
      <c r="A1508" s="17" t="str">
        <f>[1]SUMMARY!A1509</f>
        <v>195</v>
      </c>
      <c r="B1508" s="17">
        <f>[1]SUMMARY!B1509</f>
        <v>50</v>
      </c>
      <c r="C1508" s="17">
        <f>[1]SUMMARY!C1509</f>
        <v>15</v>
      </c>
      <c r="D1508" s="25" t="str">
        <f>[1]SUMMARY!D1509</f>
        <v>TIREBOT (CH)</v>
      </c>
      <c r="E1508" s="25" t="str">
        <f>[1]SUMMARY!E1509</f>
        <v>CT103</v>
      </c>
      <c r="F1508" s="20">
        <v>4</v>
      </c>
      <c r="G1508" s="20">
        <v>8</v>
      </c>
      <c r="H1508" s="20">
        <v>12</v>
      </c>
      <c r="I1508" s="21">
        <f t="shared" si="17"/>
        <v>0</v>
      </c>
      <c r="J1508" s="22">
        <f>[1]SUMMARY!N1509</f>
        <v>1530</v>
      </c>
      <c r="K1508" s="23">
        <f t="shared" si="16"/>
        <v>0</v>
      </c>
      <c r="L1508" s="8"/>
      <c r="M1508" s="8"/>
    </row>
    <row r="1509" spans="1:13" x14ac:dyDescent="0.2">
      <c r="A1509" s="17" t="str">
        <f>[1]SUMMARY!A1510</f>
        <v>185</v>
      </c>
      <c r="B1509" s="17">
        <f>[1]SUMMARY!B1510</f>
        <v>55</v>
      </c>
      <c r="C1509" s="17">
        <f>[1]SUMMARY!C1510</f>
        <v>15</v>
      </c>
      <c r="D1509" s="25" t="str">
        <f>[1]SUMMARY!D1510</f>
        <v>TIREBOT (CH)</v>
      </c>
      <c r="E1509" s="25" t="str">
        <f>[1]SUMMARY!E1510</f>
        <v>K115</v>
      </c>
      <c r="F1509" s="20"/>
      <c r="G1509" s="20">
        <v>16</v>
      </c>
      <c r="H1509" s="20">
        <v>16</v>
      </c>
      <c r="I1509" s="21">
        <f t="shared" si="17"/>
        <v>0</v>
      </c>
      <c r="J1509" s="22">
        <f>[1]SUMMARY!N1510</f>
        <v>1450</v>
      </c>
      <c r="K1509" s="23">
        <f t="shared" si="16"/>
        <v>0</v>
      </c>
      <c r="L1509" s="8"/>
      <c r="M1509" s="8"/>
    </row>
    <row r="1510" spans="1:13" x14ac:dyDescent="0.2">
      <c r="A1510" s="17" t="str">
        <f>[1]SUMMARY!A1511</f>
        <v>195</v>
      </c>
      <c r="B1510" s="17">
        <f>[1]SUMMARY!B1511</f>
        <v>55</v>
      </c>
      <c r="C1510" s="17">
        <f>[1]SUMMARY!C1511</f>
        <v>15</v>
      </c>
      <c r="D1510" s="25" t="str">
        <f>[1]SUMMARY!D1511</f>
        <v>TIREBOT (CH)</v>
      </c>
      <c r="E1510" s="25" t="str">
        <f>[1]SUMMARY!E1511</f>
        <v>CT103</v>
      </c>
      <c r="F1510" s="20">
        <v>4</v>
      </c>
      <c r="G1510" s="20">
        <v>8</v>
      </c>
      <c r="H1510" s="20">
        <v>12</v>
      </c>
      <c r="I1510" s="21">
        <f t="shared" si="17"/>
        <v>0</v>
      </c>
      <c r="J1510" s="22">
        <f>[1]SUMMARY!N1511</f>
        <v>1550</v>
      </c>
      <c r="K1510" s="23">
        <f t="shared" si="16"/>
        <v>0</v>
      </c>
      <c r="L1510" s="8"/>
      <c r="M1510" s="8"/>
    </row>
    <row r="1511" spans="1:13" x14ac:dyDescent="0.2">
      <c r="A1511" s="17" t="str">
        <f>[1]SUMMARY!A1512</f>
        <v>195</v>
      </c>
      <c r="B1511" s="17">
        <f>[1]SUMMARY!B1512</f>
        <v>65</v>
      </c>
      <c r="C1511" s="17">
        <f>[1]SUMMARY!C1512</f>
        <v>15</v>
      </c>
      <c r="D1511" s="25" t="str">
        <f>[1]SUMMARY!D1512</f>
        <v>TIREBOT (CH)</v>
      </c>
      <c r="E1511" s="25" t="str">
        <f>[1]SUMMARY!E1512</f>
        <v>CT112</v>
      </c>
      <c r="F1511" s="20">
        <v>4</v>
      </c>
      <c r="G1511" s="20"/>
      <c r="H1511" s="20">
        <v>4</v>
      </c>
      <c r="I1511" s="21">
        <f t="shared" si="17"/>
        <v>0</v>
      </c>
      <c r="J1511" s="22">
        <f>[1]SUMMARY!N1512</f>
        <v>1850</v>
      </c>
      <c r="K1511" s="23">
        <f t="shared" si="16"/>
        <v>0</v>
      </c>
      <c r="L1511" s="8"/>
      <c r="M1511" s="8"/>
    </row>
    <row r="1512" spans="1:13" x14ac:dyDescent="0.2">
      <c r="A1512" s="17" t="str">
        <f>[1]SUMMARY!A1513</f>
        <v>195</v>
      </c>
      <c r="B1512" s="17">
        <f>[1]SUMMARY!B1513</f>
        <v>70</v>
      </c>
      <c r="C1512" s="17" t="str">
        <f>[1]SUMMARY!C1513</f>
        <v>15C</v>
      </c>
      <c r="D1512" s="25" t="str">
        <f>[1]SUMMARY!D1513</f>
        <v>TIREBOT (CH)</v>
      </c>
      <c r="E1512" s="25" t="str">
        <f>[1]SUMMARY!E1513</f>
        <v>VM107</v>
      </c>
      <c r="F1512" s="20"/>
      <c r="G1512" s="20">
        <v>4</v>
      </c>
      <c r="H1512" s="20">
        <v>4</v>
      </c>
      <c r="I1512" s="21">
        <f t="shared" si="17"/>
        <v>0</v>
      </c>
      <c r="J1512" s="22">
        <f>[1]SUMMARY!N1513</f>
        <v>2185</v>
      </c>
      <c r="K1512" s="23">
        <f t="shared" si="16"/>
        <v>0</v>
      </c>
      <c r="L1512" s="8"/>
      <c r="M1512" s="8"/>
    </row>
    <row r="1513" spans="1:13" x14ac:dyDescent="0.2">
      <c r="A1513" s="17" t="str">
        <f>[1]SUMMARY!A1514</f>
        <v>235</v>
      </c>
      <c r="B1513" s="17">
        <f>[1]SUMMARY!B1514</f>
        <v>75</v>
      </c>
      <c r="C1513" s="17">
        <f>[1]SUMMARY!C1514</f>
        <v>15</v>
      </c>
      <c r="D1513" s="25" t="str">
        <f>[1]SUMMARY!D1514</f>
        <v>TIREBOT (CH)</v>
      </c>
      <c r="E1513" s="25" t="str">
        <f>[1]SUMMARY!E1514</f>
        <v>SIRIUS A/T</v>
      </c>
      <c r="F1513" s="20">
        <v>2</v>
      </c>
      <c r="G1513" s="20"/>
      <c r="H1513" s="20">
        <v>2</v>
      </c>
      <c r="I1513" s="21">
        <f t="shared" si="17"/>
        <v>0</v>
      </c>
      <c r="J1513" s="22">
        <f>[1]SUMMARY!N1514</f>
        <v>3000</v>
      </c>
      <c r="K1513" s="23">
        <f t="shared" si="16"/>
        <v>0</v>
      </c>
      <c r="L1513" s="8"/>
      <c r="M1513" s="8"/>
    </row>
    <row r="1514" spans="1:13" x14ac:dyDescent="0.2">
      <c r="A1514" s="17" t="str">
        <f>[1]SUMMARY!A1515</f>
        <v>205</v>
      </c>
      <c r="B1514" s="17">
        <f>[1]SUMMARY!B1515</f>
        <v>45</v>
      </c>
      <c r="C1514" s="17">
        <f>[1]SUMMARY!C1515</f>
        <v>16</v>
      </c>
      <c r="D1514" s="25" t="str">
        <f>[1]SUMMARY!D1515</f>
        <v>TIREBOT (CH)</v>
      </c>
      <c r="E1514" s="25" t="str">
        <f>[1]SUMMARY!E1515</f>
        <v>P-OPT609</v>
      </c>
      <c r="F1514" s="20">
        <v>2</v>
      </c>
      <c r="G1514" s="20">
        <v>4</v>
      </c>
      <c r="H1514" s="20">
        <v>6</v>
      </c>
      <c r="I1514" s="21">
        <f t="shared" si="17"/>
        <v>0</v>
      </c>
      <c r="J1514" s="22">
        <f>[1]SUMMARY!N1515</f>
        <v>1730</v>
      </c>
      <c r="K1514" s="23">
        <f t="shared" si="16"/>
        <v>0</v>
      </c>
      <c r="L1514" s="8"/>
      <c r="M1514" s="8"/>
    </row>
    <row r="1515" spans="1:13" x14ac:dyDescent="0.2">
      <c r="A1515" s="17" t="str">
        <f>[1]SUMMARY!A1516</f>
        <v>205</v>
      </c>
      <c r="B1515" s="17">
        <f>[1]SUMMARY!B1516</f>
        <v>55</v>
      </c>
      <c r="C1515" s="17">
        <f>[1]SUMMARY!C1516</f>
        <v>16</v>
      </c>
      <c r="D1515" s="25" t="str">
        <f>[1]SUMMARY!D1516</f>
        <v>TIREBOT (CH)</v>
      </c>
      <c r="E1515" s="25" t="str">
        <f>[1]SUMMARY!E1516</f>
        <v>CT103</v>
      </c>
      <c r="F1515" s="20"/>
      <c r="G1515" s="20">
        <v>4</v>
      </c>
      <c r="H1515" s="20">
        <v>4</v>
      </c>
      <c r="I1515" s="21">
        <f t="shared" si="17"/>
        <v>0</v>
      </c>
      <c r="J1515" s="22">
        <f>[1]SUMMARY!N1516</f>
        <v>1820</v>
      </c>
      <c r="K1515" s="23">
        <f t="shared" si="16"/>
        <v>0</v>
      </c>
      <c r="L1515" s="8"/>
      <c r="M1515" s="8"/>
    </row>
    <row r="1516" spans="1:13" x14ac:dyDescent="0.2">
      <c r="A1516" s="17" t="str">
        <f>[1]SUMMARY!A1517</f>
        <v>205</v>
      </c>
      <c r="B1516" s="17">
        <f>[1]SUMMARY!B1517</f>
        <v>65</v>
      </c>
      <c r="C1516" s="17">
        <f>[1]SUMMARY!C1517</f>
        <v>16</v>
      </c>
      <c r="D1516" s="25" t="str">
        <f>[1]SUMMARY!D1517</f>
        <v>TIREBOT (CH)</v>
      </c>
      <c r="E1516" s="25" t="str">
        <f>[1]SUMMARY!E1517</f>
        <v>CT103</v>
      </c>
      <c r="F1516" s="20"/>
      <c r="G1516" s="20">
        <v>4</v>
      </c>
      <c r="H1516" s="20">
        <v>4</v>
      </c>
      <c r="I1516" s="21">
        <f t="shared" si="17"/>
        <v>0</v>
      </c>
      <c r="J1516" s="22">
        <f>[1]SUMMARY!N1517</f>
        <v>1950</v>
      </c>
      <c r="K1516" s="23">
        <f t="shared" si="16"/>
        <v>0</v>
      </c>
      <c r="L1516" s="8"/>
      <c r="M1516" s="8"/>
    </row>
    <row r="1517" spans="1:13" x14ac:dyDescent="0.2">
      <c r="A1517" s="17" t="str">
        <f>[1]SUMMARY!A1518</f>
        <v>205</v>
      </c>
      <c r="B1517" s="17">
        <f>[1]SUMMARY!B1518</f>
        <v>45</v>
      </c>
      <c r="C1517" s="17">
        <f>[1]SUMMARY!C1518</f>
        <v>17</v>
      </c>
      <c r="D1517" s="25" t="str">
        <f>[1]SUMMARY!D1518</f>
        <v>TIREBOT (CH)</v>
      </c>
      <c r="E1517" s="25" t="str">
        <f>[1]SUMMARY!E1518</f>
        <v>P.OPT601</v>
      </c>
      <c r="F1517" s="20">
        <v>4</v>
      </c>
      <c r="G1517" s="20"/>
      <c r="H1517" s="20">
        <v>4</v>
      </c>
      <c r="I1517" s="21">
        <f t="shared" si="17"/>
        <v>0</v>
      </c>
      <c r="J1517" s="22">
        <f>[1]SUMMARY!N1518</f>
        <v>1950</v>
      </c>
      <c r="K1517" s="23">
        <f t="shared" si="16"/>
        <v>0</v>
      </c>
      <c r="L1517" s="8"/>
      <c r="M1517" s="8"/>
    </row>
    <row r="1518" spans="1:13" x14ac:dyDescent="0.2">
      <c r="A1518" s="17" t="str">
        <f>[1]SUMMARY!A1519</f>
        <v>215</v>
      </c>
      <c r="B1518" s="17">
        <f>[1]SUMMARY!B1519</f>
        <v>45</v>
      </c>
      <c r="C1518" s="17">
        <f>[1]SUMMARY!C1519</f>
        <v>17</v>
      </c>
      <c r="D1518" s="25" t="str">
        <f>[1]SUMMARY!D1519</f>
        <v>TIREBOT (CH)</v>
      </c>
      <c r="E1518" s="25" t="str">
        <f>[1]SUMMARY!E1519</f>
        <v>P.OPT602</v>
      </c>
      <c r="F1518" s="20"/>
      <c r="G1518" s="20">
        <v>10</v>
      </c>
      <c r="H1518" s="20">
        <v>10</v>
      </c>
      <c r="I1518" s="21">
        <f t="shared" si="17"/>
        <v>0</v>
      </c>
      <c r="J1518" s="22">
        <f>[1]SUMMARY!N1519</f>
        <v>2100</v>
      </c>
      <c r="K1518" s="23">
        <f t="shared" si="16"/>
        <v>0</v>
      </c>
      <c r="L1518" s="8"/>
      <c r="M1518" s="8"/>
    </row>
    <row r="1519" spans="1:13" x14ac:dyDescent="0.2">
      <c r="A1519" s="17" t="str">
        <f>[1]SUMMARY!A1520</f>
        <v>215</v>
      </c>
      <c r="B1519" s="17">
        <f>[1]SUMMARY!B1520</f>
        <v>55</v>
      </c>
      <c r="C1519" s="17">
        <f>[1]SUMMARY!C1520</f>
        <v>17</v>
      </c>
      <c r="D1519" s="25" t="str">
        <f>[1]SUMMARY!D1520</f>
        <v>TIREBOT (CH)</v>
      </c>
      <c r="E1519" s="25" t="str">
        <f>[1]SUMMARY!E1520</f>
        <v>P.OPT601</v>
      </c>
      <c r="F1519" s="20"/>
      <c r="G1519" s="20">
        <v>8</v>
      </c>
      <c r="H1519" s="20">
        <v>8</v>
      </c>
      <c r="I1519" s="21">
        <f t="shared" si="17"/>
        <v>0</v>
      </c>
      <c r="J1519" s="22">
        <f>[1]SUMMARY!N1520</f>
        <v>2250</v>
      </c>
      <c r="K1519" s="23">
        <f t="shared" si="16"/>
        <v>0</v>
      </c>
      <c r="L1519" s="8"/>
      <c r="M1519" s="8"/>
    </row>
    <row r="1520" spans="1:13" x14ac:dyDescent="0.2">
      <c r="A1520" s="17" t="str">
        <f>[1]SUMMARY!A1521</f>
        <v>265</v>
      </c>
      <c r="B1520" s="17">
        <f>[1]SUMMARY!B1521</f>
        <v>60</v>
      </c>
      <c r="C1520" s="17">
        <f>[1]SUMMARY!C1521</f>
        <v>18</v>
      </c>
      <c r="D1520" s="25" t="str">
        <f>[1]SUMMARY!D1521</f>
        <v>TIREBOT (CH)</v>
      </c>
      <c r="E1520" s="25" t="str">
        <f>[1]SUMMARY!E1521</f>
        <v>SR168 A/T</v>
      </c>
      <c r="F1520" s="20">
        <v>8</v>
      </c>
      <c r="G1520" s="20">
        <v>4</v>
      </c>
      <c r="H1520" s="20">
        <v>12</v>
      </c>
      <c r="I1520" s="21">
        <f t="shared" si="17"/>
        <v>0</v>
      </c>
      <c r="J1520" s="22">
        <f>[1]SUMMARY!N1521</f>
        <v>4000</v>
      </c>
      <c r="K1520" s="23">
        <f t="shared" si="16"/>
        <v>0</v>
      </c>
      <c r="L1520" s="8"/>
      <c r="M1520" s="8"/>
    </row>
    <row r="1521" spans="1:13" x14ac:dyDescent="0.2">
      <c r="A1521" s="17" t="str">
        <f>[1]SUMMARY!A1522</f>
        <v>265</v>
      </c>
      <c r="B1521" s="17">
        <f>[1]SUMMARY!B1522</f>
        <v>50</v>
      </c>
      <c r="C1521" s="17">
        <f>[1]SUMMARY!C1522</f>
        <v>20</v>
      </c>
      <c r="D1521" s="25" t="str">
        <f>[1]SUMMARY!D1522</f>
        <v>TIREBOT (CH)</v>
      </c>
      <c r="E1521" s="25" t="str">
        <f>[1]SUMMARY!E1522</f>
        <v>KAZE610 HT</v>
      </c>
      <c r="F1521" s="20">
        <v>4</v>
      </c>
      <c r="G1521" s="20">
        <v>4</v>
      </c>
      <c r="H1521" s="20">
        <v>8</v>
      </c>
      <c r="I1521" s="21">
        <f t="shared" si="17"/>
        <v>0</v>
      </c>
      <c r="J1521" s="22">
        <f>[1]SUMMARY!N1522</f>
        <v>3800</v>
      </c>
      <c r="K1521" s="23">
        <f t="shared" si="16"/>
        <v>0</v>
      </c>
      <c r="L1521" s="8"/>
      <c r="M1521" s="8"/>
    </row>
    <row r="1522" spans="1:13" x14ac:dyDescent="0.2">
      <c r="A1522" s="17" t="str">
        <f>[1]SUMMARY!A1523</f>
        <v>275</v>
      </c>
      <c r="B1522" s="17">
        <f>[1]SUMMARY!B1523</f>
        <v>55</v>
      </c>
      <c r="C1522" s="17">
        <f>[1]SUMMARY!C1523</f>
        <v>20</v>
      </c>
      <c r="D1522" s="25" t="str">
        <f>[1]SUMMARY!D1523</f>
        <v>TIREBOT (CH)</v>
      </c>
      <c r="E1522" s="25" t="str">
        <f>[1]SUMMARY!E1523</f>
        <v>SR168 A/T</v>
      </c>
      <c r="F1522" s="20"/>
      <c r="G1522" s="20">
        <v>4</v>
      </c>
      <c r="H1522" s="20">
        <v>4</v>
      </c>
      <c r="I1522" s="21">
        <f t="shared" si="17"/>
        <v>0</v>
      </c>
      <c r="J1522" s="22">
        <f>[1]SUMMARY!N1523</f>
        <v>4380</v>
      </c>
      <c r="K1522" s="23">
        <f t="shared" si="16"/>
        <v>0</v>
      </c>
      <c r="L1522" s="28">
        <f>SUM(K1504:K1522)</f>
        <v>0</v>
      </c>
      <c r="M1522" s="29" t="s">
        <v>79</v>
      </c>
    </row>
    <row r="1523" spans="1:13" x14ac:dyDescent="0.2">
      <c r="A1523" s="17" t="str">
        <f>[1]SUMMARY!A1524</f>
        <v>175</v>
      </c>
      <c r="B1523" s="17">
        <f>[1]SUMMARY!B1524</f>
        <v>65</v>
      </c>
      <c r="C1523" s="17">
        <f>[1]SUMMARY!C1524</f>
        <v>14</v>
      </c>
      <c r="D1523" s="25" t="str">
        <f>[1]SUMMARY!D1524</f>
        <v>THUNDERER (THAI)</v>
      </c>
      <c r="E1523" s="25" t="str">
        <f>[1]SUMMARY!E1524</f>
        <v>R201</v>
      </c>
      <c r="F1523" s="20"/>
      <c r="G1523" s="20">
        <v>8</v>
      </c>
      <c r="H1523" s="20">
        <v>8</v>
      </c>
      <c r="I1523" s="21">
        <f t="shared" si="17"/>
        <v>0</v>
      </c>
      <c r="J1523" s="22">
        <f>[1]SUMMARY!N1524</f>
        <v>1827</v>
      </c>
      <c r="K1523" s="23">
        <f t="shared" si="16"/>
        <v>0</v>
      </c>
      <c r="L1523" s="8"/>
      <c r="M1523" s="8"/>
    </row>
    <row r="1524" spans="1:13" x14ac:dyDescent="0.2">
      <c r="A1524" s="17" t="str">
        <f>[1]SUMMARY!A1525</f>
        <v>185</v>
      </c>
      <c r="B1524" s="17">
        <f>[1]SUMMARY!B1525</f>
        <v>0</v>
      </c>
      <c r="C1524" s="17" t="str">
        <f>[1]SUMMARY!C1525</f>
        <v>14C</v>
      </c>
      <c r="D1524" s="25" t="str">
        <f>[1]SUMMARY!D1525</f>
        <v>THUNDERER (THAI)</v>
      </c>
      <c r="E1524" s="25" t="str">
        <f>[1]SUMMARY!E1525</f>
        <v>R101</v>
      </c>
      <c r="F1524" s="20"/>
      <c r="G1524" s="20">
        <v>7</v>
      </c>
      <c r="H1524" s="20">
        <v>7</v>
      </c>
      <c r="I1524" s="21">
        <f t="shared" si="17"/>
        <v>0</v>
      </c>
      <c r="J1524" s="22">
        <f>[1]SUMMARY!N1525</f>
        <v>2595</v>
      </c>
      <c r="K1524" s="23">
        <f t="shared" si="16"/>
        <v>0</v>
      </c>
      <c r="L1524" s="8"/>
      <c r="M1524" s="8"/>
    </row>
    <row r="1525" spans="1:13" x14ac:dyDescent="0.2">
      <c r="A1525" s="17" t="str">
        <f>[1]SUMMARY!A1526</f>
        <v>185</v>
      </c>
      <c r="B1525" s="17">
        <f>[1]SUMMARY!B1526</f>
        <v>70</v>
      </c>
      <c r="C1525" s="17">
        <f>[1]SUMMARY!C1526</f>
        <v>14</v>
      </c>
      <c r="D1525" s="25" t="str">
        <f>[1]SUMMARY!D1526</f>
        <v>THUNDERER (THAI)</v>
      </c>
      <c r="E1525" s="25" t="str">
        <f>[1]SUMMARY!E1526</f>
        <v>R201</v>
      </c>
      <c r="F1525" s="20"/>
      <c r="G1525" s="20">
        <v>4</v>
      </c>
      <c r="H1525" s="20">
        <v>4</v>
      </c>
      <c r="I1525" s="21">
        <f t="shared" si="17"/>
        <v>0</v>
      </c>
      <c r="J1525" s="22">
        <f>[1]SUMMARY!N1526</f>
        <v>2205</v>
      </c>
      <c r="K1525" s="23">
        <f t="shared" si="16"/>
        <v>0</v>
      </c>
      <c r="L1525" s="8"/>
      <c r="M1525" s="8"/>
    </row>
    <row r="1526" spans="1:13" x14ac:dyDescent="0.2">
      <c r="A1526" s="17" t="str">
        <f>[1]SUMMARY!A1527</f>
        <v>195</v>
      </c>
      <c r="B1526" s="17">
        <f>[1]SUMMARY!B1527</f>
        <v>0</v>
      </c>
      <c r="C1526" s="17" t="str">
        <f>[1]SUMMARY!C1527</f>
        <v>14C</v>
      </c>
      <c r="D1526" s="25" t="str">
        <f>[1]SUMMARY!D1527</f>
        <v>THUNDERER (THAI)</v>
      </c>
      <c r="E1526" s="25" t="str">
        <f>[1]SUMMARY!E1527</f>
        <v>R101</v>
      </c>
      <c r="F1526" s="20"/>
      <c r="G1526" s="20">
        <v>16</v>
      </c>
      <c r="H1526" s="20">
        <v>16</v>
      </c>
      <c r="I1526" s="21">
        <f t="shared" si="17"/>
        <v>0</v>
      </c>
      <c r="J1526" s="22">
        <f>[1]SUMMARY!N1527</f>
        <v>3210</v>
      </c>
      <c r="K1526" s="23">
        <f t="shared" si="16"/>
        <v>0</v>
      </c>
      <c r="L1526" s="8"/>
      <c r="M1526" s="8"/>
    </row>
    <row r="1527" spans="1:13" x14ac:dyDescent="0.2">
      <c r="A1527" s="17" t="str">
        <f>[1]SUMMARY!A1528</f>
        <v>195</v>
      </c>
      <c r="B1527" s="17">
        <f>[1]SUMMARY!B1528</f>
        <v>55</v>
      </c>
      <c r="C1527" s="17">
        <f>[1]SUMMARY!C1528</f>
        <v>15</v>
      </c>
      <c r="D1527" s="25" t="str">
        <f>[1]SUMMARY!D1528</f>
        <v>THUNDERER (THAI)</v>
      </c>
      <c r="E1527" s="25" t="str">
        <f>[1]SUMMARY!E1528</f>
        <v>R301</v>
      </c>
      <c r="F1527" s="20"/>
      <c r="G1527" s="20">
        <v>4</v>
      </c>
      <c r="H1527" s="20">
        <v>4</v>
      </c>
      <c r="I1527" s="21">
        <f t="shared" si="17"/>
        <v>0</v>
      </c>
      <c r="J1527" s="22">
        <f>[1]SUMMARY!N1528</f>
        <v>2197.5</v>
      </c>
      <c r="K1527" s="23">
        <f t="shared" si="16"/>
        <v>0</v>
      </c>
      <c r="L1527" s="8"/>
      <c r="M1527" s="8"/>
    </row>
    <row r="1528" spans="1:13" x14ac:dyDescent="0.2">
      <c r="A1528" s="17" t="str">
        <f>[1]SUMMARY!A1529</f>
        <v>205</v>
      </c>
      <c r="B1528" s="17">
        <f>[1]SUMMARY!B1529</f>
        <v>65</v>
      </c>
      <c r="C1528" s="17">
        <f>[1]SUMMARY!C1529</f>
        <v>15</v>
      </c>
      <c r="D1528" s="25" t="str">
        <f>[1]SUMMARY!D1529</f>
        <v>THUNDERER (THAI)</v>
      </c>
      <c r="E1528" s="25" t="str">
        <f>[1]SUMMARY!E1529</f>
        <v>R301</v>
      </c>
      <c r="F1528" s="20"/>
      <c r="G1528" s="20">
        <v>4</v>
      </c>
      <c r="H1528" s="20">
        <v>4</v>
      </c>
      <c r="I1528" s="21">
        <f t="shared" si="17"/>
        <v>0</v>
      </c>
      <c r="J1528" s="22">
        <f>[1]SUMMARY!N1529</f>
        <v>2355</v>
      </c>
      <c r="K1528" s="23">
        <f t="shared" si="16"/>
        <v>0</v>
      </c>
      <c r="L1528" s="8"/>
      <c r="M1528" s="8"/>
    </row>
    <row r="1529" spans="1:13" x14ac:dyDescent="0.2">
      <c r="A1529" s="17" t="str">
        <f>[1]SUMMARY!A1530</f>
        <v>205</v>
      </c>
      <c r="B1529" s="17">
        <f>[1]SUMMARY!B1530</f>
        <v>65</v>
      </c>
      <c r="C1529" s="17">
        <f>[1]SUMMARY!C1530</f>
        <v>15</v>
      </c>
      <c r="D1529" s="25" t="str">
        <f>[1]SUMMARY!D1530</f>
        <v>THUNDERER (THAI)</v>
      </c>
      <c r="E1529" s="25" t="str">
        <f>[1]SUMMARY!E1530</f>
        <v>R301 MACH II</v>
      </c>
      <c r="F1529" s="20"/>
      <c r="G1529" s="20"/>
      <c r="H1529" s="20"/>
      <c r="I1529" s="21">
        <f t="shared" si="17"/>
        <v>0</v>
      </c>
      <c r="J1529" s="22">
        <f>[1]SUMMARY!N1530</f>
        <v>2620.5</v>
      </c>
      <c r="K1529" s="23">
        <f t="shared" si="16"/>
        <v>0</v>
      </c>
      <c r="L1529" s="8"/>
      <c r="M1529" s="8"/>
    </row>
    <row r="1530" spans="1:13" x14ac:dyDescent="0.2">
      <c r="A1530" s="17" t="str">
        <f>[1]SUMMARY!A1531</f>
        <v>205</v>
      </c>
      <c r="B1530" s="17">
        <f>[1]SUMMARY!B1531</f>
        <v>70</v>
      </c>
      <c r="C1530" s="17">
        <f>[1]SUMMARY!C1531</f>
        <v>15</v>
      </c>
      <c r="D1530" s="25" t="str">
        <f>[1]SUMMARY!D1531</f>
        <v>THUNDERER (THAI)</v>
      </c>
      <c r="E1530" s="25" t="str">
        <f>[1]SUMMARY!E1531</f>
        <v>R402</v>
      </c>
      <c r="F1530" s="20"/>
      <c r="G1530" s="20">
        <v>10</v>
      </c>
      <c r="H1530" s="20">
        <v>10</v>
      </c>
      <c r="I1530" s="21">
        <f t="shared" si="17"/>
        <v>0</v>
      </c>
      <c r="J1530" s="22">
        <f>[1]SUMMARY!N1531</f>
        <v>3127.5</v>
      </c>
      <c r="K1530" s="23">
        <f t="shared" si="16"/>
        <v>0</v>
      </c>
      <c r="L1530" s="8"/>
      <c r="M1530" s="8"/>
    </row>
    <row r="1531" spans="1:13" x14ac:dyDescent="0.2">
      <c r="A1531" s="17" t="str">
        <f>[1]SUMMARY!A1532</f>
        <v>215</v>
      </c>
      <c r="B1531" s="17">
        <f>[1]SUMMARY!B1532</f>
        <v>70</v>
      </c>
      <c r="C1531" s="17" t="str">
        <f>[1]SUMMARY!C1532</f>
        <v>15C</v>
      </c>
      <c r="D1531" s="25" t="str">
        <f>[1]SUMMARY!D1532</f>
        <v>THUNDERER (THAI)</v>
      </c>
      <c r="E1531" s="25" t="str">
        <f>[1]SUMMARY!E1532</f>
        <v>R402 8PR</v>
      </c>
      <c r="F1531" s="20"/>
      <c r="G1531" s="20">
        <v>6</v>
      </c>
      <c r="H1531" s="20">
        <v>6</v>
      </c>
      <c r="I1531" s="21">
        <f t="shared" si="17"/>
        <v>0</v>
      </c>
      <c r="J1531" s="22">
        <f>[1]SUMMARY!N1532</f>
        <v>3777</v>
      </c>
      <c r="K1531" s="23">
        <f t="shared" si="16"/>
        <v>0</v>
      </c>
      <c r="L1531" s="8"/>
      <c r="M1531" s="8"/>
    </row>
    <row r="1532" spans="1:13" x14ac:dyDescent="0.2">
      <c r="A1532" s="17" t="str">
        <f>[1]SUMMARY!A1533</f>
        <v>235</v>
      </c>
      <c r="B1532" s="17">
        <f>[1]SUMMARY!B1533</f>
        <v>70</v>
      </c>
      <c r="C1532" s="17">
        <f>[1]SUMMARY!C1533</f>
        <v>15</v>
      </c>
      <c r="D1532" s="25" t="str">
        <f>[1]SUMMARY!D1533</f>
        <v>THUNDERER (THAI)</v>
      </c>
      <c r="E1532" s="25" t="str">
        <f>[1]SUMMARY!E1533</f>
        <v>HT</v>
      </c>
      <c r="F1532" s="20"/>
      <c r="G1532" s="20"/>
      <c r="H1532" s="20"/>
      <c r="I1532" s="21">
        <f t="shared" si="17"/>
        <v>0</v>
      </c>
      <c r="J1532" s="22">
        <f>[1]SUMMARY!N1533</f>
        <v>4900</v>
      </c>
      <c r="K1532" s="23">
        <f t="shared" si="16"/>
        <v>0</v>
      </c>
      <c r="L1532" s="8"/>
      <c r="M1532" s="8"/>
    </row>
    <row r="1533" spans="1:13" x14ac:dyDescent="0.2">
      <c r="A1533" s="17" t="str">
        <f>[1]SUMMARY!A1534</f>
        <v>235</v>
      </c>
      <c r="B1533" s="17">
        <f>[1]SUMMARY!B1534</f>
        <v>75</v>
      </c>
      <c r="C1533" s="17">
        <f>[1]SUMMARY!C1534</f>
        <v>15</v>
      </c>
      <c r="D1533" s="25" t="str">
        <f>[1]SUMMARY!D1534</f>
        <v>THUNDERER (THAI)</v>
      </c>
      <c r="E1533" s="25" t="str">
        <f>[1]SUMMARY!E1534</f>
        <v>R404 A/T</v>
      </c>
      <c r="F1533" s="20"/>
      <c r="G1533" s="20"/>
      <c r="H1533" s="20"/>
      <c r="I1533" s="21">
        <f t="shared" si="17"/>
        <v>0</v>
      </c>
      <c r="J1533" s="22">
        <f>[1]SUMMARY!N1534</f>
        <v>4354</v>
      </c>
      <c r="K1533" s="23">
        <f t="shared" si="16"/>
        <v>0</v>
      </c>
      <c r="L1533" s="8"/>
      <c r="M1533" s="8"/>
    </row>
    <row r="1534" spans="1:13" x14ac:dyDescent="0.2">
      <c r="A1534" s="17" t="str">
        <f>[1]SUMMARY!A1535</f>
        <v>185</v>
      </c>
      <c r="B1534" s="17">
        <f>[1]SUMMARY!B1535</f>
        <v>55</v>
      </c>
      <c r="C1534" s="17">
        <f>[1]SUMMARY!C1535</f>
        <v>16</v>
      </c>
      <c r="D1534" s="25" t="str">
        <f>[1]SUMMARY!D1535</f>
        <v>THUNDERER (THAI)</v>
      </c>
      <c r="E1534" s="25" t="str">
        <f>[1]SUMMARY!E1535</f>
        <v>RA01</v>
      </c>
      <c r="F1534" s="20"/>
      <c r="G1534" s="20">
        <v>4</v>
      </c>
      <c r="H1534" s="20">
        <v>4</v>
      </c>
      <c r="I1534" s="21">
        <f t="shared" si="17"/>
        <v>0</v>
      </c>
      <c r="J1534" s="22">
        <f>[1]SUMMARY!N1535</f>
        <v>2332.5</v>
      </c>
      <c r="K1534" s="23">
        <f t="shared" si="16"/>
        <v>0</v>
      </c>
      <c r="L1534" s="8"/>
      <c r="M1534" s="8"/>
    </row>
    <row r="1535" spans="1:13" x14ac:dyDescent="0.2">
      <c r="A1535" s="17" t="str">
        <f>[1]SUMMARY!A1536</f>
        <v>205</v>
      </c>
      <c r="B1535" s="17">
        <f>[1]SUMMARY!B1536</f>
        <v>60</v>
      </c>
      <c r="C1535" s="17">
        <f>[1]SUMMARY!C1536</f>
        <v>16</v>
      </c>
      <c r="D1535" s="25" t="str">
        <f>[1]SUMMARY!D1536</f>
        <v>THUNDERER (THAI)</v>
      </c>
      <c r="E1535" s="25" t="str">
        <f>[1]SUMMARY!E1536</f>
        <v>R201</v>
      </c>
      <c r="F1535" s="20"/>
      <c r="G1535" s="20">
        <v>8</v>
      </c>
      <c r="H1535" s="20">
        <v>8</v>
      </c>
      <c r="I1535" s="21">
        <f t="shared" si="17"/>
        <v>0</v>
      </c>
      <c r="J1535" s="22">
        <f>[1]SUMMARY!N1536</f>
        <v>2907.5</v>
      </c>
      <c r="K1535" s="23">
        <f t="shared" si="16"/>
        <v>0</v>
      </c>
      <c r="L1535" s="8"/>
      <c r="M1535" s="8"/>
    </row>
    <row r="1536" spans="1:13" x14ac:dyDescent="0.2">
      <c r="A1536" s="17" t="str">
        <f>[1]SUMMARY!A1537</f>
        <v>235</v>
      </c>
      <c r="B1536" s="17">
        <f>[1]SUMMARY!B1537</f>
        <v>60</v>
      </c>
      <c r="C1536" s="17">
        <f>[1]SUMMARY!C1537</f>
        <v>16</v>
      </c>
      <c r="D1536" s="25" t="str">
        <f>[1]SUMMARY!D1537</f>
        <v>THUNDERER (THAI)</v>
      </c>
      <c r="E1536" s="25" t="str">
        <f>[1]SUMMARY!E1537</f>
        <v>HT</v>
      </c>
      <c r="F1536" s="20"/>
      <c r="G1536" s="20"/>
      <c r="H1536" s="20"/>
      <c r="I1536" s="21">
        <f t="shared" si="17"/>
        <v>0</v>
      </c>
      <c r="J1536" s="22">
        <f>[1]SUMMARY!N1537</f>
        <v>4300</v>
      </c>
      <c r="K1536" s="23">
        <f t="shared" si="16"/>
        <v>0</v>
      </c>
      <c r="L1536" s="8"/>
      <c r="M1536" s="8"/>
    </row>
    <row r="1537" spans="1:13" x14ac:dyDescent="0.2">
      <c r="A1537" s="17" t="str">
        <f>[1]SUMMARY!A1538</f>
        <v>215</v>
      </c>
      <c r="B1537" s="17">
        <f>[1]SUMMARY!B1538</f>
        <v>70</v>
      </c>
      <c r="C1537" s="17">
        <f>[1]SUMMARY!C1538</f>
        <v>16</v>
      </c>
      <c r="D1537" s="25" t="str">
        <f>[1]SUMMARY!D1538</f>
        <v>THUNDERER (THAI)</v>
      </c>
      <c r="E1537" s="25" t="str">
        <f>[1]SUMMARY!E1538</f>
        <v>R601</v>
      </c>
      <c r="F1537" s="20"/>
      <c r="G1537" s="20">
        <v>13</v>
      </c>
      <c r="H1537" s="20">
        <v>13</v>
      </c>
      <c r="I1537" s="21">
        <f t="shared" si="17"/>
        <v>0</v>
      </c>
      <c r="J1537" s="22">
        <f>[1]SUMMARY!N1538</f>
        <v>3670</v>
      </c>
      <c r="K1537" s="23">
        <f t="shared" si="16"/>
        <v>0</v>
      </c>
      <c r="L1537" s="8"/>
      <c r="M1537" s="8"/>
    </row>
    <row r="1538" spans="1:13" x14ac:dyDescent="0.2">
      <c r="A1538" s="17" t="str">
        <f>[1]SUMMARY!A1539</f>
        <v>205</v>
      </c>
      <c r="B1538" s="17">
        <f>[1]SUMMARY!B1539</f>
        <v>75</v>
      </c>
      <c r="C1538" s="17">
        <f>[1]SUMMARY!C1539</f>
        <v>16</v>
      </c>
      <c r="D1538" s="25" t="str">
        <f>[1]SUMMARY!D1539</f>
        <v>THUNDERER (THAI)</v>
      </c>
      <c r="E1538" s="25" t="str">
        <f>[1]SUMMARY!E1539</f>
        <v>RANGER R402</v>
      </c>
      <c r="F1538" s="20"/>
      <c r="G1538" s="20">
        <v>2</v>
      </c>
      <c r="H1538" s="20">
        <v>2</v>
      </c>
      <c r="I1538" s="21">
        <f t="shared" si="17"/>
        <v>0</v>
      </c>
      <c r="J1538" s="22">
        <f>[1]SUMMARY!N1539</f>
        <v>4252.5</v>
      </c>
      <c r="K1538" s="23">
        <f t="shared" si="16"/>
        <v>0</v>
      </c>
      <c r="L1538" s="8"/>
      <c r="M1538" s="8"/>
    </row>
    <row r="1539" spans="1:13" x14ac:dyDescent="0.2">
      <c r="A1539" s="17" t="str">
        <f>[1]SUMMARY!A1540</f>
        <v>205</v>
      </c>
      <c r="B1539" s="17">
        <f>[1]SUMMARY!B1540</f>
        <v>45</v>
      </c>
      <c r="C1539" s="17">
        <f>[1]SUMMARY!C1540</f>
        <v>17</v>
      </c>
      <c r="D1539" s="25" t="str">
        <f>[1]SUMMARY!D1540</f>
        <v>THUNDERER (THAI)</v>
      </c>
      <c r="E1539" s="25" t="str">
        <f>[1]SUMMARY!E1540</f>
        <v>R702</v>
      </c>
      <c r="F1539" s="20"/>
      <c r="G1539" s="20">
        <v>4</v>
      </c>
      <c r="H1539" s="20">
        <v>4</v>
      </c>
      <c r="I1539" s="21">
        <f t="shared" si="17"/>
        <v>0</v>
      </c>
      <c r="J1539" s="22">
        <f>[1]SUMMARY!N1540</f>
        <v>2580</v>
      </c>
      <c r="K1539" s="23">
        <f t="shared" si="16"/>
        <v>0</v>
      </c>
      <c r="L1539" s="8"/>
      <c r="M1539" s="8"/>
    </row>
    <row r="1540" spans="1:13" x14ac:dyDescent="0.2">
      <c r="A1540" s="17" t="str">
        <f>[1]SUMMARY!A1541</f>
        <v>215</v>
      </c>
      <c r="B1540" s="17">
        <f>[1]SUMMARY!B1541</f>
        <v>50</v>
      </c>
      <c r="C1540" s="17">
        <f>[1]SUMMARY!C1541</f>
        <v>17</v>
      </c>
      <c r="D1540" s="25" t="str">
        <f>[1]SUMMARY!D1541</f>
        <v>THUNDERER (THAI)</v>
      </c>
      <c r="E1540" s="25" t="str">
        <f>[1]SUMMARY!E1541</f>
        <v>R302</v>
      </c>
      <c r="F1540" s="20"/>
      <c r="G1540" s="20"/>
      <c r="H1540" s="20"/>
      <c r="I1540" s="21">
        <f t="shared" si="17"/>
        <v>0</v>
      </c>
      <c r="J1540" s="22">
        <f>[1]SUMMARY!N1541</f>
        <v>2951.2</v>
      </c>
      <c r="K1540" s="23">
        <f t="shared" si="16"/>
        <v>0</v>
      </c>
      <c r="L1540" s="8"/>
      <c r="M1540" s="8"/>
    </row>
    <row r="1541" spans="1:13" x14ac:dyDescent="0.2">
      <c r="A1541" s="17" t="str">
        <f>[1]SUMMARY!A1542</f>
        <v>225</v>
      </c>
      <c r="B1541" s="17">
        <f>[1]SUMMARY!B1542</f>
        <v>45</v>
      </c>
      <c r="C1541" s="17">
        <f>[1]SUMMARY!C1542</f>
        <v>18</v>
      </c>
      <c r="D1541" s="25" t="str">
        <f>[1]SUMMARY!D1542</f>
        <v xml:space="preserve">THUNDERER </v>
      </c>
      <c r="E1541" s="25" t="str">
        <f>[1]SUMMARY!E1542</f>
        <v>MACH III R702</v>
      </c>
      <c r="F1541" s="20"/>
      <c r="G1541" s="20"/>
      <c r="H1541" s="20"/>
      <c r="I1541" s="21">
        <f t="shared" si="17"/>
        <v>0</v>
      </c>
      <c r="J1541" s="22">
        <f>[1]SUMMARY!N1542</f>
        <v>3675</v>
      </c>
      <c r="K1541" s="23">
        <f t="shared" si="16"/>
        <v>0</v>
      </c>
      <c r="L1541" s="8"/>
      <c r="M1541" s="8"/>
    </row>
    <row r="1542" spans="1:13" x14ac:dyDescent="0.2">
      <c r="A1542" s="17" t="str">
        <f>[1]SUMMARY!A1543</f>
        <v>265</v>
      </c>
      <c r="B1542" s="17">
        <f>[1]SUMMARY!B1543</f>
        <v>60</v>
      </c>
      <c r="C1542" s="17">
        <f>[1]SUMMARY!C1543</f>
        <v>18</v>
      </c>
      <c r="D1542" s="25" t="str">
        <f>[1]SUMMARY!D1543</f>
        <v>THUNDERER (THAI)</v>
      </c>
      <c r="E1542" s="25" t="str">
        <f>[1]SUMMARY!E1543</f>
        <v>HT603</v>
      </c>
      <c r="F1542" s="20"/>
      <c r="G1542" s="20">
        <v>4</v>
      </c>
      <c r="H1542" s="20">
        <v>4</v>
      </c>
      <c r="I1542" s="21">
        <f t="shared" si="17"/>
        <v>0</v>
      </c>
      <c r="J1542" s="22">
        <f>[1]SUMMARY!N1543</f>
        <v>5610</v>
      </c>
      <c r="K1542" s="23">
        <f t="shared" si="16"/>
        <v>0</v>
      </c>
      <c r="L1542" s="8"/>
      <c r="M1542" s="8"/>
    </row>
    <row r="1543" spans="1:13" x14ac:dyDescent="0.2">
      <c r="A1543" s="17" t="str">
        <f>[1]SUMMARY!A1544</f>
        <v>265</v>
      </c>
      <c r="B1543" s="17">
        <f>[1]SUMMARY!B1544</f>
        <v>50</v>
      </c>
      <c r="C1543" s="17">
        <f>[1]SUMMARY!C1544</f>
        <v>20</v>
      </c>
      <c r="D1543" s="25" t="str">
        <f>[1]SUMMARY!D1544</f>
        <v>THUNDERER (THAI)</v>
      </c>
      <c r="E1543" s="25" t="str">
        <f>[1]SUMMARY!E1544</f>
        <v>R601</v>
      </c>
      <c r="F1543" s="20"/>
      <c r="G1543" s="20">
        <v>4</v>
      </c>
      <c r="H1543" s="20">
        <v>4</v>
      </c>
      <c r="I1543" s="21">
        <f t="shared" si="17"/>
        <v>0</v>
      </c>
      <c r="J1543" s="22">
        <f>[1]SUMMARY!N1544</f>
        <v>5481</v>
      </c>
      <c r="K1543" s="23">
        <f t="shared" si="16"/>
        <v>0</v>
      </c>
      <c r="L1543" s="28">
        <f>SUM(K1523:K1543)</f>
        <v>0</v>
      </c>
      <c r="M1543" s="29" t="s">
        <v>80</v>
      </c>
    </row>
    <row r="1544" spans="1:13" x14ac:dyDescent="0.2">
      <c r="A1544" s="17" t="str">
        <f>[1]SUMMARY!A1545</f>
        <v>175</v>
      </c>
      <c r="B1544" s="17">
        <f>[1]SUMMARY!B1545</f>
        <v>65</v>
      </c>
      <c r="C1544" s="17">
        <f>[1]SUMMARY!C1545</f>
        <v>14</v>
      </c>
      <c r="D1544" s="25" t="str">
        <f>[1]SUMMARY!D1545</f>
        <v>TRIANGLE</v>
      </c>
      <c r="E1544" s="25" t="str">
        <f>[1]SUMMARY!E1545</f>
        <v>TE307 98H RELIAXTOURING</v>
      </c>
      <c r="F1544" s="20"/>
      <c r="G1544" s="20"/>
      <c r="H1544" s="20"/>
      <c r="I1544" s="21">
        <f t="shared" si="17"/>
        <v>0</v>
      </c>
      <c r="J1544" s="22">
        <f>[1]SUMMARY!N1545</f>
        <v>1500</v>
      </c>
      <c r="K1544" s="23">
        <f t="shared" si="16"/>
        <v>0</v>
      </c>
      <c r="L1544" s="8"/>
      <c r="M1544" s="8"/>
    </row>
    <row r="1545" spans="1:13" x14ac:dyDescent="0.2">
      <c r="A1545" s="17" t="str">
        <f>[1]SUMMARY!A1546</f>
        <v>195</v>
      </c>
      <c r="B1545" s="17">
        <f>[1]SUMMARY!B1546</f>
        <v>50</v>
      </c>
      <c r="C1545" s="17">
        <f>[1]SUMMARY!C1546</f>
        <v>15</v>
      </c>
      <c r="D1545" s="25" t="str">
        <f>[1]SUMMARY!D1546</f>
        <v>TRIANGLE</v>
      </c>
      <c r="E1545" s="25" t="str">
        <f>[1]SUMMARY!E1546</f>
        <v>TE301 82V PROTRACT</v>
      </c>
      <c r="F1545" s="20"/>
      <c r="G1545" s="20">
        <v>4</v>
      </c>
      <c r="H1545" s="20"/>
      <c r="I1545" s="21">
        <f t="shared" si="17"/>
        <v>4</v>
      </c>
      <c r="J1545" s="22">
        <f>[1]SUMMARY!N1546</f>
        <v>1995.57</v>
      </c>
      <c r="K1545" s="23">
        <f t="shared" si="16"/>
        <v>7982.28</v>
      </c>
      <c r="L1545" s="8"/>
      <c r="M1545" s="8"/>
    </row>
    <row r="1546" spans="1:13" x14ac:dyDescent="0.2">
      <c r="A1546" s="17" t="str">
        <f>[1]SUMMARY!A1547</f>
        <v>195</v>
      </c>
      <c r="B1546" s="17">
        <f>[1]SUMMARY!B1547</f>
        <v>55</v>
      </c>
      <c r="C1546" s="17">
        <f>[1]SUMMARY!C1547</f>
        <v>15</v>
      </c>
      <c r="D1546" s="25" t="str">
        <f>[1]SUMMARY!D1547</f>
        <v>TRIANGLE</v>
      </c>
      <c r="E1546" s="25" t="str">
        <f>[1]SUMMARY!E1547</f>
        <v>TE307 85V RELIAXTOURING</v>
      </c>
      <c r="F1546" s="20"/>
      <c r="G1546" s="20">
        <v>4</v>
      </c>
      <c r="H1546" s="20"/>
      <c r="I1546" s="21">
        <f t="shared" si="17"/>
        <v>4</v>
      </c>
      <c r="J1546" s="22">
        <f>[1]SUMMARY!N1547</f>
        <v>1939.14</v>
      </c>
      <c r="K1546" s="23">
        <f t="shared" si="16"/>
        <v>7756.56</v>
      </c>
      <c r="L1546" s="8"/>
      <c r="M1546" s="8"/>
    </row>
    <row r="1547" spans="1:13" x14ac:dyDescent="0.2">
      <c r="A1547" s="17" t="str">
        <f>[1]SUMMARY!A1548</f>
        <v>215</v>
      </c>
      <c r="B1547" s="17">
        <f>[1]SUMMARY!B1548</f>
        <v>70</v>
      </c>
      <c r="C1547" s="17" t="str">
        <f>[1]SUMMARY!C1548</f>
        <v>15C</v>
      </c>
      <c r="D1547" s="25" t="str">
        <f>[1]SUMMARY!D1548</f>
        <v>TRIANGLE</v>
      </c>
      <c r="E1547" s="25" t="str">
        <f>[1]SUMMARY!E1548</f>
        <v>TR652 8PR 109/107R</v>
      </c>
      <c r="F1547" s="20"/>
      <c r="G1547" s="20">
        <v>4</v>
      </c>
      <c r="H1547" s="20">
        <v>4</v>
      </c>
      <c r="I1547" s="21">
        <f t="shared" si="17"/>
        <v>0</v>
      </c>
      <c r="J1547" s="22">
        <f>[1]SUMMARY!N1548</f>
        <v>3150</v>
      </c>
      <c r="K1547" s="23">
        <f t="shared" si="16"/>
        <v>0</v>
      </c>
      <c r="L1547" s="8"/>
      <c r="M1547" s="8"/>
    </row>
    <row r="1548" spans="1:13" x14ac:dyDescent="0.2">
      <c r="A1548" s="17" t="str">
        <f>[1]SUMMARY!A1549</f>
        <v>205</v>
      </c>
      <c r="B1548" s="17">
        <f>[1]SUMMARY!B1549</f>
        <v>70</v>
      </c>
      <c r="C1548" s="17" t="str">
        <f>[1]SUMMARY!C1549</f>
        <v>15C</v>
      </c>
      <c r="D1548" s="25" t="str">
        <f>[1]SUMMARY!D1549</f>
        <v>TRIANGLE</v>
      </c>
      <c r="E1548" s="25" t="str">
        <f>[1]SUMMARY!E1549</f>
        <v>8PR TR652 106/104R</v>
      </c>
      <c r="F1548" s="20"/>
      <c r="G1548" s="20"/>
      <c r="H1548" s="20"/>
      <c r="I1548" s="21">
        <f t="shared" si="17"/>
        <v>0</v>
      </c>
      <c r="J1548" s="22">
        <f>[1]SUMMARY!N1549</f>
        <v>2950</v>
      </c>
      <c r="K1548" s="23">
        <f t="shared" si="16"/>
        <v>0</v>
      </c>
      <c r="L1548" s="8"/>
      <c r="M1548" s="8"/>
    </row>
    <row r="1549" spans="1:13" x14ac:dyDescent="0.2">
      <c r="A1549" s="17" t="str">
        <f>[1]SUMMARY!A1550</f>
        <v>205</v>
      </c>
      <c r="B1549" s="17">
        <f>[1]SUMMARY!B1550</f>
        <v>50</v>
      </c>
      <c r="C1549" s="17">
        <f>[1]SUMMARY!C1550</f>
        <v>16</v>
      </c>
      <c r="D1549" s="25" t="str">
        <f>[1]SUMMARY!D1550</f>
        <v>TRIANGLE</v>
      </c>
      <c r="E1549" s="25" t="str">
        <f>[1]SUMMARY!E1550</f>
        <v>TE307 91W RELIAXTOURING</v>
      </c>
      <c r="F1549" s="20"/>
      <c r="G1549" s="20">
        <v>4</v>
      </c>
      <c r="H1549" s="20">
        <v>4</v>
      </c>
      <c r="I1549" s="21">
        <f t="shared" si="17"/>
        <v>0</v>
      </c>
      <c r="J1549" s="22">
        <f>[1]SUMMARY!N1550</f>
        <v>2375.19</v>
      </c>
      <c r="K1549" s="23">
        <f t="shared" si="16"/>
        <v>0</v>
      </c>
      <c r="L1549" s="8"/>
      <c r="M1549" s="8"/>
    </row>
    <row r="1550" spans="1:13" x14ac:dyDescent="0.2">
      <c r="A1550" s="17" t="str">
        <f>[1]SUMMARY!A1551</f>
        <v>215</v>
      </c>
      <c r="B1550" s="17">
        <f>[1]SUMMARY!B1551</f>
        <v>65</v>
      </c>
      <c r="C1550" s="17">
        <f>[1]SUMMARY!C1551</f>
        <v>16</v>
      </c>
      <c r="D1550" s="25" t="str">
        <f>[1]SUMMARY!D1551</f>
        <v>TRIANGLE</v>
      </c>
      <c r="E1550" s="25" t="str">
        <f>[1]SUMMARY!E1551</f>
        <v>TR259 102V</v>
      </c>
      <c r="F1550" s="20"/>
      <c r="G1550" s="20">
        <v>4</v>
      </c>
      <c r="H1550" s="20"/>
      <c r="I1550" s="21">
        <f t="shared" si="17"/>
        <v>4</v>
      </c>
      <c r="J1550" s="22">
        <f>[1]SUMMARY!N1551</f>
        <v>2813.61</v>
      </c>
      <c r="K1550" s="23">
        <f t="shared" si="16"/>
        <v>11254.44</v>
      </c>
      <c r="L1550" s="8"/>
      <c r="M1550" s="8"/>
    </row>
    <row r="1551" spans="1:13" x14ac:dyDescent="0.2">
      <c r="A1551" s="17" t="str">
        <f>[1]SUMMARY!A1552</f>
        <v>215</v>
      </c>
      <c r="B1551" s="17">
        <f>[1]SUMMARY!B1552</f>
        <v>45</v>
      </c>
      <c r="C1551" s="17">
        <f>[1]SUMMARY!C1552</f>
        <v>17</v>
      </c>
      <c r="D1551" s="25" t="str">
        <f>[1]SUMMARY!D1552</f>
        <v>TRIANGLE</v>
      </c>
      <c r="E1551" s="25" t="str">
        <f>[1]SUMMARY!E1552</f>
        <v>TR968 91V</v>
      </c>
      <c r="F1551" s="20"/>
      <c r="G1551" s="20">
        <v>4</v>
      </c>
      <c r="H1551" s="20"/>
      <c r="I1551" s="21">
        <f t="shared" si="17"/>
        <v>4</v>
      </c>
      <c r="J1551" s="22">
        <f>[1]SUMMARY!N1552</f>
        <v>2441.88</v>
      </c>
      <c r="K1551" s="23">
        <f t="shared" si="16"/>
        <v>9767.52</v>
      </c>
      <c r="L1551" s="8"/>
      <c r="M1551" s="8"/>
    </row>
    <row r="1552" spans="1:13" x14ac:dyDescent="0.2">
      <c r="A1552" s="17" t="str">
        <f>[1]SUMMARY!A1553</f>
        <v>215</v>
      </c>
      <c r="B1552" s="17">
        <f>[1]SUMMARY!B1553</f>
        <v>55</v>
      </c>
      <c r="C1552" s="17">
        <f>[1]SUMMARY!C1553</f>
        <v>17</v>
      </c>
      <c r="D1552" s="25" t="str">
        <f>[1]SUMMARY!D1553</f>
        <v>TRIANGLE</v>
      </c>
      <c r="E1552" s="25" t="str">
        <f>[1]SUMMARY!E1553</f>
        <v>TH202 98Y EFFEXSPORT</v>
      </c>
      <c r="F1552" s="20"/>
      <c r="G1552" s="20">
        <v>4</v>
      </c>
      <c r="H1552" s="20"/>
      <c r="I1552" s="21">
        <f t="shared" si="17"/>
        <v>4</v>
      </c>
      <c r="J1552" s="22">
        <f>[1]SUMMARY!N1553</f>
        <v>2988.23</v>
      </c>
      <c r="K1552" s="23">
        <f t="shared" si="16"/>
        <v>11952.92</v>
      </c>
      <c r="L1552" s="28">
        <f>SUM(K1544:K1552)</f>
        <v>48713.72</v>
      </c>
      <c r="M1552" s="29" t="s">
        <v>81</v>
      </c>
    </row>
    <row r="1553" spans="1:13" x14ac:dyDescent="0.2">
      <c r="A1553" s="17" t="str">
        <f>[1]SUMMARY!A1554</f>
        <v>195</v>
      </c>
      <c r="B1553" s="17">
        <f>[1]SUMMARY!B1554</f>
        <v>55</v>
      </c>
      <c r="C1553" s="17">
        <f>[1]SUMMARY!C1554</f>
        <v>16</v>
      </c>
      <c r="D1553" s="25" t="str">
        <f>[1]SUMMARY!D1554</f>
        <v>TOYO</v>
      </c>
      <c r="E1553" s="25" t="str">
        <f>[1]SUMMARY!E1554</f>
        <v>PROXES TR1</v>
      </c>
      <c r="F1553" s="20"/>
      <c r="G1553" s="20"/>
      <c r="H1553" s="20"/>
      <c r="I1553" s="21">
        <f t="shared" si="17"/>
        <v>0</v>
      </c>
      <c r="J1553" s="22">
        <f>[1]SUMMARY!N1554</f>
        <v>3825</v>
      </c>
      <c r="K1553" s="23">
        <f t="shared" si="16"/>
        <v>0</v>
      </c>
      <c r="L1553" s="8"/>
      <c r="M1553" s="8"/>
    </row>
    <row r="1554" spans="1:13" x14ac:dyDescent="0.2">
      <c r="A1554" s="17" t="str">
        <f>[1]SUMMARY!A1555</f>
        <v>265</v>
      </c>
      <c r="B1554" s="17">
        <f>[1]SUMMARY!B1555</f>
        <v>65</v>
      </c>
      <c r="C1554" s="17">
        <f>[1]SUMMARY!C1555</f>
        <v>17</v>
      </c>
      <c r="D1554" s="25" t="str">
        <f>[1]SUMMARY!D1555</f>
        <v>TOYO</v>
      </c>
      <c r="E1554" s="25" t="str">
        <f>[1]SUMMARY!E1555</f>
        <v>OPEN COUNTRY R/T</v>
      </c>
      <c r="F1554" s="20"/>
      <c r="G1554" s="20">
        <v>24</v>
      </c>
      <c r="H1554" s="20">
        <v>20</v>
      </c>
      <c r="I1554" s="21">
        <f t="shared" si="17"/>
        <v>4</v>
      </c>
      <c r="J1554" s="22">
        <f>[1]SUMMARY!N1555</f>
        <v>9724</v>
      </c>
      <c r="K1554" s="23">
        <f t="shared" si="16"/>
        <v>38896</v>
      </c>
      <c r="L1554" s="8"/>
      <c r="M1554" s="8"/>
    </row>
    <row r="1555" spans="1:13" x14ac:dyDescent="0.2">
      <c r="A1555" s="17" t="str">
        <f>[1]SUMMARY!A1556</f>
        <v>245</v>
      </c>
      <c r="B1555" s="17">
        <f>[1]SUMMARY!B1556</f>
        <v>60</v>
      </c>
      <c r="C1555" s="17">
        <f>[1]SUMMARY!C1556</f>
        <v>18</v>
      </c>
      <c r="D1555" s="25" t="str">
        <f>[1]SUMMARY!D1556</f>
        <v>TOYO</v>
      </c>
      <c r="E1555" s="25" t="str">
        <f>[1]SUMMARY!E1556</f>
        <v>OPEN COUNTRY R/T</v>
      </c>
      <c r="F1555" s="20"/>
      <c r="G1555" s="20">
        <v>6</v>
      </c>
      <c r="H1555" s="20">
        <v>6</v>
      </c>
      <c r="I1555" s="21">
        <f t="shared" si="17"/>
        <v>0</v>
      </c>
      <c r="J1555" s="22">
        <f>[1]SUMMARY!N1556</f>
        <v>7800</v>
      </c>
      <c r="K1555" s="23">
        <f t="shared" si="16"/>
        <v>0</v>
      </c>
      <c r="L1555" s="8"/>
      <c r="M1555" s="8"/>
    </row>
    <row r="1556" spans="1:13" x14ac:dyDescent="0.2">
      <c r="A1556" s="17" t="str">
        <f>[1]SUMMARY!A1557</f>
        <v>265</v>
      </c>
      <c r="B1556" s="17">
        <f>[1]SUMMARY!B1557</f>
        <v>60</v>
      </c>
      <c r="C1556" s="17">
        <f>[1]SUMMARY!C1557</f>
        <v>18</v>
      </c>
      <c r="D1556" s="25" t="str">
        <f>[1]SUMMARY!D1557</f>
        <v>TOYO</v>
      </c>
      <c r="E1556" s="25" t="str">
        <f>[1]SUMMARY!E1557</f>
        <v>OPEN COUNTRY R/T</v>
      </c>
      <c r="F1556" s="20"/>
      <c r="G1556" s="20">
        <v>45</v>
      </c>
      <c r="H1556" s="20">
        <v>45</v>
      </c>
      <c r="I1556" s="21">
        <f t="shared" si="17"/>
        <v>0</v>
      </c>
      <c r="J1556" s="22">
        <f>[1]SUMMARY!N1557</f>
        <v>9724</v>
      </c>
      <c r="K1556" s="23">
        <f t="shared" si="16"/>
        <v>0</v>
      </c>
      <c r="L1556" s="8"/>
      <c r="M1556" s="8"/>
    </row>
    <row r="1557" spans="1:13" x14ac:dyDescent="0.2">
      <c r="A1557" s="17" t="str">
        <f>[1]SUMMARY!A1558</f>
        <v>265</v>
      </c>
      <c r="B1557" s="17">
        <f>[1]SUMMARY!B1558</f>
        <v>60</v>
      </c>
      <c r="C1557" s="17">
        <f>[1]SUMMARY!C1558</f>
        <v>18</v>
      </c>
      <c r="D1557" s="25" t="str">
        <f>[1]SUMMARY!D1558</f>
        <v>TOYO</v>
      </c>
      <c r="E1557" s="25" t="str">
        <f>[1]SUMMARY!E1558</f>
        <v>PXST3</v>
      </c>
      <c r="F1557" s="20"/>
      <c r="G1557" s="20">
        <v>5</v>
      </c>
      <c r="H1557" s="20">
        <v>5</v>
      </c>
      <c r="I1557" s="21">
        <f t="shared" si="17"/>
        <v>0</v>
      </c>
      <c r="J1557" s="22">
        <f>[1]SUMMARY!N1558</f>
        <v>7700</v>
      </c>
      <c r="K1557" s="23">
        <f t="shared" si="16"/>
        <v>0</v>
      </c>
      <c r="L1557" s="8"/>
      <c r="M1557" s="8"/>
    </row>
    <row r="1558" spans="1:13" x14ac:dyDescent="0.2">
      <c r="A1558" s="17" t="str">
        <f>[1]SUMMARY!A1559</f>
        <v>285</v>
      </c>
      <c r="B1558" s="17">
        <f>[1]SUMMARY!B1559</f>
        <v>60</v>
      </c>
      <c r="C1558" s="17">
        <f>[1]SUMMARY!C1559</f>
        <v>18</v>
      </c>
      <c r="D1558" s="25" t="str">
        <f>[1]SUMMARY!D1559</f>
        <v>TOYO</v>
      </c>
      <c r="E1558" s="25" t="str">
        <f>[1]SUMMARY!E1559</f>
        <v>OPRT</v>
      </c>
      <c r="F1558" s="20"/>
      <c r="G1558" s="20"/>
      <c r="H1558" s="20"/>
      <c r="I1558" s="21">
        <f t="shared" si="17"/>
        <v>0</v>
      </c>
      <c r="J1558" s="22">
        <f>[1]SUMMARY!N1559</f>
        <v>14200</v>
      </c>
      <c r="K1558" s="23">
        <f t="shared" si="16"/>
        <v>0</v>
      </c>
      <c r="L1558" s="8"/>
      <c r="M1558" s="8"/>
    </row>
    <row r="1559" spans="1:13" x14ac:dyDescent="0.2">
      <c r="A1559" s="17" t="str">
        <f>[1]SUMMARY!A1560</f>
        <v>285</v>
      </c>
      <c r="B1559" s="17">
        <f>[1]SUMMARY!B1560</f>
        <v>60</v>
      </c>
      <c r="C1559" s="17">
        <f>[1]SUMMARY!C1560</f>
        <v>18</v>
      </c>
      <c r="D1559" s="25" t="str">
        <f>[1]SUMMARY!D1560</f>
        <v>TOYO</v>
      </c>
      <c r="E1559" s="25" t="str">
        <f>[1]SUMMARY!E1560</f>
        <v>PXST3</v>
      </c>
      <c r="F1559" s="20"/>
      <c r="G1559" s="20">
        <v>8</v>
      </c>
      <c r="H1559" s="20">
        <v>8</v>
      </c>
      <c r="I1559" s="21">
        <f t="shared" si="17"/>
        <v>0</v>
      </c>
      <c r="J1559" s="22">
        <f>[1]SUMMARY!N1560</f>
        <v>10733</v>
      </c>
      <c r="K1559" s="23">
        <f t="shared" si="16"/>
        <v>0</v>
      </c>
      <c r="L1559" s="33"/>
      <c r="M1559" s="33"/>
    </row>
    <row r="1560" spans="1:13" x14ac:dyDescent="0.2">
      <c r="A1560" s="17" t="str">
        <f>[1]SUMMARY!A1561</f>
        <v>225</v>
      </c>
      <c r="B1560" s="17">
        <f>[1]SUMMARY!B1561</f>
        <v>50</v>
      </c>
      <c r="C1560" s="17">
        <f>[1]SUMMARY!C1561</f>
        <v>19</v>
      </c>
      <c r="D1560" s="25" t="str">
        <f>[1]SUMMARY!D1561</f>
        <v>TOYO</v>
      </c>
      <c r="E1560" s="25" t="str">
        <f>[1]SUMMARY!E1561</f>
        <v>PXST3</v>
      </c>
      <c r="F1560" s="20"/>
      <c r="G1560" s="20"/>
      <c r="H1560" s="20"/>
      <c r="I1560" s="21">
        <f t="shared" si="17"/>
        <v>0</v>
      </c>
      <c r="J1560" s="22">
        <f>[1]SUMMARY!N1561</f>
        <v>12800</v>
      </c>
      <c r="K1560" s="23">
        <f t="shared" si="16"/>
        <v>0</v>
      </c>
      <c r="L1560" s="28">
        <f>SUM(K1554:K1560)</f>
        <v>38896</v>
      </c>
      <c r="M1560" s="29" t="s">
        <v>82</v>
      </c>
    </row>
    <row r="1561" spans="1:13" x14ac:dyDescent="0.2">
      <c r="A1561" s="17" t="str">
        <f>[1]SUMMARY!A1562</f>
        <v>275</v>
      </c>
      <c r="B1561" s="17">
        <f>[1]SUMMARY!B1562</f>
        <v>55</v>
      </c>
      <c r="C1561" s="17">
        <f>[1]SUMMARY!C1562</f>
        <v>20</v>
      </c>
      <c r="D1561" s="25" t="str">
        <f>[1]SUMMARY!D1562</f>
        <v>TOYO</v>
      </c>
      <c r="E1561" s="25" t="str">
        <f>[1]SUMMARY!E1562</f>
        <v>OPEN COUNTRY WL</v>
      </c>
      <c r="F1561" s="20"/>
      <c r="G1561" s="20"/>
      <c r="H1561" s="20"/>
      <c r="I1561" s="21">
        <f t="shared" si="17"/>
        <v>0</v>
      </c>
      <c r="J1561" s="22">
        <f>[1]SUMMARY!N1562</f>
        <v>12388</v>
      </c>
      <c r="K1561" s="23">
        <f t="shared" si="16"/>
        <v>0</v>
      </c>
      <c r="L1561" s="33"/>
      <c r="M1561" s="33"/>
    </row>
    <row r="1562" spans="1:13" x14ac:dyDescent="0.2">
      <c r="A1562" s="17" t="str">
        <f>[1]SUMMARY!A1563</f>
        <v>275</v>
      </c>
      <c r="B1562" s="17">
        <f>[1]SUMMARY!B1563</f>
        <v>50</v>
      </c>
      <c r="C1562" s="17">
        <f>[1]SUMMARY!C1563</f>
        <v>22</v>
      </c>
      <c r="D1562" s="25" t="str">
        <f>[1]SUMMARY!D1563</f>
        <v>TOYO</v>
      </c>
      <c r="E1562" s="25" t="str">
        <f>[1]SUMMARY!E1563</f>
        <v>OPUT</v>
      </c>
      <c r="F1562" s="20"/>
      <c r="G1562" s="20">
        <v>2</v>
      </c>
      <c r="H1562" s="20">
        <v>2</v>
      </c>
      <c r="I1562" s="21">
        <f t="shared" si="17"/>
        <v>0</v>
      </c>
      <c r="J1562" s="22">
        <f>[1]SUMMARY!N1563</f>
        <v>16530.57</v>
      </c>
      <c r="K1562" s="23">
        <f t="shared" si="16"/>
        <v>0</v>
      </c>
      <c r="L1562" s="33"/>
      <c r="M1562" s="33"/>
    </row>
    <row r="1563" spans="1:13" x14ac:dyDescent="0.2">
      <c r="A1563" s="17" t="str">
        <f>[1]SUMMARY!A1564</f>
        <v>175</v>
      </c>
      <c r="B1563" s="17">
        <f>[1]SUMMARY!B1564</f>
        <v>70</v>
      </c>
      <c r="C1563" s="17">
        <f>[1]SUMMARY!C1564</f>
        <v>13</v>
      </c>
      <c r="D1563" s="25" t="str">
        <f>[1]SUMMARY!D1564</f>
        <v xml:space="preserve">TRAZANO </v>
      </c>
      <c r="E1563" s="25" t="str">
        <f>[1]SUMMARY!E1564</f>
        <v>RP08</v>
      </c>
      <c r="F1563" s="20"/>
      <c r="G1563" s="20"/>
      <c r="H1563" s="20"/>
      <c r="I1563" s="21">
        <f t="shared" si="17"/>
        <v>0</v>
      </c>
      <c r="J1563" s="22">
        <f>[1]SUMMARY!N1564</f>
        <v>1500.41</v>
      </c>
      <c r="K1563" s="23">
        <f t="shared" si="16"/>
        <v>0</v>
      </c>
      <c r="L1563" s="33"/>
      <c r="M1563" s="33"/>
    </row>
    <row r="1564" spans="1:13" x14ac:dyDescent="0.2">
      <c r="A1564" s="17" t="str">
        <f>[1]SUMMARY!A1565</f>
        <v>225</v>
      </c>
      <c r="B1564" s="17">
        <f>[1]SUMMARY!B1565</f>
        <v>70</v>
      </c>
      <c r="C1564" s="17">
        <f>[1]SUMMARY!C1565</f>
        <v>16</v>
      </c>
      <c r="D1564" s="25" t="str">
        <f>[1]SUMMARY!D1565</f>
        <v xml:space="preserve">TRAZANO </v>
      </c>
      <c r="E1564" s="25" t="str">
        <f>[1]SUMMARY!E1565</f>
        <v xml:space="preserve">SU 318 </v>
      </c>
      <c r="F1564" s="20"/>
      <c r="G1564" s="20"/>
      <c r="H1564" s="20"/>
      <c r="I1564" s="21">
        <f t="shared" si="17"/>
        <v>0</v>
      </c>
      <c r="J1564" s="22">
        <f>[1]SUMMARY!N1565</f>
        <v>3136.5</v>
      </c>
      <c r="K1564" s="23">
        <f t="shared" ref="K1564:K1818" si="18">J1564*I1564</f>
        <v>0</v>
      </c>
      <c r="L1564" s="28">
        <f>SUM(K1564)</f>
        <v>0</v>
      </c>
      <c r="M1564" s="29" t="s">
        <v>83</v>
      </c>
    </row>
    <row r="1565" spans="1:13" x14ac:dyDescent="0.2">
      <c r="A1565" s="17" t="str">
        <f>[1]SUMMARY!A1566</f>
        <v>175</v>
      </c>
      <c r="B1565" s="17">
        <f>[1]SUMMARY!B1566</f>
        <v>65</v>
      </c>
      <c r="C1565" s="17">
        <f>[1]SUMMARY!C1566</f>
        <v>14</v>
      </c>
      <c r="D1565" s="25" t="str">
        <f>[1]SUMMARY!D1566</f>
        <v>VEE RUBBER (THAI)</v>
      </c>
      <c r="E1565" s="25" t="str">
        <f>[1]SUMMARY!E1566</f>
        <v>CITY STAR V2</v>
      </c>
      <c r="F1565" s="20"/>
      <c r="G1565" s="20">
        <v>8</v>
      </c>
      <c r="H1565" s="20">
        <v>8</v>
      </c>
      <c r="I1565" s="21">
        <f t="shared" si="17"/>
        <v>0</v>
      </c>
      <c r="J1565" s="22">
        <f>[1]SUMMARY!N1566</f>
        <v>1730</v>
      </c>
      <c r="K1565" s="23">
        <f t="shared" si="18"/>
        <v>0</v>
      </c>
      <c r="L1565" s="8"/>
      <c r="M1565" s="8"/>
    </row>
    <row r="1566" spans="1:13" x14ac:dyDescent="0.2">
      <c r="A1566" s="17" t="str">
        <f>[1]SUMMARY!A1567</f>
        <v>185</v>
      </c>
      <c r="B1566" s="17">
        <f>[1]SUMMARY!B1567</f>
        <v>0</v>
      </c>
      <c r="C1566" s="17" t="str">
        <f>[1]SUMMARY!C1567</f>
        <v>14C</v>
      </c>
      <c r="D1566" s="25" t="str">
        <f>[1]SUMMARY!D1567</f>
        <v>VEE RUBBER (THAI)</v>
      </c>
      <c r="E1566" s="25" t="str">
        <f>[1]SUMMARY!E1567</f>
        <v>MARATHON 8PR</v>
      </c>
      <c r="F1566" s="20"/>
      <c r="G1566" s="20">
        <v>5</v>
      </c>
      <c r="H1566" s="20">
        <v>5</v>
      </c>
      <c r="I1566" s="21">
        <f t="shared" si="17"/>
        <v>0</v>
      </c>
      <c r="J1566" s="22">
        <f>[1]SUMMARY!N1567</f>
        <v>2450</v>
      </c>
      <c r="K1566" s="23">
        <f t="shared" si="18"/>
        <v>0</v>
      </c>
      <c r="L1566" s="8"/>
      <c r="M1566" s="8"/>
    </row>
    <row r="1567" spans="1:13" x14ac:dyDescent="0.2">
      <c r="A1567" s="17" t="str">
        <f>[1]SUMMARY!A1568</f>
        <v>195</v>
      </c>
      <c r="B1567" s="17">
        <f>[1]SUMMARY!B1568</f>
        <v>55</v>
      </c>
      <c r="C1567" s="17">
        <f>[1]SUMMARY!C1568</f>
        <v>15</v>
      </c>
      <c r="D1567" s="25" t="str">
        <f>[1]SUMMARY!D1568</f>
        <v>VEE RUBBER (THAI)</v>
      </c>
      <c r="E1567" s="25" t="str">
        <f>[1]SUMMARY!E1568</f>
        <v>VITRON</v>
      </c>
      <c r="F1567" s="20"/>
      <c r="G1567" s="20">
        <v>4</v>
      </c>
      <c r="H1567" s="20">
        <v>4</v>
      </c>
      <c r="I1567" s="21">
        <f t="shared" si="17"/>
        <v>0</v>
      </c>
      <c r="J1567" s="22">
        <f>[1]SUMMARY!N1568</f>
        <v>2150</v>
      </c>
      <c r="K1567" s="23">
        <f t="shared" si="18"/>
        <v>0</v>
      </c>
      <c r="L1567" s="8"/>
      <c r="M1567" s="8"/>
    </row>
    <row r="1568" spans="1:13" x14ac:dyDescent="0.2">
      <c r="A1568" s="17" t="str">
        <f>[1]SUMMARY!A1569</f>
        <v>205</v>
      </c>
      <c r="B1568" s="17">
        <f>[1]SUMMARY!B1569</f>
        <v>65</v>
      </c>
      <c r="C1568" s="17">
        <f>[1]SUMMARY!C1569</f>
        <v>15</v>
      </c>
      <c r="D1568" s="25" t="str">
        <f>[1]SUMMARY!D1569</f>
        <v>VEE RUBBER (THAI)</v>
      </c>
      <c r="E1568" s="25" t="str">
        <f>[1]SUMMARY!E1569</f>
        <v>VITRON</v>
      </c>
      <c r="F1568" s="20"/>
      <c r="G1568" s="20">
        <v>4</v>
      </c>
      <c r="H1568" s="20">
        <v>4</v>
      </c>
      <c r="I1568" s="21">
        <f t="shared" si="17"/>
        <v>0</v>
      </c>
      <c r="J1568" s="22">
        <f>[1]SUMMARY!N1569</f>
        <v>2370</v>
      </c>
      <c r="K1568" s="23">
        <f t="shared" si="18"/>
        <v>0</v>
      </c>
      <c r="L1568" s="8"/>
      <c r="M1568" s="8"/>
    </row>
    <row r="1569" spans="1:13" x14ac:dyDescent="0.2">
      <c r="A1569" s="17" t="str">
        <f>[1]SUMMARY!A1570</f>
        <v>225</v>
      </c>
      <c r="B1569" s="17">
        <f>[1]SUMMARY!B1570</f>
        <v>70</v>
      </c>
      <c r="C1569" s="17">
        <f>[1]SUMMARY!C1570</f>
        <v>15</v>
      </c>
      <c r="D1569" s="25" t="str">
        <f>[1]SUMMARY!D1570</f>
        <v>VEE RUBBER (THAI)</v>
      </c>
      <c r="E1569" s="25" t="str">
        <f>[1]SUMMARY!E1570</f>
        <v>TAIGA-D VEE RUBBER</v>
      </c>
      <c r="F1569" s="20"/>
      <c r="G1569" s="20">
        <v>5</v>
      </c>
      <c r="H1569" s="20">
        <v>5</v>
      </c>
      <c r="I1569" s="21">
        <f t="shared" si="17"/>
        <v>0</v>
      </c>
      <c r="J1569" s="22">
        <f>[1]SUMMARY!N1570</f>
        <v>3480</v>
      </c>
      <c r="K1569" s="23">
        <f t="shared" si="18"/>
        <v>0</v>
      </c>
      <c r="L1569" s="8"/>
      <c r="M1569" s="8"/>
    </row>
    <row r="1570" spans="1:13" x14ac:dyDescent="0.2">
      <c r="A1570" s="17" t="str">
        <f>[1]SUMMARY!A1571</f>
        <v>235</v>
      </c>
      <c r="B1570" s="17">
        <f>[1]SUMMARY!B1571</f>
        <v>75</v>
      </c>
      <c r="C1570" s="17">
        <f>[1]SUMMARY!C1571</f>
        <v>15</v>
      </c>
      <c r="D1570" s="25" t="str">
        <f>[1]SUMMARY!D1571</f>
        <v>VEE RUBBER (THAI)</v>
      </c>
      <c r="E1570" s="25" t="str">
        <f>[1]SUMMARY!E1571</f>
        <v>TAIGA H/TVTR-333</v>
      </c>
      <c r="F1570" s="20"/>
      <c r="G1570" s="20"/>
      <c r="H1570" s="20"/>
      <c r="I1570" s="21">
        <f t="shared" si="17"/>
        <v>0</v>
      </c>
      <c r="J1570" s="22">
        <f>[1]SUMMARY!N1571</f>
        <v>3680</v>
      </c>
      <c r="K1570" s="23">
        <f t="shared" si="18"/>
        <v>0</v>
      </c>
      <c r="L1570" s="8"/>
      <c r="M1570" s="8"/>
    </row>
    <row r="1571" spans="1:13" x14ac:dyDescent="0.2">
      <c r="A1571" s="17" t="str">
        <f>[1]SUMMARY!A1572</f>
        <v>265</v>
      </c>
      <c r="B1571" s="17">
        <f>[1]SUMMARY!B1572</f>
        <v>60</v>
      </c>
      <c r="C1571" s="17">
        <f>[1]SUMMARY!C1572</f>
        <v>18</v>
      </c>
      <c r="D1571" s="25" t="str">
        <f>[1]SUMMARY!D1572</f>
        <v>VEE RUBBER (THAI)</v>
      </c>
      <c r="E1571" s="25" t="str">
        <f>[1]SUMMARY!E1572</f>
        <v>SPEED BOOSTER HT</v>
      </c>
      <c r="F1571" s="20"/>
      <c r="G1571" s="20"/>
      <c r="H1571" s="20"/>
      <c r="I1571" s="21">
        <f t="shared" si="17"/>
        <v>0</v>
      </c>
      <c r="J1571" s="22">
        <f>[1]SUMMARY!N1572</f>
        <v>5400</v>
      </c>
      <c r="K1571" s="23">
        <f t="shared" si="18"/>
        <v>0</v>
      </c>
      <c r="L1571" s="28">
        <f>SUM(K1565:K1571)</f>
        <v>0</v>
      </c>
      <c r="M1571" s="29" t="s">
        <v>84</v>
      </c>
    </row>
    <row r="1572" spans="1:13" x14ac:dyDescent="0.2">
      <c r="A1572" s="17" t="str">
        <f>[1]SUMMARY!A1573</f>
        <v>205</v>
      </c>
      <c r="B1572" s="17">
        <f>[1]SUMMARY!B1573</f>
        <v>70</v>
      </c>
      <c r="C1572" s="17">
        <f>[1]SUMMARY!C1573</f>
        <v>15</v>
      </c>
      <c r="D1572" s="25" t="str">
        <f>[1]SUMMARY!D1573</f>
        <v>VENOM POWER</v>
      </c>
      <c r="E1572" s="25" t="str">
        <f>[1]SUMMARY!E1573</f>
        <v>SWAMPTHING AT</v>
      </c>
      <c r="F1572" s="20"/>
      <c r="G1572" s="20">
        <v>38</v>
      </c>
      <c r="H1572" s="20">
        <v>38</v>
      </c>
      <c r="I1572" s="21">
        <f t="shared" si="17"/>
        <v>0</v>
      </c>
      <c r="J1572" s="22">
        <f>[1]SUMMARY!N1573</f>
        <v>4370</v>
      </c>
      <c r="K1572" s="23">
        <f t="shared" si="18"/>
        <v>0</v>
      </c>
      <c r="L1572" s="8"/>
      <c r="M1572" s="8"/>
    </row>
    <row r="1573" spans="1:13" x14ac:dyDescent="0.2">
      <c r="A1573" s="17" t="str">
        <f>[1]SUMMARY!A1574</f>
        <v>235</v>
      </c>
      <c r="B1573" s="17">
        <f>[1]SUMMARY!B1574</f>
        <v>75</v>
      </c>
      <c r="C1573" s="17">
        <f>[1]SUMMARY!C1574</f>
        <v>15</v>
      </c>
      <c r="D1573" s="25" t="str">
        <f>[1]SUMMARY!D1574</f>
        <v>VENOM POWER</v>
      </c>
      <c r="E1573" s="25" t="str">
        <f>[1]SUMMARY!E1574</f>
        <v>6PR TERRA HUNTER X/T</v>
      </c>
      <c r="F1573" s="20"/>
      <c r="G1573" s="20">
        <v>25</v>
      </c>
      <c r="H1573" s="20">
        <v>21</v>
      </c>
      <c r="I1573" s="62">
        <f t="shared" si="17"/>
        <v>4</v>
      </c>
      <c r="J1573" s="22">
        <f>[1]SUMMARY!N1574</f>
        <v>5494.8</v>
      </c>
      <c r="K1573" s="23">
        <f t="shared" si="18"/>
        <v>21979.200000000001</v>
      </c>
      <c r="L1573" s="8"/>
      <c r="M1573" s="8"/>
    </row>
    <row r="1574" spans="1:13" x14ac:dyDescent="0.2">
      <c r="A1574" s="17" t="str">
        <f>[1]SUMMARY!A1575</f>
        <v>31</v>
      </c>
      <c r="B1574" s="17">
        <f>[1]SUMMARY!B1575</f>
        <v>10.5</v>
      </c>
      <c r="C1574" s="17">
        <f>[1]SUMMARY!C1575</f>
        <v>15</v>
      </c>
      <c r="D1574" s="25" t="str">
        <f>[1]SUMMARY!D1575</f>
        <v>VENOM POWER</v>
      </c>
      <c r="E1574" s="25" t="str">
        <f>[1]SUMMARY!E1575</f>
        <v>6PR TERRA HUNTER X/T</v>
      </c>
      <c r="F1574" s="20"/>
      <c r="G1574" s="20">
        <v>16</v>
      </c>
      <c r="H1574" s="20">
        <v>12</v>
      </c>
      <c r="I1574" s="62">
        <f t="shared" si="17"/>
        <v>4</v>
      </c>
      <c r="J1574" s="22">
        <f>[1]SUMMARY!N1575</f>
        <v>6756.4</v>
      </c>
      <c r="K1574" s="23">
        <f t="shared" si="18"/>
        <v>27025.599999999999</v>
      </c>
      <c r="L1574" s="8"/>
      <c r="M1574" s="8"/>
    </row>
    <row r="1575" spans="1:13" x14ac:dyDescent="0.2">
      <c r="A1575" s="17" t="str">
        <f>[1]SUMMARY!A1576</f>
        <v>265</v>
      </c>
      <c r="B1575" s="17">
        <f>[1]SUMMARY!B1576</f>
        <v>65</v>
      </c>
      <c r="C1575" s="17">
        <f>[1]SUMMARY!C1576</f>
        <v>17</v>
      </c>
      <c r="D1575" s="25" t="str">
        <f>[1]SUMMARY!D1576</f>
        <v>VENOM POWER</v>
      </c>
      <c r="E1575" s="25" t="str">
        <f>[1]SUMMARY!E1576</f>
        <v>8PR TERRA HUNTER X/T</v>
      </c>
      <c r="F1575" s="20"/>
      <c r="G1575" s="20">
        <v>44</v>
      </c>
      <c r="H1575" s="20">
        <v>32</v>
      </c>
      <c r="I1575" s="62">
        <f t="shared" si="17"/>
        <v>12</v>
      </c>
      <c r="J1575" s="22">
        <f>[1]SUMMARY!N1576</f>
        <v>6194</v>
      </c>
      <c r="K1575" s="23">
        <f t="shared" si="18"/>
        <v>74328</v>
      </c>
      <c r="L1575" s="8"/>
      <c r="M1575" s="8"/>
    </row>
    <row r="1576" spans="1:13" x14ac:dyDescent="0.2">
      <c r="A1576" s="17" t="str">
        <f>[1]SUMMARY!A1577</f>
        <v>265</v>
      </c>
      <c r="B1576" s="17">
        <f>[1]SUMMARY!B1577</f>
        <v>65</v>
      </c>
      <c r="C1576" s="17">
        <f>[1]SUMMARY!C1577</f>
        <v>17</v>
      </c>
      <c r="D1576" s="25" t="str">
        <f>[1]SUMMARY!D1577</f>
        <v>VENOM POWER</v>
      </c>
      <c r="E1576" s="25" t="str">
        <f>[1]SUMMARY!E1577</f>
        <v>10PR TRAIL HUNTER RT</v>
      </c>
      <c r="F1576" s="20"/>
      <c r="G1576" s="20">
        <v>8</v>
      </c>
      <c r="H1576" s="20">
        <v>8</v>
      </c>
      <c r="I1576" s="21">
        <f t="shared" si="17"/>
        <v>0</v>
      </c>
      <c r="J1576" s="22">
        <f>[1]SUMMARY!N1577</f>
        <v>7204.8</v>
      </c>
      <c r="K1576" s="23">
        <f t="shared" si="18"/>
        <v>0</v>
      </c>
      <c r="L1576" s="8"/>
      <c r="M1576" s="8"/>
    </row>
    <row r="1577" spans="1:13" x14ac:dyDescent="0.2">
      <c r="A1577" s="17" t="str">
        <f>[1]SUMMARY!A1578</f>
        <v>265</v>
      </c>
      <c r="B1577" s="17">
        <f>[1]SUMMARY!B1578</f>
        <v>70</v>
      </c>
      <c r="C1577" s="17">
        <f>[1]SUMMARY!C1578</f>
        <v>17</v>
      </c>
      <c r="D1577" s="25" t="str">
        <f>[1]SUMMARY!D1578</f>
        <v>VENOM POWER</v>
      </c>
      <c r="E1577" s="25" t="str">
        <f>[1]SUMMARY!E1578</f>
        <v>8PR TERRA HUNTER X/T</v>
      </c>
      <c r="F1577" s="20"/>
      <c r="G1577" s="20">
        <v>32</v>
      </c>
      <c r="H1577" s="20">
        <v>32</v>
      </c>
      <c r="I1577" s="21">
        <f t="shared" si="17"/>
        <v>0</v>
      </c>
      <c r="J1577" s="22">
        <f>[1]SUMMARY!N1578</f>
        <v>6384</v>
      </c>
      <c r="K1577" s="23">
        <f t="shared" si="18"/>
        <v>0</v>
      </c>
      <c r="L1577" s="8"/>
      <c r="M1577" s="8"/>
    </row>
    <row r="1578" spans="1:13" x14ac:dyDescent="0.2">
      <c r="A1578" s="17" t="str">
        <f>[1]SUMMARY!A1579</f>
        <v>285</v>
      </c>
      <c r="B1578" s="17">
        <f>[1]SUMMARY!B1579</f>
        <v>70</v>
      </c>
      <c r="C1578" s="17">
        <f>[1]SUMMARY!C1579</f>
        <v>17</v>
      </c>
      <c r="D1578" s="25" t="str">
        <f>[1]SUMMARY!D1579</f>
        <v>VENOM POWER</v>
      </c>
      <c r="E1578" s="25" t="str">
        <f>[1]SUMMARY!E1579</f>
        <v>TRAIL HUNTER RT</v>
      </c>
      <c r="F1578" s="20"/>
      <c r="G1578" s="20">
        <v>4</v>
      </c>
      <c r="H1578" s="20">
        <v>4</v>
      </c>
      <c r="I1578" s="21">
        <f t="shared" si="17"/>
        <v>0</v>
      </c>
      <c r="J1578" s="22">
        <f>[1]SUMMARY!N1579</f>
        <v>8451.2000000000007</v>
      </c>
      <c r="K1578" s="23">
        <f t="shared" si="18"/>
        <v>0</v>
      </c>
      <c r="L1578" s="8"/>
      <c r="M1578" s="8"/>
    </row>
    <row r="1579" spans="1:13" x14ac:dyDescent="0.2">
      <c r="A1579" s="17" t="str">
        <f>[1]SUMMARY!A1580</f>
        <v>285</v>
      </c>
      <c r="B1579" s="17">
        <f>[1]SUMMARY!B1580</f>
        <v>70</v>
      </c>
      <c r="C1579" s="17">
        <f>[1]SUMMARY!C1580</f>
        <v>17</v>
      </c>
      <c r="D1579" s="25" t="str">
        <f>[1]SUMMARY!D1580</f>
        <v>VENOM POWER</v>
      </c>
      <c r="E1579" s="25" t="str">
        <f>[1]SUMMARY!E1580</f>
        <v>6PR TERRA HUNTER X/T</v>
      </c>
      <c r="F1579" s="20"/>
      <c r="G1579" s="20">
        <v>27</v>
      </c>
      <c r="H1579" s="20">
        <v>25</v>
      </c>
      <c r="I1579" s="21">
        <f t="shared" si="17"/>
        <v>2</v>
      </c>
      <c r="J1579" s="22">
        <f>[1]SUMMARY!N1580</f>
        <v>7584.8</v>
      </c>
      <c r="K1579" s="23">
        <f t="shared" si="18"/>
        <v>15169.6</v>
      </c>
      <c r="L1579" s="8"/>
      <c r="M1579" s="8"/>
    </row>
    <row r="1580" spans="1:13" x14ac:dyDescent="0.2">
      <c r="A1580" s="17" t="str">
        <f>[1]SUMMARY!A1581</f>
        <v>265</v>
      </c>
      <c r="B1580" s="17">
        <f>[1]SUMMARY!B1581</f>
        <v>60</v>
      </c>
      <c r="C1580" s="17">
        <f>[1]SUMMARY!C1581</f>
        <v>18</v>
      </c>
      <c r="D1580" s="25" t="str">
        <f>[1]SUMMARY!D1581</f>
        <v>VENOM POWER</v>
      </c>
      <c r="E1580" s="25" t="str">
        <f>[1]SUMMARY!E1581</f>
        <v>8PR TERRA HUNTER X/T</v>
      </c>
      <c r="F1580" s="20"/>
      <c r="G1580" s="20">
        <v>42</v>
      </c>
      <c r="H1580" s="20">
        <v>42</v>
      </c>
      <c r="I1580" s="62">
        <f t="shared" si="17"/>
        <v>0</v>
      </c>
      <c r="J1580" s="22">
        <f>[1]SUMMARY!N1581</f>
        <v>6498</v>
      </c>
      <c r="K1580" s="23">
        <f t="shared" si="18"/>
        <v>0</v>
      </c>
      <c r="L1580" s="8"/>
      <c r="M1580" s="8"/>
    </row>
    <row r="1581" spans="1:13" x14ac:dyDescent="0.2">
      <c r="A1581" s="17" t="str">
        <f>[1]SUMMARY!A1582</f>
        <v>285</v>
      </c>
      <c r="B1581" s="17">
        <f>[1]SUMMARY!B1582</f>
        <v>60</v>
      </c>
      <c r="C1581" s="17">
        <f>[1]SUMMARY!C1582</f>
        <v>18</v>
      </c>
      <c r="D1581" s="25" t="str">
        <f>[1]SUMMARY!D1582</f>
        <v>VENOM POWER</v>
      </c>
      <c r="E1581" s="25" t="str">
        <f>[1]SUMMARY!E1582</f>
        <v>10PR TRAIL HUNTER RT</v>
      </c>
      <c r="F1581" s="20"/>
      <c r="G1581" s="20">
        <v>4</v>
      </c>
      <c r="H1581" s="20"/>
      <c r="I1581" s="62">
        <f t="shared" si="17"/>
        <v>4</v>
      </c>
      <c r="J1581" s="22">
        <f>[1]SUMMARY!N1582</f>
        <v>10130.799999999999</v>
      </c>
      <c r="K1581" s="23">
        <f t="shared" si="18"/>
        <v>40523.199999999997</v>
      </c>
      <c r="L1581" s="8"/>
      <c r="M1581" s="8"/>
    </row>
    <row r="1582" spans="1:13" x14ac:dyDescent="0.2">
      <c r="A1582" s="17" t="str">
        <f>[1]SUMMARY!A1583</f>
        <v>265</v>
      </c>
      <c r="B1582" s="17">
        <f>[1]SUMMARY!B1583</f>
        <v>65</v>
      </c>
      <c r="C1582" s="17">
        <f>[1]SUMMARY!C1583</f>
        <v>18</v>
      </c>
      <c r="D1582" s="25" t="str">
        <f>[1]SUMMARY!D1583</f>
        <v>VENOM POWER</v>
      </c>
      <c r="E1582" s="25" t="str">
        <f>[1]SUMMARY!E1583</f>
        <v>8PR TERRA HUNTER X/T</v>
      </c>
      <c r="F1582" s="20"/>
      <c r="G1582" s="20">
        <v>35</v>
      </c>
      <c r="H1582" s="20">
        <v>29</v>
      </c>
      <c r="I1582" s="62">
        <f t="shared" si="17"/>
        <v>6</v>
      </c>
      <c r="J1582" s="22">
        <f>[1]SUMMARY!N1583</f>
        <v>6916</v>
      </c>
      <c r="K1582" s="23">
        <f t="shared" si="18"/>
        <v>41496</v>
      </c>
      <c r="L1582" s="8"/>
      <c r="M1582" s="8"/>
    </row>
    <row r="1583" spans="1:13" x14ac:dyDescent="0.2">
      <c r="A1583" s="17" t="str">
        <f>[1]SUMMARY!A1584</f>
        <v>275</v>
      </c>
      <c r="B1583" s="17">
        <f>[1]SUMMARY!B1584</f>
        <v>65</v>
      </c>
      <c r="C1583" s="17">
        <f>[1]SUMMARY!C1584</f>
        <v>18</v>
      </c>
      <c r="D1583" s="25" t="str">
        <f>[1]SUMMARY!D1584</f>
        <v>VENOM POWER</v>
      </c>
      <c r="E1583" s="25" t="str">
        <f>[1]SUMMARY!E1584</f>
        <v>8PR TERRA HUNTER X/T</v>
      </c>
      <c r="F1583" s="20"/>
      <c r="G1583" s="20">
        <v>37</v>
      </c>
      <c r="H1583" s="20">
        <v>37</v>
      </c>
      <c r="I1583" s="21">
        <f t="shared" si="17"/>
        <v>0</v>
      </c>
      <c r="J1583" s="22">
        <f>[1]SUMMARY!N1584</f>
        <v>7144</v>
      </c>
      <c r="K1583" s="23">
        <f t="shared" si="18"/>
        <v>0</v>
      </c>
      <c r="L1583" s="8"/>
      <c r="M1583" s="8"/>
    </row>
    <row r="1584" spans="1:13" x14ac:dyDescent="0.2">
      <c r="A1584" s="17" t="str">
        <f>[1]SUMMARY!A1585</f>
        <v>285</v>
      </c>
      <c r="B1584" s="17">
        <f>[1]SUMMARY!B1585</f>
        <v>65</v>
      </c>
      <c r="C1584" s="17">
        <f>[1]SUMMARY!C1585</f>
        <v>18</v>
      </c>
      <c r="D1584" s="25" t="str">
        <f>[1]SUMMARY!D1585</f>
        <v>VENOM POWER</v>
      </c>
      <c r="E1584" s="25" t="str">
        <f>[1]SUMMARY!E1585</f>
        <v>10PR TERRA HUNTER X/T</v>
      </c>
      <c r="F1584" s="20"/>
      <c r="G1584" s="20">
        <v>12</v>
      </c>
      <c r="H1584" s="20">
        <v>8</v>
      </c>
      <c r="I1584" s="62">
        <f t="shared" si="17"/>
        <v>4</v>
      </c>
      <c r="J1584" s="22">
        <f>[1]SUMMARY!N1585</f>
        <v>8436</v>
      </c>
      <c r="K1584" s="23">
        <f t="shared" si="18"/>
        <v>33744</v>
      </c>
      <c r="L1584" s="8"/>
      <c r="M1584" s="8"/>
    </row>
    <row r="1585" spans="1:13" x14ac:dyDescent="0.2">
      <c r="A1585" s="17" t="str">
        <f>[1]SUMMARY!A1586</f>
        <v>265</v>
      </c>
      <c r="B1585" s="17">
        <f>[1]SUMMARY!B1586</f>
        <v>50</v>
      </c>
      <c r="C1585" s="17">
        <f>[1]SUMMARY!C1586</f>
        <v>20</v>
      </c>
      <c r="D1585" s="25" t="str">
        <f>[1]SUMMARY!D1586</f>
        <v>VENOM POWER</v>
      </c>
      <c r="E1585" s="25" t="str">
        <f>[1]SUMMARY!E1586</f>
        <v>8PR SWAMPTHING AT</v>
      </c>
      <c r="F1585" s="20"/>
      <c r="G1585" s="20">
        <v>22</v>
      </c>
      <c r="H1585" s="20">
        <v>22</v>
      </c>
      <c r="I1585" s="62">
        <f t="shared" si="17"/>
        <v>0</v>
      </c>
      <c r="J1585" s="22">
        <f>[1]SUMMARY!N1586</f>
        <v>6931.2</v>
      </c>
      <c r="K1585" s="23">
        <f t="shared" si="18"/>
        <v>0</v>
      </c>
      <c r="L1585" s="8"/>
      <c r="M1585" s="8"/>
    </row>
    <row r="1586" spans="1:13" x14ac:dyDescent="0.2">
      <c r="A1586" s="17" t="str">
        <f>[1]SUMMARY!A1587</f>
        <v>275</v>
      </c>
      <c r="B1586" s="17">
        <f>[1]SUMMARY!B1587</f>
        <v>55</v>
      </c>
      <c r="C1586" s="17">
        <f>[1]SUMMARY!C1587</f>
        <v>20</v>
      </c>
      <c r="D1586" s="25" t="str">
        <f>[1]SUMMARY!D1587</f>
        <v>VENOM POWER</v>
      </c>
      <c r="E1586" s="25" t="str">
        <f>[1]SUMMARY!E1587</f>
        <v>TERRA HUNTER X/T</v>
      </c>
      <c r="F1586" s="20"/>
      <c r="G1586" s="20"/>
      <c r="H1586" s="20"/>
      <c r="I1586" s="21">
        <f t="shared" si="17"/>
        <v>0</v>
      </c>
      <c r="J1586" s="22">
        <f>[1]SUMMARY!N1587</f>
        <v>7220</v>
      </c>
      <c r="K1586" s="23">
        <f t="shared" si="18"/>
        <v>0</v>
      </c>
      <c r="L1586" s="8"/>
      <c r="M1586" s="8"/>
    </row>
    <row r="1587" spans="1:13" x14ac:dyDescent="0.2">
      <c r="A1587" s="17" t="str">
        <f>[1]SUMMARY!A1588</f>
        <v>275</v>
      </c>
      <c r="B1587" s="17">
        <f>[1]SUMMARY!B1588</f>
        <v>55</v>
      </c>
      <c r="C1587" s="17">
        <f>[1]SUMMARY!C1588</f>
        <v>20</v>
      </c>
      <c r="D1587" s="25" t="str">
        <f>[1]SUMMARY!D1588</f>
        <v>VENOM POWER</v>
      </c>
      <c r="E1587" s="25" t="str">
        <f>[1]SUMMARY!E1588</f>
        <v>10PR TRAIL HUNTER RT</v>
      </c>
      <c r="F1587" s="20"/>
      <c r="G1587" s="20">
        <v>38</v>
      </c>
      <c r="H1587" s="20">
        <v>38</v>
      </c>
      <c r="I1587" s="21">
        <f t="shared" si="17"/>
        <v>0</v>
      </c>
      <c r="J1587" s="22">
        <f>[1]SUMMARY!N1588</f>
        <v>8762.7999999999993</v>
      </c>
      <c r="K1587" s="23">
        <f t="shared" si="18"/>
        <v>0</v>
      </c>
      <c r="L1587" s="8"/>
      <c r="M1587" s="8"/>
    </row>
    <row r="1588" spans="1:13" x14ac:dyDescent="0.2">
      <c r="A1588" s="17" t="str">
        <f>[1]SUMMARY!A1589</f>
        <v>285</v>
      </c>
      <c r="B1588" s="17">
        <f>[1]SUMMARY!B1589</f>
        <v>55</v>
      </c>
      <c r="C1588" s="17">
        <f>[1]SUMMARY!C1589</f>
        <v>20</v>
      </c>
      <c r="D1588" s="25" t="str">
        <f>[1]SUMMARY!D1589</f>
        <v>VENOM POWER</v>
      </c>
      <c r="E1588" s="25" t="str">
        <f>[1]SUMMARY!E1589</f>
        <v>10PR TRAIL HUNTER RT</v>
      </c>
      <c r="F1588" s="20"/>
      <c r="G1588" s="20"/>
      <c r="H1588" s="20"/>
      <c r="I1588" s="21">
        <f t="shared" si="17"/>
        <v>0</v>
      </c>
      <c r="J1588" s="22">
        <f>[1]SUMMARY!N1589</f>
        <v>9328.24</v>
      </c>
      <c r="K1588" s="23">
        <f t="shared" si="18"/>
        <v>0</v>
      </c>
      <c r="L1588" s="33"/>
      <c r="M1588" s="33"/>
    </row>
    <row r="1589" spans="1:13" x14ac:dyDescent="0.2">
      <c r="A1589" s="17" t="str">
        <f>[1]SUMMARY!A1590</f>
        <v>275</v>
      </c>
      <c r="B1589" s="17">
        <f>[1]SUMMARY!B1590</f>
        <v>60</v>
      </c>
      <c r="C1589" s="17">
        <f>[1]SUMMARY!C1590</f>
        <v>20</v>
      </c>
      <c r="D1589" s="25" t="str">
        <f>[1]SUMMARY!D1590</f>
        <v>VENOM POWER</v>
      </c>
      <c r="E1589" s="25" t="str">
        <f>[1]SUMMARY!E1590</f>
        <v>8PR TERRA HUNTER X/T</v>
      </c>
      <c r="F1589" s="20"/>
      <c r="G1589" s="20"/>
      <c r="H1589" s="20"/>
      <c r="I1589" s="21">
        <f t="shared" si="17"/>
        <v>0</v>
      </c>
      <c r="J1589" s="22">
        <f>[1]SUMMARY!N1590</f>
        <v>7470.8</v>
      </c>
      <c r="K1589" s="23">
        <f t="shared" si="18"/>
        <v>0</v>
      </c>
      <c r="L1589" s="33"/>
      <c r="M1589" s="33"/>
    </row>
    <row r="1590" spans="1:13" x14ac:dyDescent="0.2">
      <c r="A1590" s="17" t="str">
        <f>[1]SUMMARY!A1591</f>
        <v>33</v>
      </c>
      <c r="B1590" s="17">
        <f>[1]SUMMARY!B1591</f>
        <v>12.5</v>
      </c>
      <c r="C1590" s="17">
        <f>[1]SUMMARY!C1591</f>
        <v>20</v>
      </c>
      <c r="D1590" s="25" t="str">
        <f>[1]SUMMARY!D1591</f>
        <v>VENOM POWER</v>
      </c>
      <c r="E1590" s="25" t="str">
        <f>[1]SUMMARY!E1591</f>
        <v>10PR TRAIL HUNTER RT</v>
      </c>
      <c r="F1590" s="20"/>
      <c r="G1590" s="20">
        <v>12</v>
      </c>
      <c r="H1590" s="20">
        <v>12</v>
      </c>
      <c r="I1590" s="62">
        <f t="shared" si="17"/>
        <v>0</v>
      </c>
      <c r="J1590" s="22">
        <f>[1]SUMMARY!N1591</f>
        <v>11164.4</v>
      </c>
      <c r="K1590" s="23">
        <f t="shared" si="18"/>
        <v>0</v>
      </c>
      <c r="L1590" s="28">
        <f>SUM(K1572:K1590)</f>
        <v>254265.59999999998</v>
      </c>
      <c r="M1590" s="29" t="s">
        <v>85</v>
      </c>
    </row>
    <row r="1591" spans="1:13" x14ac:dyDescent="0.2">
      <c r="A1591" s="17" t="str">
        <f>[1]SUMMARY!A1592</f>
        <v>35</v>
      </c>
      <c r="B1591" s="17">
        <f>[1]SUMMARY!B1592</f>
        <v>12.5</v>
      </c>
      <c r="C1591" s="17">
        <f>[1]SUMMARY!C1592</f>
        <v>20</v>
      </c>
      <c r="D1591" s="25" t="str">
        <f>[1]SUMMARY!D1592</f>
        <v>VENOM POWER</v>
      </c>
      <c r="E1591" s="25" t="str">
        <f>[1]SUMMARY!E1592</f>
        <v>SWAMPTHING MT</v>
      </c>
      <c r="F1591" s="20"/>
      <c r="G1591" s="20"/>
      <c r="H1591" s="20"/>
      <c r="I1591" s="62">
        <f t="shared" si="17"/>
        <v>0</v>
      </c>
      <c r="J1591" s="22">
        <f>[1]SUMMARY!N1592</f>
        <v>11479.8</v>
      </c>
      <c r="K1591" s="23">
        <f t="shared" si="18"/>
        <v>0</v>
      </c>
      <c r="L1591" s="8"/>
      <c r="M1591" s="8"/>
    </row>
    <row r="1592" spans="1:13" x14ac:dyDescent="0.2">
      <c r="A1592" s="17" t="str">
        <f>[1]SUMMARY!A1593</f>
        <v>285</v>
      </c>
      <c r="B1592" s="17">
        <f>[1]SUMMARY!B1593</f>
        <v>45</v>
      </c>
      <c r="C1592" s="17">
        <f>[1]SUMMARY!C1593</f>
        <v>22</v>
      </c>
      <c r="D1592" s="25" t="str">
        <f>[1]SUMMARY!D1593</f>
        <v>VENOM POWER</v>
      </c>
      <c r="E1592" s="25" t="str">
        <f>[1]SUMMARY!E1593</f>
        <v>RAGNAROK GTS</v>
      </c>
      <c r="F1592" s="20"/>
      <c r="G1592" s="20"/>
      <c r="H1592" s="20"/>
      <c r="I1592" s="21">
        <f t="shared" si="17"/>
        <v>0</v>
      </c>
      <c r="J1592" s="22">
        <f>[1]SUMMARY!N1593</f>
        <v>6988.96</v>
      </c>
      <c r="K1592" s="23">
        <f t="shared" si="18"/>
        <v>0</v>
      </c>
      <c r="L1592" s="8"/>
      <c r="M1592" s="8"/>
    </row>
    <row r="1593" spans="1:13" x14ac:dyDescent="0.2">
      <c r="A1593" s="17" t="str">
        <f>[1]SUMMARY!A1594</f>
        <v>305</v>
      </c>
      <c r="B1593" s="17">
        <f>[1]SUMMARY!B1594</f>
        <v>35</v>
      </c>
      <c r="C1593" s="17">
        <f>[1]SUMMARY!C1594</f>
        <v>24</v>
      </c>
      <c r="D1593" s="25" t="str">
        <f>[1]SUMMARY!D1594</f>
        <v>VENOM POWER</v>
      </c>
      <c r="E1593" s="25" t="str">
        <f>[1]SUMMARY!E1594</f>
        <v>RAGNAROK GTS</v>
      </c>
      <c r="F1593" s="20"/>
      <c r="G1593" s="20"/>
      <c r="H1593" s="20"/>
      <c r="I1593" s="21">
        <f t="shared" si="17"/>
        <v>0</v>
      </c>
      <c r="J1593" s="22">
        <f>[1]SUMMARY!N1594</f>
        <v>7617.1</v>
      </c>
      <c r="K1593" s="23">
        <f t="shared" si="18"/>
        <v>0</v>
      </c>
      <c r="L1593" s="8"/>
      <c r="M1593" s="8"/>
    </row>
    <row r="1594" spans="1:13" x14ac:dyDescent="0.2">
      <c r="A1594" s="17">
        <f>[1]SUMMARY!A1595</f>
        <v>195</v>
      </c>
      <c r="B1594" s="17">
        <f>[1]SUMMARY!B1595</f>
        <v>55</v>
      </c>
      <c r="C1594" s="17">
        <f>[1]SUMMARY!C1595</f>
        <v>15</v>
      </c>
      <c r="D1594" s="25" t="str">
        <f>[1]SUMMARY!D1595</f>
        <v>WANLI (CH)</v>
      </c>
      <c r="E1594" s="25" t="str">
        <f>[1]SUMMARY!E1595</f>
        <v>S-1200</v>
      </c>
      <c r="F1594" s="20"/>
      <c r="G1594" s="20"/>
      <c r="H1594" s="20"/>
      <c r="I1594" s="21">
        <f t="shared" si="17"/>
        <v>0</v>
      </c>
      <c r="J1594" s="22">
        <f>[1]SUMMARY!N1595</f>
        <v>2075</v>
      </c>
      <c r="K1594" s="23">
        <f t="shared" si="18"/>
        <v>0</v>
      </c>
      <c r="L1594" s="8"/>
      <c r="M1594" s="8"/>
    </row>
    <row r="1595" spans="1:13" x14ac:dyDescent="0.2">
      <c r="A1595" s="17" t="str">
        <f>[1]SUMMARY!A1596</f>
        <v>205</v>
      </c>
      <c r="B1595" s="17">
        <f>[1]SUMMARY!B1596</f>
        <v>70</v>
      </c>
      <c r="C1595" s="17">
        <f>[1]SUMMARY!C1596</f>
        <v>15</v>
      </c>
      <c r="D1595" s="25" t="str">
        <f>[1]SUMMARY!D1596</f>
        <v>WANLI (CH)</v>
      </c>
      <c r="E1595" s="25" t="str">
        <f>[1]SUMMARY!E1596</f>
        <v>SU006 AT</v>
      </c>
      <c r="F1595" s="20"/>
      <c r="G1595" s="20">
        <v>4</v>
      </c>
      <c r="H1595" s="20">
        <v>4</v>
      </c>
      <c r="I1595" s="21">
        <f t="shared" si="17"/>
        <v>0</v>
      </c>
      <c r="J1595" s="22">
        <f>[1]SUMMARY!N1596</f>
        <v>2400.75</v>
      </c>
      <c r="K1595" s="23">
        <f t="shared" si="18"/>
        <v>0</v>
      </c>
      <c r="L1595" s="8"/>
      <c r="M1595" s="8"/>
    </row>
    <row r="1596" spans="1:13" x14ac:dyDescent="0.2">
      <c r="A1596" s="17" t="str">
        <f>[1]SUMMARY!A1597</f>
        <v>205</v>
      </c>
      <c r="B1596" s="17">
        <f>[1]SUMMARY!B1597</f>
        <v>55</v>
      </c>
      <c r="C1596" s="17">
        <f>[1]SUMMARY!C1597</f>
        <v>16</v>
      </c>
      <c r="D1596" s="25" t="str">
        <f>[1]SUMMARY!D1597</f>
        <v>WANLI (CH)</v>
      </c>
      <c r="E1596" s="25" t="str">
        <f>[1]SUMMARY!E1597</f>
        <v>SA302</v>
      </c>
      <c r="F1596" s="20"/>
      <c r="G1596" s="20"/>
      <c r="H1596" s="20"/>
      <c r="I1596" s="21">
        <f t="shared" si="17"/>
        <v>0</v>
      </c>
      <c r="J1596" s="22">
        <f>[1]SUMMARY!N1597</f>
        <v>2008.87</v>
      </c>
      <c r="K1596" s="23">
        <f t="shared" si="18"/>
        <v>0</v>
      </c>
      <c r="L1596" s="8"/>
      <c r="M1596" s="8"/>
    </row>
    <row r="1597" spans="1:13" x14ac:dyDescent="0.2">
      <c r="A1597" s="17" t="str">
        <f>[1]SUMMARY!A1598</f>
        <v>235</v>
      </c>
      <c r="B1597" s="17">
        <f>[1]SUMMARY!B1598</f>
        <v>65</v>
      </c>
      <c r="C1597" s="17">
        <f>[1]SUMMARY!C1598</f>
        <v>17</v>
      </c>
      <c r="D1597" s="25" t="str">
        <f>[1]SUMMARY!D1598</f>
        <v>WANLI (CH)</v>
      </c>
      <c r="E1597" s="25" t="str">
        <f>[1]SUMMARY!E1598</f>
        <v>SU025</v>
      </c>
      <c r="F1597" s="20"/>
      <c r="G1597" s="20"/>
      <c r="H1597" s="20"/>
      <c r="I1597" s="21">
        <f t="shared" si="17"/>
        <v>0</v>
      </c>
      <c r="J1597" s="22">
        <f>[1]SUMMARY!N1598</f>
        <v>2950</v>
      </c>
      <c r="K1597" s="23">
        <f t="shared" si="18"/>
        <v>0</v>
      </c>
      <c r="L1597" s="8"/>
      <c r="M1597" s="8"/>
    </row>
    <row r="1598" spans="1:13" x14ac:dyDescent="0.2">
      <c r="A1598" s="17" t="str">
        <f>[1]SUMMARY!A1599</f>
        <v>245</v>
      </c>
      <c r="B1598" s="17">
        <f>[1]SUMMARY!B1599</f>
        <v>40</v>
      </c>
      <c r="C1598" s="17">
        <f>[1]SUMMARY!C1599</f>
        <v>17</v>
      </c>
      <c r="D1598" s="25" t="str">
        <f>[1]SUMMARY!D1599</f>
        <v>WANLI (CH)</v>
      </c>
      <c r="E1598" s="25" t="str">
        <f>[1]SUMMARY!E1599</f>
        <v>SA302</v>
      </c>
      <c r="F1598" s="20"/>
      <c r="G1598" s="20">
        <v>2</v>
      </c>
      <c r="H1598" s="20">
        <v>2</v>
      </c>
      <c r="I1598" s="21">
        <f t="shared" si="17"/>
        <v>0</v>
      </c>
      <c r="J1598" s="22">
        <f>[1]SUMMARY!N1599</f>
        <v>2890.6</v>
      </c>
      <c r="K1598" s="23">
        <f t="shared" si="18"/>
        <v>0</v>
      </c>
      <c r="L1598" s="8"/>
      <c r="M1598" s="8"/>
    </row>
    <row r="1599" spans="1:13" x14ac:dyDescent="0.2">
      <c r="A1599" s="17" t="str">
        <f>[1]SUMMARY!A1600</f>
        <v>225</v>
      </c>
      <c r="B1599" s="17">
        <f>[1]SUMMARY!B1600</f>
        <v>40</v>
      </c>
      <c r="C1599" s="17">
        <f>[1]SUMMARY!C1600</f>
        <v>18</v>
      </c>
      <c r="D1599" s="25" t="str">
        <f>[1]SUMMARY!D1600</f>
        <v>WANLI (CH)</v>
      </c>
      <c r="E1599" s="25" t="str">
        <f>[1]SUMMARY!E1600</f>
        <v>S-1200</v>
      </c>
      <c r="F1599" s="20"/>
      <c r="G1599" s="20"/>
      <c r="H1599" s="20"/>
      <c r="I1599" s="21">
        <f t="shared" si="17"/>
        <v>0</v>
      </c>
      <c r="J1599" s="22">
        <f>[1]SUMMARY!N1600</f>
        <v>3150</v>
      </c>
      <c r="K1599" s="23">
        <f t="shared" si="18"/>
        <v>0</v>
      </c>
      <c r="L1599" s="8"/>
      <c r="M1599" s="8"/>
    </row>
    <row r="1600" spans="1:13" x14ac:dyDescent="0.2">
      <c r="A1600" s="17" t="str">
        <f>[1]SUMMARY!A1601</f>
        <v>215</v>
      </c>
      <c r="B1600" s="17">
        <f>[1]SUMMARY!B1601</f>
        <v>45</v>
      </c>
      <c r="C1600" s="17">
        <f>[1]SUMMARY!C1601</f>
        <v>18</v>
      </c>
      <c r="D1600" s="25" t="str">
        <f>[1]SUMMARY!D1601</f>
        <v>WANLI (CH)</v>
      </c>
      <c r="E1600" s="25" t="str">
        <f>[1]SUMMARY!E1601</f>
        <v>SA302</v>
      </c>
      <c r="F1600" s="20"/>
      <c r="G1600" s="20"/>
      <c r="H1600" s="20"/>
      <c r="I1600" s="21">
        <f t="shared" si="17"/>
        <v>0</v>
      </c>
      <c r="J1600" s="22">
        <f>[1]SUMMARY!N1601</f>
        <v>2585</v>
      </c>
      <c r="K1600" s="23">
        <f t="shared" si="18"/>
        <v>0</v>
      </c>
      <c r="L1600" s="8"/>
      <c r="M1600" s="8"/>
    </row>
    <row r="1601" spans="1:13" x14ac:dyDescent="0.2">
      <c r="A1601" s="17" t="str">
        <f>[1]SUMMARY!A1602</f>
        <v>245</v>
      </c>
      <c r="B1601" s="17">
        <f>[1]SUMMARY!B1602</f>
        <v>45</v>
      </c>
      <c r="C1601" s="17">
        <f>[1]SUMMARY!C1602</f>
        <v>18</v>
      </c>
      <c r="D1601" s="25" t="str">
        <f>[1]SUMMARY!D1602</f>
        <v>WANLI (CH)</v>
      </c>
      <c r="E1601" s="25" t="str">
        <f>[1]SUMMARY!E1602</f>
        <v>SP022</v>
      </c>
      <c r="F1601" s="20"/>
      <c r="G1601" s="20"/>
      <c r="H1601" s="20"/>
      <c r="I1601" s="21">
        <f t="shared" si="17"/>
        <v>0</v>
      </c>
      <c r="J1601" s="22">
        <f>[1]SUMMARY!N1602</f>
        <v>2793.6</v>
      </c>
      <c r="K1601" s="23">
        <f t="shared" si="18"/>
        <v>0</v>
      </c>
      <c r="L1601" s="8"/>
      <c r="M1601" s="8"/>
    </row>
    <row r="1602" spans="1:13" x14ac:dyDescent="0.2">
      <c r="A1602" s="17" t="str">
        <f>[1]SUMMARY!A1603</f>
        <v>235</v>
      </c>
      <c r="B1602" s="17">
        <f>[1]SUMMARY!B1603</f>
        <v>50</v>
      </c>
      <c r="C1602" s="17">
        <f>[1]SUMMARY!C1603</f>
        <v>18</v>
      </c>
      <c r="D1602" s="25" t="str">
        <f>[1]SUMMARY!D1603</f>
        <v>WANLI (CH)</v>
      </c>
      <c r="E1602" s="25" t="str">
        <f>[1]SUMMARY!E1603</f>
        <v>SA302</v>
      </c>
      <c r="F1602" s="20"/>
      <c r="G1602" s="20">
        <v>1</v>
      </c>
      <c r="H1602" s="20">
        <v>1</v>
      </c>
      <c r="I1602" s="21">
        <f t="shared" si="17"/>
        <v>0</v>
      </c>
      <c r="J1602" s="22">
        <f>[1]SUMMARY!N1603</f>
        <v>2793</v>
      </c>
      <c r="K1602" s="23">
        <f t="shared" si="18"/>
        <v>0</v>
      </c>
      <c r="L1602" s="8"/>
      <c r="M1602" s="8"/>
    </row>
    <row r="1603" spans="1:13" x14ac:dyDescent="0.2">
      <c r="A1603" s="17" t="str">
        <f>[1]SUMMARY!A1604</f>
        <v>235</v>
      </c>
      <c r="B1603" s="17">
        <f>[1]SUMMARY!B1604</f>
        <v>55</v>
      </c>
      <c r="C1603" s="17">
        <f>[1]SUMMARY!C1604</f>
        <v>18</v>
      </c>
      <c r="D1603" s="25" t="str">
        <f>[1]SUMMARY!D1604</f>
        <v>WANLI (CH)</v>
      </c>
      <c r="E1603" s="25" t="str">
        <f>[1]SUMMARY!E1604</f>
        <v>AS028</v>
      </c>
      <c r="F1603" s="20">
        <v>4</v>
      </c>
      <c r="G1603" s="20"/>
      <c r="H1603" s="20">
        <v>4</v>
      </c>
      <c r="I1603" s="21">
        <f t="shared" si="17"/>
        <v>0</v>
      </c>
      <c r="J1603" s="22">
        <f>[1]SUMMARY!N1604</f>
        <v>3496</v>
      </c>
      <c r="K1603" s="23">
        <f t="shared" si="18"/>
        <v>0</v>
      </c>
      <c r="L1603" s="8"/>
      <c r="M1603" s="8"/>
    </row>
    <row r="1604" spans="1:13" x14ac:dyDescent="0.2">
      <c r="A1604" s="17" t="str">
        <f>[1]SUMMARY!A1605</f>
        <v>255</v>
      </c>
      <c r="B1604" s="17">
        <f>[1]SUMMARY!B1605</f>
        <v>35</v>
      </c>
      <c r="C1604" s="17">
        <f>[1]SUMMARY!C1605</f>
        <v>20</v>
      </c>
      <c r="D1604" s="25" t="str">
        <f>[1]SUMMARY!D1605</f>
        <v>WANLI (CH)</v>
      </c>
      <c r="E1604" s="25" t="str">
        <f>[1]SUMMARY!E1605</f>
        <v>SA302</v>
      </c>
      <c r="F1604" s="20"/>
      <c r="G1604" s="20">
        <v>1</v>
      </c>
      <c r="H1604" s="20">
        <v>1</v>
      </c>
      <c r="I1604" s="21">
        <f t="shared" si="17"/>
        <v>0</v>
      </c>
      <c r="J1604" s="22">
        <f>[1]SUMMARY!N1605</f>
        <v>3540.5</v>
      </c>
      <c r="K1604" s="23">
        <f t="shared" si="18"/>
        <v>0</v>
      </c>
      <c r="L1604" s="8"/>
      <c r="M1604" s="8"/>
    </row>
    <row r="1605" spans="1:13" x14ac:dyDescent="0.2">
      <c r="A1605" s="17" t="str">
        <f>[1]SUMMARY!A1606</f>
        <v>255</v>
      </c>
      <c r="B1605" s="17">
        <f>[1]SUMMARY!B1606</f>
        <v>40</v>
      </c>
      <c r="C1605" s="17">
        <f>[1]SUMMARY!C1606</f>
        <v>20</v>
      </c>
      <c r="D1605" s="25" t="str">
        <f>[1]SUMMARY!D1606</f>
        <v>WANLI (CH)</v>
      </c>
      <c r="E1605" s="25" t="str">
        <f>[1]SUMMARY!E1606</f>
        <v>SP601</v>
      </c>
      <c r="F1605" s="20"/>
      <c r="G1605" s="20">
        <v>6</v>
      </c>
      <c r="H1605" s="20">
        <v>6</v>
      </c>
      <c r="I1605" s="21">
        <f t="shared" si="17"/>
        <v>0</v>
      </c>
      <c r="J1605" s="22">
        <f>[1]SUMMARY!N1606</f>
        <v>3610</v>
      </c>
      <c r="K1605" s="23">
        <f t="shared" si="18"/>
        <v>0</v>
      </c>
      <c r="L1605" s="8"/>
      <c r="M1605" s="8"/>
    </row>
    <row r="1606" spans="1:13" x14ac:dyDescent="0.2">
      <c r="A1606" s="17" t="str">
        <f>[1]SUMMARY!A1607</f>
        <v>255</v>
      </c>
      <c r="B1606" s="17">
        <f>[1]SUMMARY!B1607</f>
        <v>45</v>
      </c>
      <c r="C1606" s="17">
        <f>[1]SUMMARY!C1607</f>
        <v>20</v>
      </c>
      <c r="D1606" s="25" t="str">
        <f>[1]SUMMARY!D1607</f>
        <v>WANLI (CH)</v>
      </c>
      <c r="E1606" s="25" t="str">
        <f>[1]SUMMARY!E1607</f>
        <v>105XL SA302</v>
      </c>
      <c r="F1606" s="20"/>
      <c r="G1606" s="20"/>
      <c r="H1606" s="20"/>
      <c r="I1606" s="21">
        <f t="shared" si="17"/>
        <v>0</v>
      </c>
      <c r="J1606" s="22">
        <f>[1]SUMMARY!N1607</f>
        <v>3870.3</v>
      </c>
      <c r="K1606" s="23">
        <f t="shared" si="18"/>
        <v>0</v>
      </c>
      <c r="L1606" s="8"/>
      <c r="M1606" s="8"/>
    </row>
    <row r="1607" spans="1:13" x14ac:dyDescent="0.2">
      <c r="A1607" s="17" t="str">
        <f>[1]SUMMARY!A1608</f>
        <v>265</v>
      </c>
      <c r="B1607" s="17">
        <f>[1]SUMMARY!B1608</f>
        <v>40</v>
      </c>
      <c r="C1607" s="17">
        <f>[1]SUMMARY!C1608</f>
        <v>22</v>
      </c>
      <c r="D1607" s="25" t="str">
        <f>[1]SUMMARY!D1608</f>
        <v>WANLI (CH)</v>
      </c>
      <c r="E1607" s="25" t="str">
        <f>[1]SUMMARY!E1608</f>
        <v>106 XLV S-1087</v>
      </c>
      <c r="F1607" s="20"/>
      <c r="G1607" s="20"/>
      <c r="H1607" s="20"/>
      <c r="I1607" s="21">
        <f t="shared" si="17"/>
        <v>0</v>
      </c>
      <c r="J1607" s="22">
        <f>[1]SUMMARY!N1608</f>
        <v>4033.17</v>
      </c>
      <c r="K1607" s="23">
        <f t="shared" si="18"/>
        <v>0</v>
      </c>
      <c r="L1607" s="8"/>
      <c r="M1607" s="8"/>
    </row>
    <row r="1608" spans="1:13" x14ac:dyDescent="0.2">
      <c r="A1608" s="17" t="str">
        <f>[1]SUMMARY!A1609</f>
        <v>265</v>
      </c>
      <c r="B1608" s="17">
        <f>[1]SUMMARY!B1609</f>
        <v>45</v>
      </c>
      <c r="C1608" s="17">
        <f>[1]SUMMARY!C1609</f>
        <v>22</v>
      </c>
      <c r="D1608" s="25" t="str">
        <f>[1]SUMMARY!D1609</f>
        <v>WANLI (CH)</v>
      </c>
      <c r="E1608" s="25" t="str">
        <f>[1]SUMMARY!E1609</f>
        <v>S1087</v>
      </c>
      <c r="F1608" s="20"/>
      <c r="G1608" s="20"/>
      <c r="H1608" s="20"/>
      <c r="I1608" s="21">
        <f t="shared" si="17"/>
        <v>0</v>
      </c>
      <c r="J1608" s="22">
        <f>[1]SUMMARY!N1609</f>
        <v>4607.5</v>
      </c>
      <c r="K1608" s="23">
        <f t="shared" si="18"/>
        <v>0</v>
      </c>
      <c r="L1608" s="28">
        <f>SUM(K1594:K1608)</f>
        <v>0</v>
      </c>
      <c r="M1608" s="29" t="s">
        <v>86</v>
      </c>
    </row>
    <row r="1609" spans="1:13" x14ac:dyDescent="0.2">
      <c r="A1609" s="17" t="str">
        <f>[1]SUMMARY!A1610</f>
        <v>175</v>
      </c>
      <c r="B1609" s="17">
        <f>[1]SUMMARY!B1610</f>
        <v>0</v>
      </c>
      <c r="C1609" s="17">
        <f>[1]SUMMARY!C1610</f>
        <v>13</v>
      </c>
      <c r="D1609" s="25" t="str">
        <f>[1]SUMMARY!D1610</f>
        <v>WESTLAKE</v>
      </c>
      <c r="E1609" s="25" t="str">
        <f>[1]SUMMARY!E1610</f>
        <v>SL305</v>
      </c>
      <c r="F1609" s="20"/>
      <c r="G1609" s="20">
        <v>4</v>
      </c>
      <c r="H1609" s="20">
        <v>4</v>
      </c>
      <c r="I1609" s="21">
        <f t="shared" si="17"/>
        <v>0</v>
      </c>
      <c r="J1609" s="22">
        <f>[1]SUMMARY!N1610</f>
        <v>2213</v>
      </c>
      <c r="K1609" s="23">
        <f t="shared" si="18"/>
        <v>0</v>
      </c>
      <c r="L1609" s="8"/>
      <c r="M1609" s="8"/>
    </row>
    <row r="1610" spans="1:13" x14ac:dyDescent="0.2">
      <c r="A1610" s="17" t="str">
        <f>[1]SUMMARY!A1611</f>
        <v>165</v>
      </c>
      <c r="B1610" s="17">
        <f>[1]SUMMARY!B1611</f>
        <v>65</v>
      </c>
      <c r="C1610" s="17">
        <f>[1]SUMMARY!C1611</f>
        <v>13</v>
      </c>
      <c r="D1610" s="25" t="str">
        <f>[1]SUMMARY!D1611</f>
        <v>WESTLAKE</v>
      </c>
      <c r="E1610" s="25" t="str">
        <f>[1]SUMMARY!E1611</f>
        <v>RP26</v>
      </c>
      <c r="F1610" s="20"/>
      <c r="G1610" s="20"/>
      <c r="H1610" s="20"/>
      <c r="I1610" s="21">
        <f t="shared" si="17"/>
        <v>0</v>
      </c>
      <c r="J1610" s="22">
        <f>[1]SUMMARY!N1611</f>
        <v>1700</v>
      </c>
      <c r="K1610" s="23">
        <f t="shared" si="18"/>
        <v>0</v>
      </c>
      <c r="L1610" s="8"/>
      <c r="M1610" s="8"/>
    </row>
    <row r="1611" spans="1:13" x14ac:dyDescent="0.2">
      <c r="A1611" s="17" t="str">
        <f>[1]SUMMARY!A1612</f>
        <v>165</v>
      </c>
      <c r="B1611" s="17">
        <f>[1]SUMMARY!B1612</f>
        <v>65</v>
      </c>
      <c r="C1611" s="17">
        <f>[1]SUMMARY!C1612</f>
        <v>14</v>
      </c>
      <c r="D1611" s="25" t="str">
        <f>[1]SUMMARY!D1612</f>
        <v>WESTLAKE</v>
      </c>
      <c r="E1611" s="25" t="str">
        <f>[1]SUMMARY!E1612</f>
        <v>RP28</v>
      </c>
      <c r="F1611" s="20"/>
      <c r="G1611" s="20">
        <v>1</v>
      </c>
      <c r="H1611" s="20">
        <v>1</v>
      </c>
      <c r="I1611" s="21">
        <f t="shared" si="17"/>
        <v>0</v>
      </c>
      <c r="J1611" s="22">
        <f>[1]SUMMARY!N1612</f>
        <v>1750</v>
      </c>
      <c r="K1611" s="23">
        <f t="shared" si="18"/>
        <v>0</v>
      </c>
      <c r="L1611" s="8"/>
      <c r="M1611" s="8"/>
    </row>
    <row r="1612" spans="1:13" x14ac:dyDescent="0.2">
      <c r="A1612" s="17" t="str">
        <f>[1]SUMMARY!A1613</f>
        <v>195</v>
      </c>
      <c r="B1612" s="17">
        <f>[1]SUMMARY!B1613</f>
        <v>0</v>
      </c>
      <c r="C1612" s="17" t="str">
        <f>[1]SUMMARY!C1613</f>
        <v>14C</v>
      </c>
      <c r="D1612" s="25" t="str">
        <f>[1]SUMMARY!D1613</f>
        <v>WESTLAKE</v>
      </c>
      <c r="E1612" s="25" t="str">
        <f>[1]SUMMARY!E1613</f>
        <v>H170</v>
      </c>
      <c r="F1612" s="20"/>
      <c r="G1612" s="20"/>
      <c r="H1612" s="20"/>
      <c r="I1612" s="21">
        <f t="shared" si="17"/>
        <v>0</v>
      </c>
      <c r="J1612" s="22">
        <f>[1]SUMMARY!N1613</f>
        <v>2529.2600000000002</v>
      </c>
      <c r="K1612" s="23">
        <f t="shared" si="18"/>
        <v>0</v>
      </c>
      <c r="L1612" s="8"/>
      <c r="M1612" s="8"/>
    </row>
    <row r="1613" spans="1:13" x14ac:dyDescent="0.2">
      <c r="A1613" s="17" t="str">
        <f>[1]SUMMARY!A1614</f>
        <v>195</v>
      </c>
      <c r="B1613" s="17">
        <f>[1]SUMMARY!B1614</f>
        <v>55</v>
      </c>
      <c r="C1613" s="17">
        <f>[1]SUMMARY!C1614</f>
        <v>15</v>
      </c>
      <c r="D1613" s="25" t="str">
        <f>[1]SUMMARY!D1614</f>
        <v>WESTLAKE</v>
      </c>
      <c r="E1613" s="25" t="str">
        <f>[1]SUMMARY!E1614</f>
        <v>RP36</v>
      </c>
      <c r="F1613" s="20"/>
      <c r="G1613" s="20"/>
      <c r="H1613" s="20"/>
      <c r="I1613" s="21">
        <f t="shared" si="17"/>
        <v>0</v>
      </c>
      <c r="J1613" s="22">
        <f>[1]SUMMARY!N1614</f>
        <v>1929.09</v>
      </c>
      <c r="K1613" s="23">
        <f t="shared" si="18"/>
        <v>0</v>
      </c>
      <c r="L1613" s="8"/>
      <c r="M1613" s="8"/>
    </row>
    <row r="1614" spans="1:13" x14ac:dyDescent="0.2">
      <c r="A1614" s="17" t="str">
        <f>[1]SUMMARY!A1615</f>
        <v>235</v>
      </c>
      <c r="B1614" s="17">
        <f>[1]SUMMARY!B1615</f>
        <v>70</v>
      </c>
      <c r="C1614" s="17">
        <f>[1]SUMMARY!C1615</f>
        <v>15</v>
      </c>
      <c r="D1614" s="25" t="str">
        <f>[1]SUMMARY!D1615</f>
        <v>WESTLAKE</v>
      </c>
      <c r="E1614" s="25" t="str">
        <f>[1]SUMMARY!E1615</f>
        <v>SU318</v>
      </c>
      <c r="F1614" s="20"/>
      <c r="G1614" s="20"/>
      <c r="H1614" s="20"/>
      <c r="I1614" s="21">
        <f t="shared" si="17"/>
        <v>0</v>
      </c>
      <c r="J1614" s="22">
        <f>[1]SUMMARY!N1615</f>
        <v>3631</v>
      </c>
      <c r="K1614" s="23">
        <f t="shared" si="18"/>
        <v>0</v>
      </c>
      <c r="L1614" s="8"/>
      <c r="M1614" s="8"/>
    </row>
    <row r="1615" spans="1:13" x14ac:dyDescent="0.2">
      <c r="A1615" s="17" t="str">
        <f>[1]SUMMARY!A1616</f>
        <v>215</v>
      </c>
      <c r="B1615" s="17">
        <f>[1]SUMMARY!B1616</f>
        <v>75</v>
      </c>
      <c r="C1615" s="17">
        <f>[1]SUMMARY!C1616</f>
        <v>15</v>
      </c>
      <c r="D1615" s="25" t="str">
        <f>[1]SUMMARY!D1616</f>
        <v>WESTLAKE</v>
      </c>
      <c r="E1615" s="25" t="str">
        <f>[1]SUMMARY!E1616</f>
        <v>SL369 AT</v>
      </c>
      <c r="F1615" s="20"/>
      <c r="G1615" s="20"/>
      <c r="H1615" s="20"/>
      <c r="I1615" s="21">
        <f t="shared" si="17"/>
        <v>0</v>
      </c>
      <c r="J1615" s="22">
        <f>[1]SUMMARY!N1616</f>
        <v>4085</v>
      </c>
      <c r="K1615" s="23">
        <f t="shared" si="18"/>
        <v>0</v>
      </c>
      <c r="L1615" s="8"/>
      <c r="M1615" s="8"/>
    </row>
    <row r="1616" spans="1:13" x14ac:dyDescent="0.2">
      <c r="A1616" s="17" t="str">
        <f>[1]SUMMARY!A1617</f>
        <v>235</v>
      </c>
      <c r="B1616" s="17">
        <f>[1]SUMMARY!B1617</f>
        <v>75</v>
      </c>
      <c r="C1616" s="17">
        <f>[1]SUMMARY!C1617</f>
        <v>15</v>
      </c>
      <c r="D1616" s="25" t="str">
        <f>[1]SUMMARY!D1617</f>
        <v>WESTLAKE</v>
      </c>
      <c r="E1616" s="25" t="str">
        <f>[1]SUMMARY!E1617</f>
        <v>SL369 AT</v>
      </c>
      <c r="F1616" s="20"/>
      <c r="G1616" s="20"/>
      <c r="H1616" s="20"/>
      <c r="I1616" s="21">
        <f t="shared" si="17"/>
        <v>0</v>
      </c>
      <c r="J1616" s="22">
        <f>[1]SUMMARY!N1617</f>
        <v>4201.1400000000003</v>
      </c>
      <c r="K1616" s="23">
        <f t="shared" si="18"/>
        <v>0</v>
      </c>
      <c r="L1616" s="8"/>
      <c r="M1616" s="8"/>
    </row>
    <row r="1617" spans="1:13" x14ac:dyDescent="0.2">
      <c r="A1617" s="17" t="str">
        <f>[1]SUMMARY!A1618</f>
        <v>205</v>
      </c>
      <c r="B1617" s="17">
        <f>[1]SUMMARY!B1618</f>
        <v>55</v>
      </c>
      <c r="C1617" s="17">
        <f>[1]SUMMARY!C1618</f>
        <v>16</v>
      </c>
      <c r="D1617" s="25" t="str">
        <f>[1]SUMMARY!D1618</f>
        <v>WESTLAKE</v>
      </c>
      <c r="E1617" s="25" t="str">
        <f>[1]SUMMARY!E1618</f>
        <v>SA57</v>
      </c>
      <c r="F1617" s="20"/>
      <c r="G1617" s="20"/>
      <c r="H1617" s="20"/>
      <c r="I1617" s="21">
        <f t="shared" si="17"/>
        <v>0</v>
      </c>
      <c r="J1617" s="22">
        <f>[1]SUMMARY!N1618</f>
        <v>3115</v>
      </c>
      <c r="K1617" s="23">
        <f t="shared" si="18"/>
        <v>0</v>
      </c>
      <c r="L1617" s="8"/>
      <c r="M1617" s="8"/>
    </row>
    <row r="1618" spans="1:13" x14ac:dyDescent="0.2">
      <c r="A1618" s="17" t="str">
        <f>[1]SUMMARY!A1619</f>
        <v>215</v>
      </c>
      <c r="B1618" s="17">
        <f>[1]SUMMARY!B1619</f>
        <v>70</v>
      </c>
      <c r="C1618" s="17">
        <f>[1]SUMMARY!C1619</f>
        <v>16</v>
      </c>
      <c r="D1618" s="25" t="str">
        <f>[1]SUMMARY!D1619</f>
        <v>WESTLAKE</v>
      </c>
      <c r="E1618" s="25" t="str">
        <f>[1]SUMMARY!E1619</f>
        <v>SU318</v>
      </c>
      <c r="F1618" s="20"/>
      <c r="G1618" s="20"/>
      <c r="H1618" s="20"/>
      <c r="I1618" s="21">
        <f t="shared" si="17"/>
        <v>0</v>
      </c>
      <c r="J1618" s="22">
        <f>[1]SUMMARY!N1619</f>
        <v>2743.6</v>
      </c>
      <c r="K1618" s="23">
        <f t="shared" si="18"/>
        <v>0</v>
      </c>
      <c r="L1618" s="8"/>
      <c r="M1618" s="8"/>
    </row>
    <row r="1619" spans="1:13" x14ac:dyDescent="0.2">
      <c r="A1619" s="17" t="str">
        <f>[1]SUMMARY!A1620</f>
        <v>195</v>
      </c>
      <c r="B1619" s="17">
        <f>[1]SUMMARY!B1620</f>
        <v>75</v>
      </c>
      <c r="C1619" s="17">
        <f>[1]SUMMARY!C1620</f>
        <v>16</v>
      </c>
      <c r="D1619" s="25" t="str">
        <f>[1]SUMMARY!D1620</f>
        <v>WESTLAKE</v>
      </c>
      <c r="E1619" s="25" t="str">
        <f>[1]SUMMARY!E1620</f>
        <v>SC328</v>
      </c>
      <c r="F1619" s="20"/>
      <c r="G1619" s="20">
        <v>15</v>
      </c>
      <c r="H1619" s="20">
        <v>15</v>
      </c>
      <c r="I1619" s="21">
        <f t="shared" si="17"/>
        <v>0</v>
      </c>
      <c r="J1619" s="22">
        <f>[1]SUMMARY!N1620</f>
        <v>3827</v>
      </c>
      <c r="K1619" s="23">
        <f t="shared" si="18"/>
        <v>0</v>
      </c>
      <c r="L1619" s="8"/>
      <c r="M1619" s="8"/>
    </row>
    <row r="1620" spans="1:13" x14ac:dyDescent="0.2">
      <c r="A1620" s="17" t="str">
        <f>[1]SUMMARY!A1621</f>
        <v>205</v>
      </c>
      <c r="B1620" s="17">
        <f>[1]SUMMARY!B1621</f>
        <v>75</v>
      </c>
      <c r="C1620" s="17">
        <f>[1]SUMMARY!C1621</f>
        <v>16</v>
      </c>
      <c r="D1620" s="25" t="str">
        <f>[1]SUMMARY!D1621</f>
        <v>WESTLAKE</v>
      </c>
      <c r="E1620" s="25" t="str">
        <f>[1]SUMMARY!E1621</f>
        <v>SC328</v>
      </c>
      <c r="F1620" s="20"/>
      <c r="G1620" s="20">
        <v>21</v>
      </c>
      <c r="H1620" s="20">
        <v>21</v>
      </c>
      <c r="I1620" s="21">
        <f t="shared" si="17"/>
        <v>0</v>
      </c>
      <c r="J1620" s="22">
        <f>[1]SUMMARY!N1621</f>
        <v>4272</v>
      </c>
      <c r="K1620" s="23">
        <f t="shared" si="18"/>
        <v>0</v>
      </c>
      <c r="L1620" s="8"/>
      <c r="M1620" s="8"/>
    </row>
    <row r="1621" spans="1:13" x14ac:dyDescent="0.2">
      <c r="A1621" s="17" t="str">
        <f>[1]SUMMARY!A1622</f>
        <v>195</v>
      </c>
      <c r="B1621" s="17">
        <f>[1]SUMMARY!B1622</f>
        <v>85</v>
      </c>
      <c r="C1621" s="17">
        <f>[1]SUMMARY!C1622</f>
        <v>16</v>
      </c>
      <c r="D1621" s="25" t="str">
        <f>[1]SUMMARY!D1622</f>
        <v>WESTLAKE</v>
      </c>
      <c r="E1621" s="25" t="str">
        <f>[1]SUMMARY!E1622</f>
        <v>ST313</v>
      </c>
      <c r="F1621" s="20"/>
      <c r="G1621" s="20"/>
      <c r="H1621" s="20"/>
      <c r="I1621" s="21">
        <f t="shared" si="17"/>
        <v>0</v>
      </c>
      <c r="J1621" s="22">
        <f>[1]SUMMARY!N1622</f>
        <v>5340</v>
      </c>
      <c r="K1621" s="23">
        <f t="shared" si="18"/>
        <v>0</v>
      </c>
      <c r="L1621" s="8"/>
      <c r="M1621" s="8"/>
    </row>
    <row r="1622" spans="1:13" x14ac:dyDescent="0.2">
      <c r="A1622" s="17" t="str">
        <f>[1]SUMMARY!A1623</f>
        <v>205</v>
      </c>
      <c r="B1622" s="17">
        <f>[1]SUMMARY!B1623</f>
        <v>85</v>
      </c>
      <c r="C1622" s="17">
        <f>[1]SUMMARY!C1623</f>
        <v>16</v>
      </c>
      <c r="D1622" s="25" t="str">
        <f>[1]SUMMARY!D1623</f>
        <v>WESTLAKE</v>
      </c>
      <c r="E1622" s="25" t="str">
        <f>[1]SUMMARY!E1623</f>
        <v>ST313 12PR</v>
      </c>
      <c r="F1622" s="20"/>
      <c r="G1622" s="20"/>
      <c r="H1622" s="20"/>
      <c r="I1622" s="21">
        <f t="shared" si="17"/>
        <v>0</v>
      </c>
      <c r="J1622" s="22">
        <f>[1]SUMMARY!N1623</f>
        <v>5607</v>
      </c>
      <c r="K1622" s="23">
        <f t="shared" si="18"/>
        <v>0</v>
      </c>
      <c r="L1622" s="8"/>
      <c r="M1622" s="8"/>
    </row>
    <row r="1623" spans="1:13" x14ac:dyDescent="0.2">
      <c r="A1623" s="17" t="str">
        <f>[1]SUMMARY!A1624</f>
        <v>215</v>
      </c>
      <c r="B1623" s="17">
        <f>[1]SUMMARY!B1624</f>
        <v>55</v>
      </c>
      <c r="C1623" s="17">
        <f>[1]SUMMARY!C1624</f>
        <v>17</v>
      </c>
      <c r="D1623" s="25" t="str">
        <f>[1]SUMMARY!D1624</f>
        <v>WESTLAKE</v>
      </c>
      <c r="E1623" s="25" t="str">
        <f>[1]SUMMARY!E1624</f>
        <v>SA37</v>
      </c>
      <c r="F1623" s="20"/>
      <c r="G1623" s="20"/>
      <c r="H1623" s="20"/>
      <c r="I1623" s="21">
        <f t="shared" si="17"/>
        <v>0</v>
      </c>
      <c r="J1623" s="22">
        <f>[1]SUMMARY!N1624</f>
        <v>3516</v>
      </c>
      <c r="K1623" s="23">
        <f t="shared" si="18"/>
        <v>0</v>
      </c>
      <c r="L1623" s="8"/>
      <c r="M1623" s="8"/>
    </row>
    <row r="1624" spans="1:13" x14ac:dyDescent="0.2">
      <c r="A1624" s="17" t="str">
        <f>[1]SUMMARY!A1625</f>
        <v>225</v>
      </c>
      <c r="B1624" s="17">
        <f>[1]SUMMARY!B1625</f>
        <v>60</v>
      </c>
      <c r="C1624" s="17">
        <f>[1]SUMMARY!C1625</f>
        <v>17</v>
      </c>
      <c r="D1624" s="25" t="str">
        <f>[1]SUMMARY!D1625</f>
        <v>WESTLAKE</v>
      </c>
      <c r="E1624" s="25">
        <f>[1]SUMMARY!E1625</f>
        <v>0</v>
      </c>
      <c r="F1624" s="20"/>
      <c r="G1624" s="20"/>
      <c r="H1624" s="20"/>
      <c r="I1624" s="21">
        <f t="shared" si="17"/>
        <v>0</v>
      </c>
      <c r="J1624" s="22">
        <f>[1]SUMMARY!N1625</f>
        <v>4000</v>
      </c>
      <c r="K1624" s="23">
        <f t="shared" si="18"/>
        <v>0</v>
      </c>
      <c r="L1624" s="8"/>
      <c r="M1624" s="8"/>
    </row>
    <row r="1625" spans="1:13" x14ac:dyDescent="0.2">
      <c r="A1625" s="17">
        <f>[1]SUMMARY!A1626</f>
        <v>225</v>
      </c>
      <c r="B1625" s="17">
        <f>[1]SUMMARY!B1626</f>
        <v>65</v>
      </c>
      <c r="C1625" s="17">
        <f>[1]SUMMARY!C1626</f>
        <v>17</v>
      </c>
      <c r="D1625" s="25" t="str">
        <f>[1]SUMMARY!D1626</f>
        <v>WESTLAKE</v>
      </c>
      <c r="E1625" s="25" t="str">
        <f>[1]SUMMARY!E1626</f>
        <v>SU318</v>
      </c>
      <c r="F1625" s="20"/>
      <c r="G1625" s="20"/>
      <c r="H1625" s="20"/>
      <c r="I1625" s="21">
        <f t="shared" si="17"/>
        <v>0</v>
      </c>
      <c r="J1625" s="22">
        <f>[1]SUMMARY!N1626</f>
        <v>3429.5</v>
      </c>
      <c r="K1625" s="23">
        <f t="shared" si="18"/>
        <v>0</v>
      </c>
      <c r="L1625" s="8"/>
      <c r="M1625" s="8"/>
    </row>
    <row r="1626" spans="1:13" x14ac:dyDescent="0.2">
      <c r="A1626" s="17" t="str">
        <f>[1]SUMMARY!A1627</f>
        <v>235</v>
      </c>
      <c r="B1626" s="17">
        <f>[1]SUMMARY!B1627</f>
        <v>65</v>
      </c>
      <c r="C1626" s="17">
        <f>[1]SUMMARY!C1627</f>
        <v>17</v>
      </c>
      <c r="D1626" s="25" t="str">
        <f>[1]SUMMARY!D1627</f>
        <v>WESTLAKE</v>
      </c>
      <c r="E1626" s="25" t="str">
        <f>[1]SUMMARY!E1627</f>
        <v>SU318</v>
      </c>
      <c r="F1626" s="20"/>
      <c r="G1626" s="20"/>
      <c r="H1626" s="20"/>
      <c r="I1626" s="21">
        <f t="shared" si="17"/>
        <v>0</v>
      </c>
      <c r="J1626" s="22">
        <f>[1]SUMMARY!N1627</f>
        <v>4050</v>
      </c>
      <c r="K1626" s="23">
        <f t="shared" si="18"/>
        <v>0</v>
      </c>
      <c r="L1626" s="28">
        <f>SUM(K1609:K1626)</f>
        <v>0</v>
      </c>
      <c r="M1626" s="29" t="s">
        <v>87</v>
      </c>
    </row>
    <row r="1627" spans="1:13" x14ac:dyDescent="0.2">
      <c r="A1627" s="17">
        <f>[1]SUMMARY!A1628</f>
        <v>265</v>
      </c>
      <c r="B1627" s="17">
        <f>[1]SUMMARY!B1628</f>
        <v>50</v>
      </c>
      <c r="C1627" s="17">
        <f>[1]SUMMARY!C1628</f>
        <v>20</v>
      </c>
      <c r="D1627" s="25" t="str">
        <f>[1]SUMMARY!D1628</f>
        <v>WINRUN</v>
      </c>
      <c r="E1627" s="25" t="str">
        <f>[1]SUMMARY!E1628</f>
        <v>KF997</v>
      </c>
      <c r="F1627" s="20"/>
      <c r="G1627" s="20"/>
      <c r="H1627" s="20"/>
      <c r="I1627" s="21">
        <f t="shared" si="17"/>
        <v>0</v>
      </c>
      <c r="J1627" s="22">
        <f>[1]SUMMARY!N1628</f>
        <v>5000</v>
      </c>
      <c r="K1627" s="23">
        <f t="shared" si="18"/>
        <v>0</v>
      </c>
      <c r="L1627" s="28">
        <f>SUM(K1627)</f>
        <v>0</v>
      </c>
      <c r="M1627" s="29" t="s">
        <v>88</v>
      </c>
    </row>
    <row r="1628" spans="1:13" x14ac:dyDescent="0.2">
      <c r="A1628" s="17">
        <f>[1]SUMMARY!A1629</f>
        <v>165</v>
      </c>
      <c r="B1628" s="17">
        <f>[1]SUMMARY!B1629</f>
        <v>65</v>
      </c>
      <c r="C1628" s="17">
        <f>[1]SUMMARY!C1629</f>
        <v>13</v>
      </c>
      <c r="D1628" s="25" t="str">
        <f>[1]SUMMARY!D1629</f>
        <v>YOKOHAMA (PH)</v>
      </c>
      <c r="E1628" s="25" t="str">
        <f>[1]SUMMARY!E1629</f>
        <v xml:space="preserve">AEO1 </v>
      </c>
      <c r="F1628" s="20"/>
      <c r="G1628" s="20"/>
      <c r="H1628" s="20"/>
      <c r="I1628" s="21">
        <f t="shared" si="17"/>
        <v>0</v>
      </c>
      <c r="J1628" s="22">
        <f>[1]SUMMARY!N1629</f>
        <v>2099.1999999999998</v>
      </c>
      <c r="K1628" s="23">
        <f t="shared" si="18"/>
        <v>0</v>
      </c>
      <c r="L1628" s="8"/>
      <c r="M1628" s="8"/>
    </row>
    <row r="1629" spans="1:13" x14ac:dyDescent="0.2">
      <c r="A1629" s="17">
        <f>[1]SUMMARY!A1630</f>
        <v>185</v>
      </c>
      <c r="B1629" s="17">
        <f>[1]SUMMARY!B1630</f>
        <v>70</v>
      </c>
      <c r="C1629" s="17">
        <f>[1]SUMMARY!C1630</f>
        <v>13</v>
      </c>
      <c r="D1629" s="25" t="str">
        <f>[1]SUMMARY!D1630</f>
        <v>YOKOHAMA</v>
      </c>
      <c r="E1629" s="25" t="str">
        <f>[1]SUMMARY!E1630</f>
        <v>AE01</v>
      </c>
      <c r="F1629" s="30"/>
      <c r="G1629" s="30"/>
      <c r="H1629" s="30"/>
      <c r="I1629" s="21">
        <f t="shared" si="17"/>
        <v>0</v>
      </c>
      <c r="J1629" s="22">
        <f>[1]SUMMARY!N1630</f>
        <v>2393.6</v>
      </c>
      <c r="K1629" s="23">
        <f t="shared" si="18"/>
        <v>0</v>
      </c>
      <c r="L1629" s="8"/>
      <c r="M1629" s="8"/>
    </row>
    <row r="1630" spans="1:13" x14ac:dyDescent="0.2">
      <c r="A1630" s="17" t="str">
        <f>[1]SUMMARY!A1631</f>
        <v>165</v>
      </c>
      <c r="B1630" s="17">
        <f>[1]SUMMARY!B1631</f>
        <v>80</v>
      </c>
      <c r="C1630" s="17">
        <f>[1]SUMMARY!C1631</f>
        <v>13</v>
      </c>
      <c r="D1630" s="25" t="str">
        <f>[1]SUMMARY!D1631</f>
        <v>YOKOHAMA</v>
      </c>
      <c r="E1630" s="25" t="str">
        <f>[1]SUMMARY!E1631</f>
        <v>S760</v>
      </c>
      <c r="F1630" s="30"/>
      <c r="G1630" s="30"/>
      <c r="H1630" s="30"/>
      <c r="I1630" s="21">
        <f t="shared" si="17"/>
        <v>0</v>
      </c>
      <c r="J1630" s="22">
        <f>[1]SUMMARY!N1631</f>
        <v>2124.8000000000002</v>
      </c>
      <c r="K1630" s="23">
        <f t="shared" si="18"/>
        <v>0</v>
      </c>
      <c r="L1630" s="8"/>
      <c r="M1630" s="8"/>
    </row>
    <row r="1631" spans="1:13" x14ac:dyDescent="0.2">
      <c r="A1631" s="17" t="str">
        <f>[1]SUMMARY!A1632</f>
        <v>185</v>
      </c>
      <c r="B1631" s="17">
        <f>[1]SUMMARY!B1632</f>
        <v>60</v>
      </c>
      <c r="C1631" s="17">
        <f>[1]SUMMARY!C1632</f>
        <v>14</v>
      </c>
      <c r="D1631" s="25" t="str">
        <f>[1]SUMMARY!D1632</f>
        <v>YOKOHAMA</v>
      </c>
      <c r="E1631" s="25" t="str">
        <f>[1]SUMMARY!E1632</f>
        <v>A.DRIVE</v>
      </c>
      <c r="F1631" s="30"/>
      <c r="G1631" s="30"/>
      <c r="H1631" s="30"/>
      <c r="I1631" s="21">
        <f t="shared" si="17"/>
        <v>0</v>
      </c>
      <c r="J1631" s="22">
        <f>[1]SUMMARY!N1632</f>
        <v>2720</v>
      </c>
      <c r="K1631" s="23">
        <f t="shared" si="18"/>
        <v>0</v>
      </c>
      <c r="L1631" s="8"/>
      <c r="M1631" s="8"/>
    </row>
    <row r="1632" spans="1:13" x14ac:dyDescent="0.2">
      <c r="A1632" s="17" t="str">
        <f>[1]SUMMARY!A1633</f>
        <v>185</v>
      </c>
      <c r="B1632" s="17">
        <f>[1]SUMMARY!B1633</f>
        <v>60</v>
      </c>
      <c r="C1632" s="17">
        <f>[1]SUMMARY!C1633</f>
        <v>14</v>
      </c>
      <c r="D1632" s="25" t="str">
        <f>[1]SUMMARY!D1633</f>
        <v>YOKOHAMA</v>
      </c>
      <c r="E1632" s="25" t="str">
        <f>[1]SUMMARY!E1633</f>
        <v>AE01</v>
      </c>
      <c r="F1632" s="30"/>
      <c r="G1632" s="30"/>
      <c r="H1632" s="30"/>
      <c r="I1632" s="21">
        <f t="shared" si="17"/>
        <v>0</v>
      </c>
      <c r="J1632" s="22">
        <f>[1]SUMMARY!N1633</f>
        <v>2726.4</v>
      </c>
      <c r="K1632" s="23">
        <f t="shared" si="18"/>
        <v>0</v>
      </c>
      <c r="L1632" s="8"/>
      <c r="M1632" s="8"/>
    </row>
    <row r="1633" spans="1:13" x14ac:dyDescent="0.2">
      <c r="A1633" s="27" t="str">
        <f>[1]SUMMARY!A1634</f>
        <v>195</v>
      </c>
      <c r="B1633" s="17">
        <f>[1]SUMMARY!B1634</f>
        <v>60</v>
      </c>
      <c r="C1633" s="17">
        <f>[1]SUMMARY!C1634</f>
        <v>14</v>
      </c>
      <c r="D1633" s="25" t="str">
        <f>[1]SUMMARY!D1634</f>
        <v>YOKOHAMA</v>
      </c>
      <c r="E1633" s="25" t="str">
        <f>[1]SUMMARY!E1634</f>
        <v>A.DRIVE</v>
      </c>
      <c r="F1633" s="30">
        <v>2</v>
      </c>
      <c r="G1633" s="30">
        <v>36</v>
      </c>
      <c r="H1633" s="30">
        <v>38</v>
      </c>
      <c r="I1633" s="21">
        <f t="shared" si="17"/>
        <v>0</v>
      </c>
      <c r="J1633" s="22">
        <f>[1]SUMMARY!N1634</f>
        <v>3337.5</v>
      </c>
      <c r="K1633" s="23">
        <f t="shared" si="18"/>
        <v>0</v>
      </c>
      <c r="L1633" s="8"/>
      <c r="M1633" s="8"/>
    </row>
    <row r="1634" spans="1:13" x14ac:dyDescent="0.2">
      <c r="A1634" s="27" t="str">
        <f>[1]SUMMARY!A1635</f>
        <v>195</v>
      </c>
      <c r="B1634" s="17">
        <f>[1]SUMMARY!B1635</f>
        <v>60</v>
      </c>
      <c r="C1634" s="17">
        <f>[1]SUMMARY!C1635</f>
        <v>14</v>
      </c>
      <c r="D1634" s="25" t="str">
        <f>[1]SUMMARY!D1635</f>
        <v>YOKOHAMA</v>
      </c>
      <c r="E1634" s="25" t="str">
        <f>[1]SUMMARY!E1635</f>
        <v>AE01</v>
      </c>
      <c r="F1634" s="30"/>
      <c r="G1634" s="30"/>
      <c r="H1634" s="30"/>
      <c r="I1634" s="21">
        <f t="shared" si="17"/>
        <v>0</v>
      </c>
      <c r="J1634" s="22">
        <f>[1]SUMMARY!N1635</f>
        <v>3338</v>
      </c>
      <c r="K1634" s="23">
        <f t="shared" si="18"/>
        <v>0</v>
      </c>
      <c r="L1634" s="8"/>
      <c r="M1634" s="8"/>
    </row>
    <row r="1635" spans="1:13" x14ac:dyDescent="0.2">
      <c r="A1635" s="46" t="str">
        <f>[1]SUMMARY!A1636</f>
        <v>175</v>
      </c>
      <c r="B1635" s="46">
        <f>[1]SUMMARY!B1636</f>
        <v>65</v>
      </c>
      <c r="C1635" s="46">
        <f>[1]SUMMARY!C1636</f>
        <v>14</v>
      </c>
      <c r="D1635" s="47" t="str">
        <f>[1]SUMMARY!D1636</f>
        <v>YOKOHAMA</v>
      </c>
      <c r="E1635" s="25" t="str">
        <f>[1]SUMMARY!E1636</f>
        <v>ES32</v>
      </c>
      <c r="F1635" s="48"/>
      <c r="G1635" s="48">
        <v>829</v>
      </c>
      <c r="H1635" s="48">
        <v>825</v>
      </c>
      <c r="I1635" s="62">
        <f t="shared" si="17"/>
        <v>4</v>
      </c>
      <c r="J1635" s="22">
        <f>[1]SUMMARY!N1636</f>
        <v>2963.6</v>
      </c>
      <c r="K1635" s="50">
        <f t="shared" si="18"/>
        <v>11854.4</v>
      </c>
      <c r="L1635" s="8"/>
      <c r="M1635" s="8"/>
    </row>
    <row r="1636" spans="1:13" x14ac:dyDescent="0.2">
      <c r="A1636" s="17">
        <f>[1]SUMMARY!A1637</f>
        <v>185</v>
      </c>
      <c r="B1636" s="17">
        <f>[1]SUMMARY!B1637</f>
        <v>65</v>
      </c>
      <c r="C1636" s="17">
        <f>[1]SUMMARY!C1637</f>
        <v>14</v>
      </c>
      <c r="D1636" s="25" t="str">
        <f>[1]SUMMARY!D1637</f>
        <v>YOKOHAMA</v>
      </c>
      <c r="E1636" s="25" t="str">
        <f>[1]SUMMARY!E1637</f>
        <v>A.DRIVE</v>
      </c>
      <c r="F1636" s="20"/>
      <c r="G1636" s="20"/>
      <c r="H1636" s="20"/>
      <c r="I1636" s="21">
        <f t="shared" si="17"/>
        <v>0</v>
      </c>
      <c r="J1636" s="22">
        <f>[1]SUMMARY!N1637</f>
        <v>3011</v>
      </c>
      <c r="K1636" s="23">
        <f t="shared" si="18"/>
        <v>0</v>
      </c>
      <c r="L1636" s="8"/>
      <c r="M1636" s="8"/>
    </row>
    <row r="1637" spans="1:13" x14ac:dyDescent="0.2">
      <c r="A1637" s="17">
        <f>[1]SUMMARY!A1638</f>
        <v>185</v>
      </c>
      <c r="B1637" s="17">
        <f>[1]SUMMARY!B1638</f>
        <v>65</v>
      </c>
      <c r="C1637" s="17">
        <f>[1]SUMMARY!C1638</f>
        <v>14</v>
      </c>
      <c r="D1637" s="25" t="str">
        <f>[1]SUMMARY!D1638</f>
        <v>YOKOHAMA</v>
      </c>
      <c r="E1637" s="25" t="str">
        <f>[1]SUMMARY!E1638</f>
        <v>AE01</v>
      </c>
      <c r="F1637" s="20"/>
      <c r="G1637" s="20"/>
      <c r="H1637" s="20"/>
      <c r="I1637" s="21">
        <f t="shared" si="17"/>
        <v>0</v>
      </c>
      <c r="J1637" s="22">
        <f>[1]SUMMARY!N1638</f>
        <v>2681.6</v>
      </c>
      <c r="K1637" s="23">
        <f t="shared" si="18"/>
        <v>0</v>
      </c>
      <c r="L1637" s="8"/>
      <c r="M1637" s="8"/>
    </row>
    <row r="1638" spans="1:13" x14ac:dyDescent="0.2">
      <c r="A1638" s="58">
        <f>[1]SUMMARY!A1639</f>
        <v>185</v>
      </c>
      <c r="B1638" s="58">
        <f>[1]SUMMARY!B1639</f>
        <v>65</v>
      </c>
      <c r="C1638" s="58">
        <f>[1]SUMMARY!C1639</f>
        <v>14</v>
      </c>
      <c r="D1638" s="59" t="str">
        <f>[1]SUMMARY!D1639</f>
        <v>YOKOHAMA (PH)</v>
      </c>
      <c r="E1638" s="25" t="str">
        <f>[1]SUMMARY!E1639</f>
        <v>ES32</v>
      </c>
      <c r="F1638" s="20"/>
      <c r="G1638" s="20">
        <v>4</v>
      </c>
      <c r="H1638" s="20">
        <v>4</v>
      </c>
      <c r="I1638" s="21">
        <f t="shared" si="17"/>
        <v>0</v>
      </c>
      <c r="J1638" s="22">
        <f>[1]SUMMARY!N1639</f>
        <v>3059.2</v>
      </c>
      <c r="K1638" s="23">
        <f t="shared" si="18"/>
        <v>0</v>
      </c>
      <c r="L1638" s="8"/>
      <c r="M1638" s="8"/>
    </row>
    <row r="1639" spans="1:13" x14ac:dyDescent="0.2">
      <c r="A1639" s="27" t="str">
        <f>[1]SUMMARY!A1640</f>
        <v>195</v>
      </c>
      <c r="B1639" s="17">
        <f>[1]SUMMARY!B1640</f>
        <v>65</v>
      </c>
      <c r="C1639" s="17">
        <f>[1]SUMMARY!C1640</f>
        <v>14</v>
      </c>
      <c r="D1639" s="25" t="str">
        <f>[1]SUMMARY!D1640</f>
        <v>YOKOHAMA</v>
      </c>
      <c r="E1639" s="25" t="str">
        <f>[1]SUMMARY!E1640</f>
        <v>AE01</v>
      </c>
      <c r="F1639" s="30"/>
      <c r="G1639" s="30">
        <v>24</v>
      </c>
      <c r="H1639" s="30">
        <v>24</v>
      </c>
      <c r="I1639" s="21">
        <f t="shared" si="17"/>
        <v>0</v>
      </c>
      <c r="J1639" s="22">
        <f>[1]SUMMARY!N1640</f>
        <v>2892.8</v>
      </c>
      <c r="K1639" s="23">
        <f t="shared" si="18"/>
        <v>0</v>
      </c>
      <c r="L1639" s="8"/>
      <c r="M1639" s="8"/>
    </row>
    <row r="1640" spans="1:13" x14ac:dyDescent="0.2">
      <c r="A1640" s="17" t="str">
        <f>[1]SUMMARY!A1641</f>
        <v>175</v>
      </c>
      <c r="B1640" s="17">
        <f>[1]SUMMARY!B1641</f>
        <v>70</v>
      </c>
      <c r="C1640" s="17">
        <f>[1]SUMMARY!C1641</f>
        <v>14</v>
      </c>
      <c r="D1640" s="25" t="str">
        <f>[1]SUMMARY!D1641</f>
        <v>YOKOHAMA</v>
      </c>
      <c r="E1640" s="25" t="str">
        <f>[1]SUMMARY!E1641</f>
        <v>ES32</v>
      </c>
      <c r="F1640" s="30"/>
      <c r="G1640" s="30"/>
      <c r="H1640" s="30"/>
      <c r="I1640" s="21">
        <f t="shared" si="17"/>
        <v>0</v>
      </c>
      <c r="J1640" s="22">
        <f>[1]SUMMARY!N1641</f>
        <v>3520.8</v>
      </c>
      <c r="K1640" s="23">
        <f t="shared" si="18"/>
        <v>0</v>
      </c>
      <c r="L1640" s="8"/>
      <c r="M1640" s="8"/>
    </row>
    <row r="1641" spans="1:13" x14ac:dyDescent="0.2">
      <c r="A1641" s="65" t="str">
        <f>[1]SUMMARY!A1642</f>
        <v>185</v>
      </c>
      <c r="B1641" s="65">
        <f>[1]SUMMARY!B1642</f>
        <v>70</v>
      </c>
      <c r="C1641" s="65">
        <f>[1]SUMMARY!C1642</f>
        <v>14</v>
      </c>
      <c r="D1641" s="66" t="str">
        <f>[1]SUMMARY!D1642</f>
        <v>YOKOHAMA</v>
      </c>
      <c r="E1641" s="25" t="str">
        <f>[1]SUMMARY!E1642</f>
        <v>AE-01</v>
      </c>
      <c r="F1641" s="30"/>
      <c r="G1641" s="30"/>
      <c r="H1641" s="30"/>
      <c r="I1641" s="21">
        <f t="shared" si="17"/>
        <v>0</v>
      </c>
      <c r="J1641" s="22">
        <f>[1]SUMMARY!N1642</f>
        <v>2547</v>
      </c>
      <c r="K1641" s="23">
        <f t="shared" si="18"/>
        <v>0</v>
      </c>
      <c r="L1641" s="8"/>
      <c r="M1641" s="8"/>
    </row>
    <row r="1642" spans="1:13" x14ac:dyDescent="0.2">
      <c r="A1642" s="46">
        <f>[1]SUMMARY!A1643</f>
        <v>185</v>
      </c>
      <c r="B1642" s="46">
        <f>[1]SUMMARY!B1643</f>
        <v>70</v>
      </c>
      <c r="C1642" s="46">
        <f>[1]SUMMARY!C1643</f>
        <v>14</v>
      </c>
      <c r="D1642" s="47" t="str">
        <f>[1]SUMMARY!D1643</f>
        <v>YOKOHAMA (PH)</v>
      </c>
      <c r="E1642" s="25" t="str">
        <f>[1]SUMMARY!E1643</f>
        <v>ES32</v>
      </c>
      <c r="F1642" s="48">
        <v>4</v>
      </c>
      <c r="G1642" s="48">
        <v>643</v>
      </c>
      <c r="H1642" s="48">
        <v>647</v>
      </c>
      <c r="I1642" s="21">
        <f t="shared" si="17"/>
        <v>0</v>
      </c>
      <c r="J1642" s="22">
        <f>[1]SUMMARY!N1643</f>
        <v>3267.4</v>
      </c>
      <c r="K1642" s="50">
        <f t="shared" si="18"/>
        <v>0</v>
      </c>
      <c r="L1642" s="8"/>
      <c r="M1642" s="8"/>
    </row>
    <row r="1643" spans="1:13" x14ac:dyDescent="0.2">
      <c r="A1643" s="46">
        <f>[1]SUMMARY!A1644</f>
        <v>195</v>
      </c>
      <c r="B1643" s="46">
        <f>[1]SUMMARY!B1644</f>
        <v>70</v>
      </c>
      <c r="C1643" s="46">
        <f>[1]SUMMARY!C1644</f>
        <v>14</v>
      </c>
      <c r="D1643" s="47" t="str">
        <f>[1]SUMMARY!D1644</f>
        <v>YOKOHAMA (PH)</v>
      </c>
      <c r="E1643" s="25" t="str">
        <f>[1]SUMMARY!E1644</f>
        <v>ES32</v>
      </c>
      <c r="F1643" s="48"/>
      <c r="G1643" s="48">
        <v>45</v>
      </c>
      <c r="H1643" s="48">
        <v>43</v>
      </c>
      <c r="I1643" s="62">
        <f t="shared" si="17"/>
        <v>2</v>
      </c>
      <c r="J1643" s="22">
        <f>[1]SUMMARY!N1644</f>
        <v>3366.6</v>
      </c>
      <c r="K1643" s="50">
        <f t="shared" si="18"/>
        <v>6733.2</v>
      </c>
      <c r="L1643" s="8"/>
      <c r="M1643" s="8"/>
    </row>
    <row r="1644" spans="1:13" x14ac:dyDescent="0.2">
      <c r="A1644" s="46">
        <f>[1]SUMMARY!A1645</f>
        <v>185</v>
      </c>
      <c r="B1644" s="46" t="str">
        <f>[1]SUMMARY!B1645</f>
        <v xml:space="preserve">   </v>
      </c>
      <c r="C1644" s="46" t="str">
        <f>[1]SUMMARY!C1645</f>
        <v>14C</v>
      </c>
      <c r="D1644" s="47" t="str">
        <f>[1]SUMMARY!D1645</f>
        <v>YOKOHAMA (JP)</v>
      </c>
      <c r="E1644" s="25" t="str">
        <f>[1]SUMMARY!E1645</f>
        <v>8PR Y356</v>
      </c>
      <c r="F1644" s="48"/>
      <c r="G1644" s="48">
        <v>280</v>
      </c>
      <c r="H1644" s="48">
        <v>280</v>
      </c>
      <c r="I1644" s="21">
        <f t="shared" si="17"/>
        <v>0</v>
      </c>
      <c r="J1644" s="22">
        <f>[1]SUMMARY!N1645</f>
        <v>3955.6</v>
      </c>
      <c r="K1644" s="50">
        <f t="shared" si="18"/>
        <v>0</v>
      </c>
      <c r="L1644" s="8"/>
      <c r="M1644" s="8"/>
    </row>
    <row r="1645" spans="1:13" x14ac:dyDescent="0.2">
      <c r="A1645" s="52">
        <f>[1]SUMMARY!A1646</f>
        <v>185</v>
      </c>
      <c r="B1645" s="52" t="str">
        <f>[1]SUMMARY!B1646</f>
        <v xml:space="preserve">   </v>
      </c>
      <c r="C1645" s="52" t="str">
        <f>[1]SUMMARY!C1646</f>
        <v>14C</v>
      </c>
      <c r="D1645" s="39" t="str">
        <f>[1]SUMMARY!D1646</f>
        <v>YOKOHAMA (JP)</v>
      </c>
      <c r="E1645" s="25" t="str">
        <f>[1]SUMMARY!E1646</f>
        <v>8PR Y356</v>
      </c>
      <c r="F1645" s="21"/>
      <c r="G1645" s="21">
        <v>10</v>
      </c>
      <c r="H1645" s="21">
        <v>10</v>
      </c>
      <c r="I1645" s="62">
        <f t="shared" si="17"/>
        <v>0</v>
      </c>
      <c r="J1645" s="53">
        <f>[1]SUMMARY!N1646</f>
        <v>3910</v>
      </c>
      <c r="K1645" s="54">
        <f t="shared" si="18"/>
        <v>0</v>
      </c>
      <c r="L1645" s="56"/>
      <c r="M1645" s="56"/>
    </row>
    <row r="1646" spans="1:13" x14ac:dyDescent="0.2">
      <c r="A1646" s="17">
        <f>[1]SUMMARY!A1647</f>
        <v>195</v>
      </c>
      <c r="B1646" s="17">
        <f>[1]SUMMARY!B1647</f>
        <v>0</v>
      </c>
      <c r="C1646" s="17" t="str">
        <f>[1]SUMMARY!C1647</f>
        <v>14C</v>
      </c>
      <c r="D1646" s="25" t="str">
        <f>[1]SUMMARY!D1647</f>
        <v>YOKOHAMA (TH)</v>
      </c>
      <c r="E1646" s="25" t="str">
        <f>[1]SUMMARY!E1647</f>
        <v>8PR Y356</v>
      </c>
      <c r="F1646" s="30"/>
      <c r="G1646" s="30">
        <v>12</v>
      </c>
      <c r="H1646" s="30">
        <v>12</v>
      </c>
      <c r="I1646" s="21">
        <f t="shared" si="17"/>
        <v>0</v>
      </c>
      <c r="J1646" s="22">
        <f>[1]SUMMARY!N1647</f>
        <v>4042.4</v>
      </c>
      <c r="K1646" s="23">
        <f t="shared" si="18"/>
        <v>0</v>
      </c>
      <c r="L1646" s="8"/>
      <c r="M1646" s="8"/>
    </row>
    <row r="1647" spans="1:13" x14ac:dyDescent="0.2">
      <c r="A1647" s="17" t="str">
        <f>[1]SUMMARY!A1648</f>
        <v>195</v>
      </c>
      <c r="B1647" s="17">
        <f>[1]SUMMARY!B1648</f>
        <v>50</v>
      </c>
      <c r="C1647" s="17">
        <f>[1]SUMMARY!C1648</f>
        <v>15</v>
      </c>
      <c r="D1647" s="25" t="str">
        <f>[1]SUMMARY!D1648</f>
        <v>YOKOHAMA</v>
      </c>
      <c r="E1647" s="25" t="str">
        <f>[1]SUMMARY!E1648</f>
        <v>ES32</v>
      </c>
      <c r="F1647" s="30">
        <v>4</v>
      </c>
      <c r="G1647" s="30">
        <v>30</v>
      </c>
      <c r="H1647" s="30">
        <v>34</v>
      </c>
      <c r="I1647" s="21">
        <f t="shared" si="17"/>
        <v>0</v>
      </c>
      <c r="J1647" s="22">
        <f>[1]SUMMARY!N1648</f>
        <v>3276.8</v>
      </c>
      <c r="K1647" s="23">
        <f t="shared" si="18"/>
        <v>0</v>
      </c>
      <c r="L1647" s="8"/>
      <c r="M1647" s="8"/>
    </row>
    <row r="1648" spans="1:13" x14ac:dyDescent="0.2">
      <c r="A1648" s="17" t="str">
        <f>[1]SUMMARY!A1649</f>
        <v>175</v>
      </c>
      <c r="B1648" s="17">
        <f>[1]SUMMARY!B1649</f>
        <v>55</v>
      </c>
      <c r="C1648" s="17">
        <f>[1]SUMMARY!C1649</f>
        <v>15</v>
      </c>
      <c r="D1648" s="25" t="str">
        <f>[1]SUMMARY!D1649</f>
        <v>YOKOHAMA</v>
      </c>
      <c r="E1648" s="25" t="str">
        <f>[1]SUMMARY!E1649</f>
        <v>ES32</v>
      </c>
      <c r="F1648" s="30"/>
      <c r="G1648" s="30">
        <v>32</v>
      </c>
      <c r="H1648" s="30">
        <v>32</v>
      </c>
      <c r="I1648" s="21">
        <f t="shared" si="17"/>
        <v>0</v>
      </c>
      <c r="J1648" s="22">
        <f>[1]SUMMARY!N1649</f>
        <v>3059.2</v>
      </c>
      <c r="K1648" s="23">
        <f t="shared" si="18"/>
        <v>0</v>
      </c>
      <c r="L1648" s="8"/>
      <c r="M1648" s="8"/>
    </row>
    <row r="1649" spans="1:13" x14ac:dyDescent="0.2">
      <c r="A1649" s="17" t="str">
        <f>[1]SUMMARY!A1650</f>
        <v>175</v>
      </c>
      <c r="B1649" s="17">
        <f>[1]SUMMARY!B1650</f>
        <v>65</v>
      </c>
      <c r="C1649" s="17">
        <f>[1]SUMMARY!C1650</f>
        <v>15</v>
      </c>
      <c r="D1649" s="25" t="str">
        <f>[1]SUMMARY!D1650</f>
        <v>YOKOHAMA</v>
      </c>
      <c r="E1649" s="25" t="str">
        <f>[1]SUMMARY!E1650</f>
        <v>ES32</v>
      </c>
      <c r="F1649" s="30"/>
      <c r="G1649" s="30">
        <v>103</v>
      </c>
      <c r="H1649" s="30">
        <v>103</v>
      </c>
      <c r="I1649" s="21">
        <f t="shared" si="17"/>
        <v>0</v>
      </c>
      <c r="J1649" s="22">
        <f>[1]SUMMARY!N1650</f>
        <v>2737.8</v>
      </c>
      <c r="K1649" s="23">
        <f t="shared" si="18"/>
        <v>0</v>
      </c>
      <c r="L1649" s="8"/>
      <c r="M1649" s="8"/>
    </row>
    <row r="1650" spans="1:13" x14ac:dyDescent="0.2">
      <c r="A1650" s="46">
        <f>[1]SUMMARY!A1651</f>
        <v>185</v>
      </c>
      <c r="B1650" s="46">
        <f>[1]SUMMARY!B1651</f>
        <v>55</v>
      </c>
      <c r="C1650" s="46">
        <f>[1]SUMMARY!C1651</f>
        <v>15</v>
      </c>
      <c r="D1650" s="47" t="str">
        <f>[1]SUMMARY!D1651</f>
        <v>YOKOHAMA (PH)</v>
      </c>
      <c r="E1650" s="25" t="str">
        <f>[1]SUMMARY!E1651</f>
        <v>ES32</v>
      </c>
      <c r="F1650" s="48"/>
      <c r="G1650" s="48">
        <v>937</v>
      </c>
      <c r="H1650" s="48">
        <v>931</v>
      </c>
      <c r="I1650" s="21">
        <f t="shared" si="17"/>
        <v>6</v>
      </c>
      <c r="J1650" s="22">
        <f>[1]SUMMARY!N1651</f>
        <v>3292.2</v>
      </c>
      <c r="K1650" s="50">
        <f t="shared" si="18"/>
        <v>19753.199999999997</v>
      </c>
      <c r="L1650" s="8"/>
      <c r="M1650" s="8"/>
    </row>
    <row r="1651" spans="1:13" x14ac:dyDescent="0.2">
      <c r="A1651" s="52" t="str">
        <f>[1]SUMMARY!A1652</f>
        <v>195</v>
      </c>
      <c r="B1651" s="52">
        <f>[1]SUMMARY!B1652</f>
        <v>55</v>
      </c>
      <c r="C1651" s="52">
        <f>[1]SUMMARY!C1652</f>
        <v>15</v>
      </c>
      <c r="D1651" s="39" t="str">
        <f>[1]SUMMARY!D1652</f>
        <v>YOKOHAMA</v>
      </c>
      <c r="E1651" s="25" t="str">
        <f>[1]SUMMARY!E1652</f>
        <v>ADVAN FLEVA V701</v>
      </c>
      <c r="F1651" s="21"/>
      <c r="G1651" s="21"/>
      <c r="H1651" s="21"/>
      <c r="I1651" s="21">
        <f t="shared" si="17"/>
        <v>0</v>
      </c>
      <c r="J1651" s="53">
        <f>[1]SUMMARY!N1652</f>
        <v>3569.4</v>
      </c>
      <c r="K1651" s="54">
        <f t="shared" si="18"/>
        <v>0</v>
      </c>
      <c r="L1651" s="56"/>
      <c r="M1651" s="56"/>
    </row>
    <row r="1652" spans="1:13" x14ac:dyDescent="0.2">
      <c r="A1652" s="46" t="str">
        <f>[1]SUMMARY!A1653</f>
        <v>195</v>
      </c>
      <c r="B1652" s="46">
        <f>[1]SUMMARY!B1653</f>
        <v>55</v>
      </c>
      <c r="C1652" s="46">
        <f>[1]SUMMARY!C1653</f>
        <v>15</v>
      </c>
      <c r="D1652" s="47" t="str">
        <f>[1]SUMMARY!D1653</f>
        <v>YOKOHAMA (PH)</v>
      </c>
      <c r="E1652" s="25" t="str">
        <f>[1]SUMMARY!E1653</f>
        <v>ES32</v>
      </c>
      <c r="F1652" s="48"/>
      <c r="G1652" s="48">
        <v>332</v>
      </c>
      <c r="H1652" s="48">
        <v>332</v>
      </c>
      <c r="I1652" s="21">
        <f t="shared" si="17"/>
        <v>0</v>
      </c>
      <c r="J1652" s="22">
        <f>[1]SUMMARY!N1653</f>
        <v>3608.4</v>
      </c>
      <c r="K1652" s="50">
        <f t="shared" si="18"/>
        <v>0</v>
      </c>
      <c r="L1652" s="8"/>
      <c r="M1652" s="8"/>
    </row>
    <row r="1653" spans="1:13" x14ac:dyDescent="0.2">
      <c r="A1653" s="46">
        <f>[1]SUMMARY!A1654</f>
        <v>185</v>
      </c>
      <c r="B1653" s="46">
        <f>[1]SUMMARY!B1654</f>
        <v>60</v>
      </c>
      <c r="C1653" s="46">
        <f>[1]SUMMARY!C1654</f>
        <v>15</v>
      </c>
      <c r="D1653" s="47" t="str">
        <f>[1]SUMMARY!D1654</f>
        <v>YOKOHAMA (PH)</v>
      </c>
      <c r="E1653" s="25" t="str">
        <f>[1]SUMMARY!E1654</f>
        <v>ES32</v>
      </c>
      <c r="F1653" s="48"/>
      <c r="G1653" s="48">
        <v>1855</v>
      </c>
      <c r="H1653" s="48">
        <v>1851</v>
      </c>
      <c r="I1653" s="62">
        <f t="shared" si="17"/>
        <v>4</v>
      </c>
      <c r="J1653" s="22">
        <f>[1]SUMMARY!N1654</f>
        <v>3354.2</v>
      </c>
      <c r="K1653" s="50">
        <f t="shared" si="18"/>
        <v>13416.8</v>
      </c>
      <c r="L1653" s="8"/>
      <c r="M1653" s="8"/>
    </row>
    <row r="1654" spans="1:13" x14ac:dyDescent="0.2">
      <c r="A1654" s="17" t="str">
        <f>[1]SUMMARY!A1655</f>
        <v>185</v>
      </c>
      <c r="B1654" s="17">
        <f>[1]SUMMARY!B1655</f>
        <v>60</v>
      </c>
      <c r="C1654" s="17">
        <f>[1]SUMMARY!C1655</f>
        <v>15</v>
      </c>
      <c r="D1654" s="25" t="str">
        <f>[1]SUMMARY!D1655</f>
        <v xml:space="preserve">YOKOHAMA </v>
      </c>
      <c r="E1654" s="25" t="str">
        <f>[1]SUMMARY!E1655</f>
        <v>E70B</v>
      </c>
      <c r="F1654" s="30"/>
      <c r="G1654" s="30"/>
      <c r="H1654" s="30"/>
      <c r="I1654" s="21">
        <f t="shared" si="17"/>
        <v>0</v>
      </c>
      <c r="J1654" s="22">
        <f>[1]SUMMARY!N1655</f>
        <v>4056</v>
      </c>
      <c r="K1654" s="23">
        <f t="shared" si="18"/>
        <v>0</v>
      </c>
      <c r="L1654" s="8"/>
      <c r="M1654" s="8"/>
    </row>
    <row r="1655" spans="1:13" x14ac:dyDescent="0.2">
      <c r="A1655" s="17" t="str">
        <f>[1]SUMMARY!A1656</f>
        <v>185</v>
      </c>
      <c r="B1655" s="17">
        <f>[1]SUMMARY!B1656</f>
        <v>65</v>
      </c>
      <c r="C1655" s="17">
        <f>[1]SUMMARY!C1656</f>
        <v>15</v>
      </c>
      <c r="D1655" s="25" t="str">
        <f>[1]SUMMARY!D1656</f>
        <v>YOKOHAMA (PH)</v>
      </c>
      <c r="E1655" s="25" t="str">
        <f>[1]SUMMARY!E1656</f>
        <v>ES32</v>
      </c>
      <c r="F1655" s="30"/>
      <c r="G1655" s="30">
        <v>36</v>
      </c>
      <c r="H1655" s="30">
        <v>36</v>
      </c>
      <c r="I1655" s="21">
        <f t="shared" si="17"/>
        <v>0</v>
      </c>
      <c r="J1655" s="22">
        <f>[1]SUMMARY!N1656</f>
        <v>3276.8</v>
      </c>
      <c r="K1655" s="23">
        <f t="shared" si="18"/>
        <v>0</v>
      </c>
      <c r="L1655" s="8"/>
      <c r="M1655" s="8"/>
    </row>
    <row r="1656" spans="1:13" x14ac:dyDescent="0.2">
      <c r="A1656" s="17" t="str">
        <f>[1]SUMMARY!A1657</f>
        <v>185</v>
      </c>
      <c r="B1656" s="17">
        <f>[1]SUMMARY!B1657</f>
        <v>65</v>
      </c>
      <c r="C1656" s="17">
        <f>[1]SUMMARY!C1657</f>
        <v>15</v>
      </c>
      <c r="D1656" s="25" t="str">
        <f>[1]SUMMARY!D1657</f>
        <v>YOKOHAMA (PH)</v>
      </c>
      <c r="E1656" s="25" t="str">
        <f>[1]SUMMARY!E1657</f>
        <v>AE01</v>
      </c>
      <c r="F1656" s="30"/>
      <c r="G1656" s="30">
        <v>9</v>
      </c>
      <c r="H1656" s="30">
        <v>9</v>
      </c>
      <c r="I1656" s="21">
        <f t="shared" si="17"/>
        <v>0</v>
      </c>
      <c r="J1656" s="22">
        <f>[1]SUMMARY!N1657</f>
        <v>3421.03</v>
      </c>
      <c r="K1656" s="23">
        <f t="shared" si="18"/>
        <v>0</v>
      </c>
      <c r="L1656" s="8"/>
      <c r="M1656" s="8"/>
    </row>
    <row r="1657" spans="1:13" x14ac:dyDescent="0.2">
      <c r="A1657" s="46">
        <f>[1]SUMMARY!A1658</f>
        <v>195</v>
      </c>
      <c r="B1657" s="46">
        <f>[1]SUMMARY!B1658</f>
        <v>60</v>
      </c>
      <c r="C1657" s="46">
        <f>[1]SUMMARY!C1658</f>
        <v>15</v>
      </c>
      <c r="D1657" s="47" t="str">
        <f>[1]SUMMARY!D1658</f>
        <v>YOKOHAMA (PH)</v>
      </c>
      <c r="E1657" s="25" t="str">
        <f>[1]SUMMARY!E1658</f>
        <v>ES32</v>
      </c>
      <c r="F1657" s="48"/>
      <c r="G1657" s="48">
        <v>401</v>
      </c>
      <c r="H1657" s="48">
        <v>401</v>
      </c>
      <c r="I1657" s="21">
        <f t="shared" si="17"/>
        <v>0</v>
      </c>
      <c r="J1657" s="22">
        <f>[1]SUMMARY!N1658</f>
        <v>3503</v>
      </c>
      <c r="K1657" s="50">
        <f t="shared" si="18"/>
        <v>0</v>
      </c>
      <c r="L1657" s="8"/>
      <c r="M1657" s="8"/>
    </row>
    <row r="1658" spans="1:13" x14ac:dyDescent="0.2">
      <c r="A1658" s="17" t="str">
        <f>[1]SUMMARY!A1659</f>
        <v>205</v>
      </c>
      <c r="B1658" s="17">
        <f>[1]SUMMARY!B1659</f>
        <v>60</v>
      </c>
      <c r="C1658" s="17">
        <f>[1]SUMMARY!C1659</f>
        <v>15</v>
      </c>
      <c r="D1658" s="25" t="str">
        <f>[1]SUMMARY!D1659</f>
        <v>YOKOHAMA</v>
      </c>
      <c r="E1658" s="25" t="str">
        <f>[1]SUMMARY!E1659</f>
        <v>S306</v>
      </c>
      <c r="F1658" s="30"/>
      <c r="G1658" s="30"/>
      <c r="H1658" s="30"/>
      <c r="I1658" s="21">
        <f t="shared" si="17"/>
        <v>0</v>
      </c>
      <c r="J1658" s="22">
        <f>[1]SUMMARY!N1659</f>
        <v>3360</v>
      </c>
      <c r="K1658" s="23">
        <f t="shared" si="18"/>
        <v>0</v>
      </c>
      <c r="L1658" s="8"/>
      <c r="M1658" s="8"/>
    </row>
    <row r="1659" spans="1:13" x14ac:dyDescent="0.2">
      <c r="A1659" s="17">
        <f>[1]SUMMARY!A1660</f>
        <v>215</v>
      </c>
      <c r="B1659" s="17">
        <f>[1]SUMMARY!B1660</f>
        <v>60</v>
      </c>
      <c r="C1659" s="17">
        <f>[1]SUMMARY!C1660</f>
        <v>15</v>
      </c>
      <c r="D1659" s="25" t="str">
        <f>[1]SUMMARY!D1660</f>
        <v>YOKOHAMA</v>
      </c>
      <c r="E1659" s="25" t="str">
        <f>[1]SUMMARY!E1660</f>
        <v>A.DRIVE</v>
      </c>
      <c r="F1659" s="30"/>
      <c r="G1659" s="30"/>
      <c r="H1659" s="30"/>
      <c r="I1659" s="21">
        <f t="shared" si="17"/>
        <v>0</v>
      </c>
      <c r="J1659" s="22">
        <f>[1]SUMMARY!N1660</f>
        <v>3366</v>
      </c>
      <c r="K1659" s="23">
        <f t="shared" si="18"/>
        <v>0</v>
      </c>
      <c r="L1659" s="8"/>
      <c r="M1659" s="8"/>
    </row>
    <row r="1660" spans="1:13" x14ac:dyDescent="0.2">
      <c r="A1660" s="17">
        <f>[1]SUMMARY!A1661</f>
        <v>195</v>
      </c>
      <c r="B1660" s="17">
        <f>[1]SUMMARY!B1661</f>
        <v>65</v>
      </c>
      <c r="C1660" s="17">
        <f>[1]SUMMARY!C1661</f>
        <v>15</v>
      </c>
      <c r="D1660" s="25" t="str">
        <f>[1]SUMMARY!D1661</f>
        <v>YOKOHAMA</v>
      </c>
      <c r="E1660" s="25" t="str">
        <f>[1]SUMMARY!E1661</f>
        <v>A300</v>
      </c>
      <c r="F1660" s="30">
        <v>4</v>
      </c>
      <c r="G1660" s="30">
        <v>26</v>
      </c>
      <c r="H1660" s="30">
        <v>30</v>
      </c>
      <c r="I1660" s="21">
        <f t="shared" si="17"/>
        <v>0</v>
      </c>
      <c r="J1660" s="22">
        <f>[1]SUMMARY!N1661</f>
        <v>3522.4</v>
      </c>
      <c r="K1660" s="23">
        <f t="shared" si="18"/>
        <v>0</v>
      </c>
      <c r="L1660" s="8"/>
      <c r="M1660" s="8"/>
    </row>
    <row r="1661" spans="1:13" x14ac:dyDescent="0.2">
      <c r="A1661" s="17">
        <f>[1]SUMMARY!A1662</f>
        <v>195</v>
      </c>
      <c r="B1661" s="17">
        <f>[1]SUMMARY!B1662</f>
        <v>65</v>
      </c>
      <c r="C1661" s="17">
        <f>[1]SUMMARY!C1662</f>
        <v>15</v>
      </c>
      <c r="D1661" s="25" t="str">
        <f>[1]SUMMARY!D1662</f>
        <v>YOKOHAMA</v>
      </c>
      <c r="E1661" s="25" t="str">
        <f>[1]SUMMARY!E1662</f>
        <v>A300</v>
      </c>
      <c r="F1661" s="30"/>
      <c r="G1661" s="30">
        <v>2</v>
      </c>
      <c r="H1661" s="30">
        <v>2</v>
      </c>
      <c r="I1661" s="21">
        <f t="shared" si="17"/>
        <v>0</v>
      </c>
      <c r="J1661" s="22">
        <f>[1]SUMMARY!N1662</f>
        <v>3289.6</v>
      </c>
      <c r="K1661" s="23">
        <f t="shared" si="18"/>
        <v>0</v>
      </c>
      <c r="L1661" s="8"/>
      <c r="M1661" s="8"/>
    </row>
    <row r="1662" spans="1:13" x14ac:dyDescent="0.2">
      <c r="A1662" s="46">
        <f>[1]SUMMARY!A1663</f>
        <v>195</v>
      </c>
      <c r="B1662" s="46">
        <f>[1]SUMMARY!B1663</f>
        <v>65</v>
      </c>
      <c r="C1662" s="46">
        <f>[1]SUMMARY!C1663</f>
        <v>15</v>
      </c>
      <c r="D1662" s="47" t="str">
        <f>[1]SUMMARY!D1663</f>
        <v>YOKOHAMA (PH)</v>
      </c>
      <c r="E1662" s="25" t="str">
        <f>[1]SUMMARY!E1663</f>
        <v>ES32</v>
      </c>
      <c r="F1662" s="48"/>
      <c r="G1662" s="48">
        <v>503</v>
      </c>
      <c r="H1662" s="48">
        <v>503</v>
      </c>
      <c r="I1662" s="21">
        <f t="shared" si="17"/>
        <v>0</v>
      </c>
      <c r="J1662" s="22">
        <f>[1]SUMMARY!N1663</f>
        <v>3726.2</v>
      </c>
      <c r="K1662" s="50">
        <f t="shared" si="18"/>
        <v>0</v>
      </c>
      <c r="L1662" s="8"/>
      <c r="M1662" s="8"/>
    </row>
    <row r="1663" spans="1:13" x14ac:dyDescent="0.2">
      <c r="A1663" s="46" t="str">
        <f>[1]SUMMARY!A1664</f>
        <v>205</v>
      </c>
      <c r="B1663" s="46">
        <f>[1]SUMMARY!B1664</f>
        <v>65</v>
      </c>
      <c r="C1663" s="46">
        <f>[1]SUMMARY!C1664</f>
        <v>15</v>
      </c>
      <c r="D1663" s="47" t="str">
        <f>[1]SUMMARY!D1664</f>
        <v>YOKOHAMA (PH)</v>
      </c>
      <c r="E1663" s="25" t="str">
        <f>[1]SUMMARY!E1664</f>
        <v>A300</v>
      </c>
      <c r="F1663" s="48"/>
      <c r="G1663" s="48">
        <v>1099</v>
      </c>
      <c r="H1663" s="48">
        <v>1095</v>
      </c>
      <c r="I1663" s="62">
        <f t="shared" si="17"/>
        <v>4</v>
      </c>
      <c r="J1663" s="22">
        <f>[1]SUMMARY!N1664</f>
        <v>4098.2</v>
      </c>
      <c r="K1663" s="50">
        <f t="shared" si="18"/>
        <v>16392.8</v>
      </c>
      <c r="L1663" s="8"/>
      <c r="M1663" s="8"/>
    </row>
    <row r="1664" spans="1:13" x14ac:dyDescent="0.2">
      <c r="A1664" s="58" t="str">
        <f>[1]SUMMARY!A1665</f>
        <v>205</v>
      </c>
      <c r="B1664" s="58">
        <f>[1]SUMMARY!B1665</f>
        <v>65</v>
      </c>
      <c r="C1664" s="58">
        <f>[1]SUMMARY!C1665</f>
        <v>15</v>
      </c>
      <c r="D1664" s="59" t="str">
        <f>[1]SUMMARY!D1665</f>
        <v>YOKOHAMA (PH)</v>
      </c>
      <c r="E1664" s="25" t="str">
        <f>[1]SUMMARY!E1665</f>
        <v>ES32</v>
      </c>
      <c r="F1664" s="20"/>
      <c r="G1664" s="20">
        <v>13</v>
      </c>
      <c r="H1664" s="20">
        <v>13</v>
      </c>
      <c r="I1664" s="21">
        <f t="shared" si="17"/>
        <v>0</v>
      </c>
      <c r="J1664" s="57">
        <f>[1]SUMMARY!N1665</f>
        <v>3757</v>
      </c>
      <c r="K1664" s="23">
        <f t="shared" si="18"/>
        <v>0</v>
      </c>
      <c r="L1664" s="8"/>
      <c r="M1664" s="8"/>
    </row>
    <row r="1665" spans="1:13" x14ac:dyDescent="0.2">
      <c r="A1665" s="17" t="str">
        <f>[1]SUMMARY!A1666</f>
        <v>205</v>
      </c>
      <c r="B1665" s="17">
        <f>[1]SUMMARY!B1666</f>
        <v>70</v>
      </c>
      <c r="C1665" s="17">
        <f>[1]SUMMARY!C1666</f>
        <v>15</v>
      </c>
      <c r="D1665" s="25" t="str">
        <f>[1]SUMMARY!D1666</f>
        <v>YOKOHAMA</v>
      </c>
      <c r="E1665" s="25" t="str">
        <f>[1]SUMMARY!E1666</f>
        <v>RY818</v>
      </c>
      <c r="F1665" s="30"/>
      <c r="G1665" s="30"/>
      <c r="H1665" s="30"/>
      <c r="I1665" s="21">
        <f t="shared" si="17"/>
        <v>0</v>
      </c>
      <c r="J1665" s="22">
        <f>[1]SUMMARY!N1666</f>
        <v>5507</v>
      </c>
      <c r="K1665" s="23">
        <f t="shared" si="18"/>
        <v>0</v>
      </c>
      <c r="L1665" s="8"/>
      <c r="M1665" s="8"/>
    </row>
    <row r="1666" spans="1:13" x14ac:dyDescent="0.2">
      <c r="A1666" s="46" t="str">
        <f>[1]SUMMARY!A1667</f>
        <v>205</v>
      </c>
      <c r="B1666" s="46">
        <f>[1]SUMMARY!B1667</f>
        <v>70</v>
      </c>
      <c r="C1666" s="46">
        <f>[1]SUMMARY!C1667</f>
        <v>15</v>
      </c>
      <c r="D1666" s="47" t="str">
        <f>[1]SUMMARY!D1667</f>
        <v>YOKOHAMA (PH)</v>
      </c>
      <c r="E1666" s="25" t="str">
        <f>[1]SUMMARY!E1667</f>
        <v>G046 H/T</v>
      </c>
      <c r="F1666" s="48"/>
      <c r="G1666" s="48">
        <v>636</v>
      </c>
      <c r="H1666" s="48">
        <v>636</v>
      </c>
      <c r="I1666" s="21">
        <f t="shared" si="17"/>
        <v>0</v>
      </c>
      <c r="J1666" s="22">
        <f>[1]SUMMARY!N1667</f>
        <v>3961.8</v>
      </c>
      <c r="K1666" s="50">
        <f t="shared" si="18"/>
        <v>0</v>
      </c>
      <c r="L1666" s="8"/>
      <c r="M1666" s="8"/>
    </row>
    <row r="1667" spans="1:13" x14ac:dyDescent="0.2">
      <c r="A1667" s="17" t="str">
        <f>[1]SUMMARY!A1668</f>
        <v>215</v>
      </c>
      <c r="B1667" s="17">
        <f>[1]SUMMARY!B1668</f>
        <v>70</v>
      </c>
      <c r="C1667" s="17">
        <f>[1]SUMMARY!C1668</f>
        <v>15</v>
      </c>
      <c r="D1667" s="25" t="str">
        <f>[1]SUMMARY!D1668</f>
        <v>YOKOHAMA</v>
      </c>
      <c r="E1667" s="25" t="str">
        <f>[1]SUMMARY!E1668</f>
        <v>RY818</v>
      </c>
      <c r="F1667" s="30"/>
      <c r="G1667" s="30">
        <v>18</v>
      </c>
      <c r="H1667" s="30">
        <v>18</v>
      </c>
      <c r="I1667" s="21">
        <f t="shared" si="17"/>
        <v>0</v>
      </c>
      <c r="J1667" s="22">
        <f>[1]SUMMARY!N1668</f>
        <v>5161.2</v>
      </c>
      <c r="K1667" s="23">
        <f t="shared" si="18"/>
        <v>0</v>
      </c>
      <c r="L1667" s="8"/>
      <c r="M1667" s="8"/>
    </row>
    <row r="1668" spans="1:13" x14ac:dyDescent="0.2">
      <c r="A1668" s="17" t="str">
        <f>[1]SUMMARY!A1669</f>
        <v>225</v>
      </c>
      <c r="B1668" s="17">
        <f>[1]SUMMARY!B1669</f>
        <v>70</v>
      </c>
      <c r="C1668" s="17">
        <f>[1]SUMMARY!C1669</f>
        <v>15</v>
      </c>
      <c r="D1668" s="25" t="str">
        <f>[1]SUMMARY!D1669</f>
        <v>YOKOHAMA</v>
      </c>
      <c r="E1668" s="25" t="str">
        <f>[1]SUMMARY!E1669</f>
        <v>RY55</v>
      </c>
      <c r="F1668" s="21"/>
      <c r="G1668" s="21">
        <v>4</v>
      </c>
      <c r="H1668" s="21">
        <v>4</v>
      </c>
      <c r="I1668" s="21">
        <f t="shared" si="17"/>
        <v>0</v>
      </c>
      <c r="J1668" s="22">
        <f>[1]SUMMARY!N1669</f>
        <v>6919.2</v>
      </c>
      <c r="K1668" s="23">
        <f t="shared" si="18"/>
        <v>0</v>
      </c>
      <c r="L1668" s="56"/>
      <c r="M1668" s="56"/>
    </row>
    <row r="1669" spans="1:13" x14ac:dyDescent="0.2">
      <c r="A1669" s="46">
        <f>[1]SUMMARY!A1670</f>
        <v>235</v>
      </c>
      <c r="B1669" s="46">
        <f>[1]SUMMARY!B1670</f>
        <v>70</v>
      </c>
      <c r="C1669" s="46">
        <f>[1]SUMMARY!C1670</f>
        <v>15</v>
      </c>
      <c r="D1669" s="47" t="str">
        <f>[1]SUMMARY!D1670</f>
        <v>YOKOHAMA (PH)</v>
      </c>
      <c r="E1669" s="25" t="str">
        <f>[1]SUMMARY!E1670</f>
        <v>G012 A/T</v>
      </c>
      <c r="F1669" s="48"/>
      <c r="G1669" s="48">
        <v>343</v>
      </c>
      <c r="H1669" s="48">
        <v>343</v>
      </c>
      <c r="I1669" s="21">
        <f t="shared" si="17"/>
        <v>0</v>
      </c>
      <c r="J1669" s="22">
        <f>[1]SUMMARY!N1670</f>
        <v>6057.4</v>
      </c>
      <c r="K1669" s="50">
        <f t="shared" si="18"/>
        <v>0</v>
      </c>
      <c r="L1669" s="8"/>
      <c r="M1669" s="8"/>
    </row>
    <row r="1670" spans="1:13" x14ac:dyDescent="0.2">
      <c r="A1670" s="52" t="str">
        <f>[1]SUMMARY!A1671</f>
        <v>265</v>
      </c>
      <c r="B1670" s="52">
        <f>[1]SUMMARY!B1671</f>
        <v>70</v>
      </c>
      <c r="C1670" s="52">
        <f>[1]SUMMARY!C1671</f>
        <v>15</v>
      </c>
      <c r="D1670" s="39" t="str">
        <f>[1]SUMMARY!D1671</f>
        <v>YOKOHAMA</v>
      </c>
      <c r="E1670" s="25" t="str">
        <f>[1]SUMMARY!E1671</f>
        <v>G015 A/T</v>
      </c>
      <c r="F1670" s="21"/>
      <c r="G1670" s="21"/>
      <c r="H1670" s="21"/>
      <c r="I1670" s="21">
        <f t="shared" si="17"/>
        <v>0</v>
      </c>
      <c r="J1670" s="22">
        <f>[1]SUMMARY!N1671</f>
        <v>8100</v>
      </c>
      <c r="K1670" s="54">
        <f t="shared" si="18"/>
        <v>0</v>
      </c>
      <c r="L1670" s="56"/>
      <c r="M1670" s="56"/>
    </row>
    <row r="1671" spans="1:13" x14ac:dyDescent="0.2">
      <c r="A1671" s="17" t="str">
        <f>[1]SUMMARY!A1672</f>
        <v>235</v>
      </c>
      <c r="B1671" s="17">
        <f>[1]SUMMARY!B1672</f>
        <v>75</v>
      </c>
      <c r="C1671" s="17">
        <f>[1]SUMMARY!C1672</f>
        <v>15</v>
      </c>
      <c r="D1671" s="25" t="str">
        <f>[1]SUMMARY!D1672</f>
        <v>YOKOHAMA (PH)</v>
      </c>
      <c r="E1671" s="25" t="str">
        <f>[1]SUMMARY!E1672</f>
        <v>GO12 A/T</v>
      </c>
      <c r="F1671" s="30"/>
      <c r="G1671" s="30"/>
      <c r="H1671" s="30"/>
      <c r="I1671" s="21">
        <f t="shared" si="17"/>
        <v>0</v>
      </c>
      <c r="J1671" s="22">
        <f>[1]SUMMARY!N1672</f>
        <v>3421</v>
      </c>
      <c r="K1671" s="23">
        <f t="shared" si="18"/>
        <v>0</v>
      </c>
      <c r="L1671" s="8"/>
      <c r="M1671" s="8"/>
    </row>
    <row r="1672" spans="1:13" x14ac:dyDescent="0.2">
      <c r="A1672" s="46" t="str">
        <f>[1]SUMMARY!A1673</f>
        <v>185</v>
      </c>
      <c r="B1672" s="46">
        <f>[1]SUMMARY!B1673</f>
        <v>55</v>
      </c>
      <c r="C1672" s="46">
        <f>[1]SUMMARY!C1673</f>
        <v>16</v>
      </c>
      <c r="D1672" s="47" t="str">
        <f>[1]SUMMARY!D1673</f>
        <v>YOKOHAMA (PH)</v>
      </c>
      <c r="E1672" s="25" t="str">
        <f>[1]SUMMARY!E1673</f>
        <v>ES32</v>
      </c>
      <c r="F1672" s="48">
        <v>4</v>
      </c>
      <c r="G1672" s="48">
        <v>747</v>
      </c>
      <c r="H1672" s="48">
        <v>743</v>
      </c>
      <c r="I1672" s="21">
        <f t="shared" si="17"/>
        <v>8</v>
      </c>
      <c r="J1672" s="22">
        <f>[1]SUMMARY!N1673</f>
        <v>3961.8</v>
      </c>
      <c r="K1672" s="50">
        <f t="shared" si="18"/>
        <v>31694.400000000001</v>
      </c>
      <c r="L1672" s="8"/>
      <c r="M1672" s="8"/>
    </row>
    <row r="1673" spans="1:13" x14ac:dyDescent="0.2">
      <c r="A1673" s="17" t="str">
        <f>[1]SUMMARY!A1674</f>
        <v>195</v>
      </c>
      <c r="B1673" s="17">
        <f>[1]SUMMARY!B1674</f>
        <v>50</v>
      </c>
      <c r="C1673" s="17">
        <f>[1]SUMMARY!C1674</f>
        <v>16</v>
      </c>
      <c r="D1673" s="25" t="str">
        <f>[1]SUMMARY!D1674</f>
        <v>YOKOHAMA</v>
      </c>
      <c r="E1673" s="25" t="str">
        <f>[1]SUMMARY!E1674</f>
        <v>V701</v>
      </c>
      <c r="F1673" s="30"/>
      <c r="G1673" s="30"/>
      <c r="H1673" s="30"/>
      <c r="I1673" s="21">
        <f t="shared" si="17"/>
        <v>0</v>
      </c>
      <c r="J1673" s="22">
        <f>[1]SUMMARY!N1674</f>
        <v>4057.6</v>
      </c>
      <c r="K1673" s="23">
        <f t="shared" si="18"/>
        <v>0</v>
      </c>
      <c r="L1673" s="8"/>
      <c r="M1673" s="8"/>
    </row>
    <row r="1674" spans="1:13" x14ac:dyDescent="0.2">
      <c r="A1674" s="17" t="str">
        <f>[1]SUMMARY!A1675</f>
        <v>195</v>
      </c>
      <c r="B1674" s="17">
        <f>[1]SUMMARY!B1675</f>
        <v>50</v>
      </c>
      <c r="C1674" s="17">
        <f>[1]SUMMARY!C1675</f>
        <v>16</v>
      </c>
      <c r="D1674" s="25" t="str">
        <f>[1]SUMMARY!D1675</f>
        <v>YOKOHAMA</v>
      </c>
      <c r="E1674" s="25" t="str">
        <f>[1]SUMMARY!E1675</f>
        <v>ES32</v>
      </c>
      <c r="F1674" s="30"/>
      <c r="G1674" s="30"/>
      <c r="H1674" s="30"/>
      <c r="I1674" s="21">
        <f t="shared" si="17"/>
        <v>0</v>
      </c>
      <c r="J1674" s="22">
        <f>[1]SUMMARY!N1675</f>
        <v>4737.6000000000004</v>
      </c>
      <c r="K1674" s="23">
        <f t="shared" si="18"/>
        <v>0</v>
      </c>
      <c r="L1674" s="8"/>
      <c r="M1674" s="8"/>
    </row>
    <row r="1675" spans="1:13" x14ac:dyDescent="0.2">
      <c r="A1675" s="17" t="str">
        <f>[1]SUMMARY!A1676</f>
        <v>195</v>
      </c>
      <c r="B1675" s="17">
        <f>[1]SUMMARY!B1676</f>
        <v>55</v>
      </c>
      <c r="C1675" s="17">
        <f>[1]SUMMARY!C1676</f>
        <v>16</v>
      </c>
      <c r="D1675" s="25" t="str">
        <f>[1]SUMMARY!D1676</f>
        <v>YOKOHAMA</v>
      </c>
      <c r="E1675" s="25" t="str">
        <f>[1]SUMMARY!E1676</f>
        <v>EA51</v>
      </c>
      <c r="F1675" s="30"/>
      <c r="G1675" s="30"/>
      <c r="H1675" s="30"/>
      <c r="I1675" s="21">
        <f t="shared" si="17"/>
        <v>0</v>
      </c>
      <c r="J1675" s="22">
        <f>[1]SUMMARY!N1676</f>
        <v>4019.2</v>
      </c>
      <c r="K1675" s="23">
        <f t="shared" si="18"/>
        <v>0</v>
      </c>
      <c r="L1675" s="8"/>
      <c r="M1675" s="8"/>
    </row>
    <row r="1676" spans="1:13" x14ac:dyDescent="0.2">
      <c r="A1676" s="17" t="str">
        <f>[1]SUMMARY!A1677</f>
        <v>195</v>
      </c>
      <c r="B1676" s="17">
        <f>[1]SUMMARY!B1677</f>
        <v>60</v>
      </c>
      <c r="C1676" s="17">
        <f>[1]SUMMARY!C1677</f>
        <v>16</v>
      </c>
      <c r="D1676" s="25" t="str">
        <f>[1]SUMMARY!D1677</f>
        <v>YOKOHAMA</v>
      </c>
      <c r="E1676" s="25" t="str">
        <f>[1]SUMMARY!E1677</f>
        <v>ES32</v>
      </c>
      <c r="F1676" s="67">
        <v>4</v>
      </c>
      <c r="G1676" s="68">
        <v>15</v>
      </c>
      <c r="H1676" s="68">
        <v>19</v>
      </c>
      <c r="I1676" s="21">
        <f t="shared" si="17"/>
        <v>0</v>
      </c>
      <c r="J1676" s="22">
        <f>[1]SUMMARY!N1677</f>
        <v>4760</v>
      </c>
      <c r="K1676" s="23">
        <f t="shared" si="18"/>
        <v>0</v>
      </c>
      <c r="L1676" s="8"/>
      <c r="M1676" s="8"/>
    </row>
    <row r="1677" spans="1:13" x14ac:dyDescent="0.2">
      <c r="A1677" s="17" t="str">
        <f>[1]SUMMARY!A1678</f>
        <v>205</v>
      </c>
      <c r="B1677" s="17">
        <f>[1]SUMMARY!B1678</f>
        <v>0</v>
      </c>
      <c r="C1677" s="17">
        <f>[1]SUMMARY!C1678</f>
        <v>16</v>
      </c>
      <c r="D1677" s="25" t="str">
        <f>[1]SUMMARY!D1678</f>
        <v>YOKOHAMA</v>
      </c>
      <c r="E1677" s="25" t="str">
        <f>[1]SUMMARY!E1678</f>
        <v>Y82AX</v>
      </c>
      <c r="F1677" s="30"/>
      <c r="G1677" s="30"/>
      <c r="H1677" s="30"/>
      <c r="I1677" s="21">
        <f t="shared" si="17"/>
        <v>0</v>
      </c>
      <c r="J1677" s="22">
        <f>[1]SUMMARY!N1678</f>
        <v>5382</v>
      </c>
      <c r="K1677" s="23">
        <f t="shared" si="18"/>
        <v>0</v>
      </c>
      <c r="L1677" s="8"/>
      <c r="M1677" s="8"/>
    </row>
    <row r="1678" spans="1:13" x14ac:dyDescent="0.2">
      <c r="A1678" s="17" t="str">
        <f>[1]SUMMARY!A1679</f>
        <v>205</v>
      </c>
      <c r="B1678" s="17">
        <f>[1]SUMMARY!B1679</f>
        <v>45</v>
      </c>
      <c r="C1678" s="17">
        <f>[1]SUMMARY!C1679</f>
        <v>16</v>
      </c>
      <c r="D1678" s="25" t="str">
        <f>[1]SUMMARY!D1679</f>
        <v>YOKOHAMA</v>
      </c>
      <c r="E1678" s="25" t="str">
        <f>[1]SUMMARY!E1679</f>
        <v>ADVAN FLEVA V701</v>
      </c>
      <c r="F1678" s="30"/>
      <c r="G1678" s="30">
        <v>4</v>
      </c>
      <c r="H1678" s="30">
        <v>4</v>
      </c>
      <c r="I1678" s="21">
        <f t="shared" si="17"/>
        <v>0</v>
      </c>
      <c r="J1678" s="22">
        <f>[1]SUMMARY!N1679</f>
        <v>4197.04</v>
      </c>
      <c r="K1678" s="23">
        <f t="shared" si="18"/>
        <v>0</v>
      </c>
      <c r="L1678" s="56"/>
      <c r="M1678" s="56"/>
    </row>
    <row r="1679" spans="1:13" x14ac:dyDescent="0.2">
      <c r="A1679" s="17" t="str">
        <f>[1]SUMMARY!A1680</f>
        <v>205</v>
      </c>
      <c r="B1679" s="17">
        <f>[1]SUMMARY!B1680</f>
        <v>50</v>
      </c>
      <c r="C1679" s="17">
        <f>[1]SUMMARY!C1680</f>
        <v>16</v>
      </c>
      <c r="D1679" s="25" t="str">
        <f>[1]SUMMARY!D1680</f>
        <v>YOKOHAMA</v>
      </c>
      <c r="E1679" s="25" t="str">
        <f>[1]SUMMARY!E1680</f>
        <v>V701</v>
      </c>
      <c r="F1679" s="30"/>
      <c r="G1679" s="21"/>
      <c r="H1679" s="21"/>
      <c r="I1679" s="21">
        <f t="shared" si="17"/>
        <v>0</v>
      </c>
      <c r="J1679" s="22">
        <f>[1]SUMMARY!N1680</f>
        <v>4557</v>
      </c>
      <c r="K1679" s="23">
        <f t="shared" si="18"/>
        <v>0</v>
      </c>
      <c r="L1679" s="8"/>
      <c r="M1679" s="8"/>
    </row>
    <row r="1680" spans="1:13" x14ac:dyDescent="0.2">
      <c r="A1680" s="46" t="str">
        <f>[1]SUMMARY!A1681</f>
        <v>205</v>
      </c>
      <c r="B1680" s="46">
        <f>[1]SUMMARY!B1681</f>
        <v>55</v>
      </c>
      <c r="C1680" s="46">
        <f>[1]SUMMARY!C1681</f>
        <v>16</v>
      </c>
      <c r="D1680" s="47" t="str">
        <f>[1]SUMMARY!D1681</f>
        <v>YOKOHAMA (PH)</v>
      </c>
      <c r="E1680" s="25" t="str">
        <f>[1]SUMMARY!E1681</f>
        <v>ES32</v>
      </c>
      <c r="F1680" s="48"/>
      <c r="G1680" s="48">
        <v>1030</v>
      </c>
      <c r="H1680" s="48">
        <v>1026</v>
      </c>
      <c r="I1680" s="21">
        <f t="shared" si="17"/>
        <v>4</v>
      </c>
      <c r="J1680" s="22">
        <f>[1]SUMMARY!N1681</f>
        <v>4185</v>
      </c>
      <c r="K1680" s="50">
        <f t="shared" si="18"/>
        <v>16740</v>
      </c>
      <c r="L1680" s="8"/>
      <c r="M1680" s="8"/>
    </row>
    <row r="1681" spans="1:13" x14ac:dyDescent="0.2">
      <c r="A1681" s="52" t="str">
        <f>[1]SUMMARY!A1682</f>
        <v>205</v>
      </c>
      <c r="B1681" s="52">
        <f>[1]SUMMARY!B1682</f>
        <v>55</v>
      </c>
      <c r="C1681" s="52">
        <f>[1]SUMMARY!C1682</f>
        <v>16</v>
      </c>
      <c r="D1681" s="39" t="str">
        <f>[1]SUMMARY!D1682</f>
        <v>YOKOHAMA</v>
      </c>
      <c r="E1681" s="25" t="str">
        <f>[1]SUMMARY!E1682</f>
        <v>V701 ADVAN FLEVA</v>
      </c>
      <c r="F1681" s="21"/>
      <c r="G1681" s="21">
        <v>4</v>
      </c>
      <c r="H1681" s="21">
        <v>4</v>
      </c>
      <c r="I1681" s="21">
        <f t="shared" si="17"/>
        <v>0</v>
      </c>
      <c r="J1681" s="53">
        <f>[1]SUMMARY!N1682</f>
        <v>4380.2</v>
      </c>
      <c r="K1681" s="54">
        <f t="shared" si="18"/>
        <v>0</v>
      </c>
      <c r="L1681" s="56"/>
      <c r="M1681" s="56"/>
    </row>
    <row r="1682" spans="1:13" x14ac:dyDescent="0.2">
      <c r="A1682" s="17" t="str">
        <f>[1]SUMMARY!A1683</f>
        <v>215</v>
      </c>
      <c r="B1682" s="17">
        <f>[1]SUMMARY!B1683</f>
        <v>55</v>
      </c>
      <c r="C1682" s="17">
        <f>[1]SUMMARY!C1683</f>
        <v>16</v>
      </c>
      <c r="D1682" s="25" t="str">
        <f>[1]SUMMARY!D1683</f>
        <v>YOKOHAMA</v>
      </c>
      <c r="E1682" s="25" t="str">
        <f>[1]SUMMARY!E1683</f>
        <v>AE51</v>
      </c>
      <c r="F1682" s="30"/>
      <c r="G1682" s="30">
        <v>28</v>
      </c>
      <c r="H1682" s="30">
        <v>28</v>
      </c>
      <c r="I1682" s="21">
        <f t="shared" si="17"/>
        <v>0</v>
      </c>
      <c r="J1682" s="22">
        <f>[1]SUMMARY!N1683</f>
        <v>4780.2</v>
      </c>
      <c r="K1682" s="23">
        <f t="shared" si="18"/>
        <v>0</v>
      </c>
      <c r="L1682" s="8"/>
      <c r="M1682" s="8"/>
    </row>
    <row r="1683" spans="1:13" x14ac:dyDescent="0.2">
      <c r="A1683" s="46">
        <f>[1]SUMMARY!A1684</f>
        <v>215</v>
      </c>
      <c r="B1683" s="46">
        <f>[1]SUMMARY!B1684</f>
        <v>60</v>
      </c>
      <c r="C1683" s="46">
        <f>[1]SUMMARY!C1684</f>
        <v>16</v>
      </c>
      <c r="D1683" s="47" t="str">
        <f>[1]SUMMARY!D1684</f>
        <v>YOKOHAMA (PH)</v>
      </c>
      <c r="E1683" s="25" t="str">
        <f>[1]SUMMARY!E1684</f>
        <v>AE51</v>
      </c>
      <c r="F1683" s="48">
        <v>4</v>
      </c>
      <c r="G1683" s="48">
        <v>239</v>
      </c>
      <c r="H1683" s="48">
        <v>243</v>
      </c>
      <c r="I1683" s="21">
        <f t="shared" si="17"/>
        <v>0</v>
      </c>
      <c r="J1683" s="22">
        <f>[1]SUMMARY!N1684</f>
        <v>5046.8</v>
      </c>
      <c r="K1683" s="50">
        <f t="shared" si="18"/>
        <v>0</v>
      </c>
      <c r="L1683" s="8" t="s">
        <v>12</v>
      </c>
      <c r="M1683" s="8"/>
    </row>
    <row r="1684" spans="1:13" x14ac:dyDescent="0.2">
      <c r="A1684" s="17" t="str">
        <f>[1]SUMMARY!A1685</f>
        <v>235</v>
      </c>
      <c r="B1684" s="17">
        <f>[1]SUMMARY!B1685</f>
        <v>65</v>
      </c>
      <c r="C1684" s="17" t="str">
        <f>[1]SUMMARY!C1685</f>
        <v>16C</v>
      </c>
      <c r="D1684" s="25" t="str">
        <f>[1]SUMMARY!D1685</f>
        <v>YOKOHAMA (PH)</v>
      </c>
      <c r="E1684" s="25" t="str">
        <f>[1]SUMMARY!E1685</f>
        <v>RY55</v>
      </c>
      <c r="F1684" s="30"/>
      <c r="G1684" s="30">
        <v>12</v>
      </c>
      <c r="H1684" s="30">
        <v>12</v>
      </c>
      <c r="I1684" s="21">
        <f t="shared" si="17"/>
        <v>0</v>
      </c>
      <c r="J1684" s="22">
        <f>[1]SUMMARY!N1685</f>
        <v>7782.4</v>
      </c>
      <c r="K1684" s="23">
        <f t="shared" si="18"/>
        <v>0</v>
      </c>
      <c r="L1684" s="8"/>
      <c r="M1684" s="8"/>
    </row>
    <row r="1685" spans="1:13" x14ac:dyDescent="0.2">
      <c r="A1685" s="46" t="str">
        <f>[1]SUMMARY!A1686</f>
        <v>205</v>
      </c>
      <c r="B1685" s="46">
        <f>[1]SUMMARY!B1686</f>
        <v>65</v>
      </c>
      <c r="C1685" s="46">
        <f>[1]SUMMARY!C1686</f>
        <v>16</v>
      </c>
      <c r="D1685" s="47" t="str">
        <f>[1]SUMMARY!D1686</f>
        <v>YOKOHAMA (PH)</v>
      </c>
      <c r="E1685" s="25" t="str">
        <f>[1]SUMMARY!E1686</f>
        <v>E70B BLUEARTH</v>
      </c>
      <c r="F1685" s="48"/>
      <c r="G1685" s="48">
        <v>1555</v>
      </c>
      <c r="H1685" s="48">
        <v>1551</v>
      </c>
      <c r="I1685" s="21">
        <f t="shared" si="17"/>
        <v>4</v>
      </c>
      <c r="J1685" s="22">
        <f>[1]SUMMARY!N1686</f>
        <v>4978.6000000000004</v>
      </c>
      <c r="K1685" s="23">
        <f t="shared" si="18"/>
        <v>19914.400000000001</v>
      </c>
      <c r="L1685" s="8"/>
      <c r="M1685" s="8"/>
    </row>
    <row r="1686" spans="1:13" x14ac:dyDescent="0.2">
      <c r="A1686" s="52" t="str">
        <f>[1]SUMMARY!A1687</f>
        <v>205</v>
      </c>
      <c r="B1686" s="52">
        <f>[1]SUMMARY!B1687</f>
        <v>65</v>
      </c>
      <c r="C1686" s="52">
        <f>[1]SUMMARY!C1687</f>
        <v>16</v>
      </c>
      <c r="D1686" s="39" t="str">
        <f>[1]SUMMARY!D1687</f>
        <v>YOKOHAMA</v>
      </c>
      <c r="E1686" s="25" t="str">
        <f>[1]SUMMARY!E1687</f>
        <v>E70B DECIBEL</v>
      </c>
      <c r="F1686" s="30"/>
      <c r="G1686" s="30">
        <v>16</v>
      </c>
      <c r="H1686" s="30">
        <v>16</v>
      </c>
      <c r="I1686" s="21">
        <f t="shared" si="17"/>
        <v>0</v>
      </c>
      <c r="J1686" s="53">
        <f>[1]SUMMARY!N1687</f>
        <v>4863.6000000000004</v>
      </c>
      <c r="K1686" s="54">
        <f t="shared" si="18"/>
        <v>0</v>
      </c>
      <c r="L1686" s="8"/>
      <c r="M1686" s="8"/>
    </row>
    <row r="1687" spans="1:13" x14ac:dyDescent="0.2">
      <c r="A1687" s="17" t="str">
        <f>[1]SUMMARY!A1688</f>
        <v>215</v>
      </c>
      <c r="B1687" s="17">
        <f>[1]SUMMARY!B1688</f>
        <v>65</v>
      </c>
      <c r="C1687" s="17">
        <f>[1]SUMMARY!C1688</f>
        <v>16</v>
      </c>
      <c r="D1687" s="25" t="str">
        <f>[1]SUMMARY!D1688</f>
        <v>YOKOHAMA</v>
      </c>
      <c r="E1687" s="25" t="str">
        <f>[1]SUMMARY!E1688</f>
        <v>G051 H/T</v>
      </c>
      <c r="F1687" s="30">
        <v>4</v>
      </c>
      <c r="G1687" s="30"/>
      <c r="H1687" s="30">
        <v>4</v>
      </c>
      <c r="I1687" s="21">
        <f t="shared" si="17"/>
        <v>0</v>
      </c>
      <c r="J1687" s="22">
        <f>[1]SUMMARY!N1688</f>
        <v>4426.8</v>
      </c>
      <c r="K1687" s="23">
        <f t="shared" si="18"/>
        <v>0</v>
      </c>
      <c r="L1687" s="8"/>
      <c r="M1687" s="8"/>
    </row>
    <row r="1688" spans="1:13" x14ac:dyDescent="0.2">
      <c r="A1688" s="17">
        <f>[1]SUMMARY!A1689</f>
        <v>215</v>
      </c>
      <c r="B1688" s="17">
        <f>[1]SUMMARY!B1689</f>
        <v>65</v>
      </c>
      <c r="C1688" s="17">
        <f>[1]SUMMARY!C1689</f>
        <v>16</v>
      </c>
      <c r="D1688" s="25" t="str">
        <f>[1]SUMMARY!D1689</f>
        <v>YOKOHAMA (PH)</v>
      </c>
      <c r="E1688" s="25" t="str">
        <f>[1]SUMMARY!E1689</f>
        <v>G055 H/T</v>
      </c>
      <c r="F1688" s="30"/>
      <c r="G1688" s="30"/>
      <c r="H1688" s="30"/>
      <c r="I1688" s="21">
        <f t="shared" si="17"/>
        <v>0</v>
      </c>
      <c r="J1688" s="22">
        <f>[1]SUMMARY!N1689</f>
        <v>4780.8</v>
      </c>
      <c r="K1688" s="23">
        <f t="shared" si="18"/>
        <v>0</v>
      </c>
      <c r="L1688" s="8"/>
      <c r="M1688" s="8"/>
    </row>
    <row r="1689" spans="1:13" x14ac:dyDescent="0.2">
      <c r="A1689" s="46" t="str">
        <f>[1]SUMMARY!A1690</f>
        <v>215</v>
      </c>
      <c r="B1689" s="46">
        <f>[1]SUMMARY!B1690</f>
        <v>65</v>
      </c>
      <c r="C1689" s="46">
        <f>[1]SUMMARY!C1690</f>
        <v>16</v>
      </c>
      <c r="D1689" s="47" t="str">
        <f>[1]SUMMARY!D1690</f>
        <v>YOKOHAMA (TH)</v>
      </c>
      <c r="E1689" s="25" t="str">
        <f>[1]SUMMARY!E1690</f>
        <v>G058 H/T</v>
      </c>
      <c r="F1689" s="48">
        <v>4</v>
      </c>
      <c r="G1689" s="48">
        <v>172</v>
      </c>
      <c r="H1689" s="48">
        <v>176</v>
      </c>
      <c r="I1689" s="21">
        <f t="shared" si="17"/>
        <v>0</v>
      </c>
      <c r="J1689" s="22">
        <f>[1]SUMMARY!N1690</f>
        <v>5840.4</v>
      </c>
      <c r="K1689" s="50">
        <f t="shared" si="18"/>
        <v>0</v>
      </c>
      <c r="L1689" s="8"/>
      <c r="M1689" s="8"/>
    </row>
    <row r="1690" spans="1:13" x14ac:dyDescent="0.2">
      <c r="A1690" s="46" t="str">
        <f>[1]SUMMARY!A1691</f>
        <v>215</v>
      </c>
      <c r="B1690" s="46">
        <f>[1]SUMMARY!B1691</f>
        <v>70</v>
      </c>
      <c r="C1690" s="46">
        <f>[1]SUMMARY!C1691</f>
        <v>16</v>
      </c>
      <c r="D1690" s="47" t="str">
        <f>[1]SUMMARY!D1691</f>
        <v>YOKOHAMA (TH)</v>
      </c>
      <c r="E1690" s="25" t="str">
        <f>[1]SUMMARY!E1691</f>
        <v>G058 H/T</v>
      </c>
      <c r="F1690" s="48"/>
      <c r="G1690" s="48">
        <v>282</v>
      </c>
      <c r="H1690" s="48">
        <v>282</v>
      </c>
      <c r="I1690" s="21">
        <f t="shared" si="17"/>
        <v>0</v>
      </c>
      <c r="J1690" s="22">
        <f>[1]SUMMARY!N1691</f>
        <v>5282.4</v>
      </c>
      <c r="K1690" s="50">
        <f t="shared" si="18"/>
        <v>0</v>
      </c>
      <c r="L1690" s="8"/>
      <c r="M1690" s="8"/>
    </row>
    <row r="1691" spans="1:13" x14ac:dyDescent="0.2">
      <c r="A1691" s="17">
        <f>[1]SUMMARY!A1692</f>
        <v>225</v>
      </c>
      <c r="B1691" s="17">
        <f>[1]SUMMARY!B1692</f>
        <v>70</v>
      </c>
      <c r="C1691" s="17">
        <f>[1]SUMMARY!C1692</f>
        <v>16</v>
      </c>
      <c r="D1691" s="25" t="str">
        <f>[1]SUMMARY!D1692</f>
        <v>YOKOHAMA (TH)</v>
      </c>
      <c r="E1691" s="25" t="str">
        <f>[1]SUMMARY!E1692</f>
        <v>G055 H/T</v>
      </c>
      <c r="F1691" s="30"/>
      <c r="G1691" s="30"/>
      <c r="H1691" s="30"/>
      <c r="I1691" s="21">
        <f t="shared" si="17"/>
        <v>0</v>
      </c>
      <c r="J1691" s="22">
        <f>[1]SUMMARY!N1692</f>
        <v>4710.3999999999996</v>
      </c>
      <c r="K1691" s="23">
        <f t="shared" si="18"/>
        <v>0</v>
      </c>
      <c r="L1691" s="8"/>
      <c r="M1691" s="8"/>
    </row>
    <row r="1692" spans="1:13" x14ac:dyDescent="0.2">
      <c r="A1692" s="17" t="str">
        <f>[1]SUMMARY!A1693</f>
        <v>225</v>
      </c>
      <c r="B1692" s="17">
        <f>[1]SUMMARY!B1693</f>
        <v>70</v>
      </c>
      <c r="C1692" s="17">
        <f>[1]SUMMARY!C1693</f>
        <v>16</v>
      </c>
      <c r="D1692" s="25" t="str">
        <f>[1]SUMMARY!D1693</f>
        <v>YOKOHAMA</v>
      </c>
      <c r="E1692" s="25" t="str">
        <f>[1]SUMMARY!E1693</f>
        <v>GO58</v>
      </c>
      <c r="F1692" s="30"/>
      <c r="G1692" s="30"/>
      <c r="H1692" s="30"/>
      <c r="I1692" s="21">
        <f t="shared" si="17"/>
        <v>0</v>
      </c>
      <c r="J1692" s="22">
        <f>[1]SUMMARY!N1693</f>
        <v>5607.17</v>
      </c>
      <c r="K1692" s="23">
        <f t="shared" si="18"/>
        <v>0</v>
      </c>
      <c r="L1692" s="8"/>
      <c r="M1692" s="8"/>
    </row>
    <row r="1693" spans="1:13" x14ac:dyDescent="0.2">
      <c r="A1693" s="17" t="str">
        <f>[1]SUMMARY!A1694</f>
        <v>235</v>
      </c>
      <c r="B1693" s="17">
        <f>[1]SUMMARY!B1694</f>
        <v>70</v>
      </c>
      <c r="C1693" s="17">
        <f>[1]SUMMARY!C1694</f>
        <v>16</v>
      </c>
      <c r="D1693" s="25" t="str">
        <f>[1]SUMMARY!D1694</f>
        <v>YOKOHAMA</v>
      </c>
      <c r="E1693" s="25" t="str">
        <f>[1]SUMMARY!E1694</f>
        <v>G051 H/T</v>
      </c>
      <c r="F1693" s="30">
        <v>4</v>
      </c>
      <c r="G1693" s="30">
        <v>10</v>
      </c>
      <c r="H1693" s="30">
        <v>14</v>
      </c>
      <c r="I1693" s="21">
        <f t="shared" si="17"/>
        <v>0</v>
      </c>
      <c r="J1693" s="22">
        <f>[1]SUMMARY!N1694</f>
        <v>5866</v>
      </c>
      <c r="K1693" s="23">
        <f t="shared" si="18"/>
        <v>0</v>
      </c>
      <c r="L1693" s="8"/>
      <c r="M1693" s="8"/>
    </row>
    <row r="1694" spans="1:13" x14ac:dyDescent="0.2">
      <c r="A1694" s="17" t="str">
        <f>[1]SUMMARY!A1695</f>
        <v>235</v>
      </c>
      <c r="B1694" s="17">
        <f>[1]SUMMARY!B1695</f>
        <v>70</v>
      </c>
      <c r="C1694" s="17">
        <f>[1]SUMMARY!C1695</f>
        <v>16</v>
      </c>
      <c r="D1694" s="25" t="str">
        <f>[1]SUMMARY!D1695</f>
        <v>YOKOHAMA</v>
      </c>
      <c r="E1694" s="25" t="str">
        <f>[1]SUMMARY!E1695</f>
        <v>G058</v>
      </c>
      <c r="F1694" s="30"/>
      <c r="G1694" s="30">
        <v>6</v>
      </c>
      <c r="H1694" s="30">
        <v>6</v>
      </c>
      <c r="I1694" s="21">
        <f t="shared" si="17"/>
        <v>0</v>
      </c>
      <c r="J1694" s="22">
        <f>[1]SUMMARY!N1695</f>
        <v>5638.6</v>
      </c>
      <c r="K1694" s="23">
        <f t="shared" si="18"/>
        <v>0</v>
      </c>
      <c r="L1694" s="8"/>
      <c r="M1694" s="8"/>
    </row>
    <row r="1695" spans="1:13" x14ac:dyDescent="0.2">
      <c r="A1695" s="17" t="str">
        <f>[1]SUMMARY!A1696</f>
        <v>245</v>
      </c>
      <c r="B1695" s="17">
        <f>[1]SUMMARY!B1696</f>
        <v>70</v>
      </c>
      <c r="C1695" s="17">
        <f>[1]SUMMARY!C1696</f>
        <v>16</v>
      </c>
      <c r="D1695" s="25" t="str">
        <f>[1]SUMMARY!D1696</f>
        <v>YOKOHAMA</v>
      </c>
      <c r="E1695" s="25" t="str">
        <f>[1]SUMMARY!E1696</f>
        <v>G051 H/T</v>
      </c>
      <c r="F1695" s="30"/>
      <c r="G1695" s="30">
        <v>4</v>
      </c>
      <c r="H1695" s="30">
        <v>4</v>
      </c>
      <c r="I1695" s="21">
        <f t="shared" si="17"/>
        <v>0</v>
      </c>
      <c r="J1695" s="22">
        <f>[1]SUMMARY!N1696</f>
        <v>4969.8</v>
      </c>
      <c r="K1695" s="23">
        <f t="shared" si="18"/>
        <v>0</v>
      </c>
      <c r="L1695" s="8"/>
      <c r="M1695" s="8"/>
    </row>
    <row r="1696" spans="1:13" x14ac:dyDescent="0.2">
      <c r="A1696" s="46" t="str">
        <f>[1]SUMMARY!A1697</f>
        <v>245</v>
      </c>
      <c r="B1696" s="46">
        <f>[1]SUMMARY!B1697</f>
        <v>70</v>
      </c>
      <c r="C1696" s="46">
        <f>[1]SUMMARY!C1697</f>
        <v>16</v>
      </c>
      <c r="D1696" s="47" t="str">
        <f>[1]SUMMARY!D1697</f>
        <v>YOKOHAMA</v>
      </c>
      <c r="E1696" s="25" t="str">
        <f>[1]SUMMARY!E1697</f>
        <v>G056 H/T</v>
      </c>
      <c r="F1696" s="48"/>
      <c r="G1696" s="48">
        <v>248</v>
      </c>
      <c r="H1696" s="48">
        <v>248</v>
      </c>
      <c r="I1696" s="21">
        <f t="shared" si="17"/>
        <v>0</v>
      </c>
      <c r="J1696" s="22">
        <f>[1]SUMMARY!N1697</f>
        <v>6324</v>
      </c>
      <c r="K1696" s="50">
        <f t="shared" si="18"/>
        <v>0</v>
      </c>
      <c r="L1696" s="8"/>
      <c r="M1696" s="8"/>
    </row>
    <row r="1697" spans="1:13" x14ac:dyDescent="0.2">
      <c r="A1697" s="52" t="str">
        <f>[1]SUMMARY!A1698</f>
        <v>255</v>
      </c>
      <c r="B1697" s="52">
        <f>[1]SUMMARY!B1698</f>
        <v>70</v>
      </c>
      <c r="C1697" s="52">
        <f>[1]SUMMARY!C1698</f>
        <v>16</v>
      </c>
      <c r="D1697" s="39" t="str">
        <f>[1]SUMMARY!D1698</f>
        <v>YOKOHAMA</v>
      </c>
      <c r="E1697" s="25" t="str">
        <f>[1]SUMMARY!E1698</f>
        <v>G056 H/T</v>
      </c>
      <c r="F1697" s="21"/>
      <c r="G1697" s="21"/>
      <c r="H1697" s="21"/>
      <c r="I1697" s="21">
        <f t="shared" si="17"/>
        <v>0</v>
      </c>
      <c r="J1697" s="53">
        <f>[1]SUMMARY!N1698</f>
        <v>6646.4</v>
      </c>
      <c r="K1697" s="54">
        <f t="shared" si="18"/>
        <v>0</v>
      </c>
      <c r="L1697" s="8"/>
      <c r="M1697" s="8"/>
    </row>
    <row r="1698" spans="1:13" x14ac:dyDescent="0.2">
      <c r="A1698" s="17">
        <f>[1]SUMMARY!A1699</f>
        <v>265</v>
      </c>
      <c r="B1698" s="17">
        <f>[1]SUMMARY!B1699</f>
        <v>70</v>
      </c>
      <c r="C1698" s="17">
        <f>[1]SUMMARY!C1699</f>
        <v>16</v>
      </c>
      <c r="D1698" s="25" t="str">
        <f>[1]SUMMARY!D1699</f>
        <v>YOKOHAMA</v>
      </c>
      <c r="E1698" s="25" t="str">
        <f>[1]SUMMARY!E1699</f>
        <v>G051 H/T</v>
      </c>
      <c r="F1698" s="30"/>
      <c r="G1698" s="30">
        <v>4</v>
      </c>
      <c r="H1698" s="30">
        <v>4</v>
      </c>
      <c r="I1698" s="21">
        <f t="shared" si="17"/>
        <v>0</v>
      </c>
      <c r="J1698" s="22">
        <f>[1]SUMMARY!N1699</f>
        <v>6691.2</v>
      </c>
      <c r="K1698" s="23">
        <f t="shared" si="18"/>
        <v>0</v>
      </c>
      <c r="L1698" s="8"/>
      <c r="M1698" s="8"/>
    </row>
    <row r="1699" spans="1:13" x14ac:dyDescent="0.2">
      <c r="A1699" s="17" t="str">
        <f>[1]SUMMARY!A1700</f>
        <v>265</v>
      </c>
      <c r="B1699" s="17">
        <f>[1]SUMMARY!B1700</f>
        <v>70</v>
      </c>
      <c r="C1699" s="17">
        <f>[1]SUMMARY!C1700</f>
        <v>16</v>
      </c>
      <c r="D1699" s="25" t="str">
        <f>[1]SUMMARY!D1700</f>
        <v>YOKOHAMA</v>
      </c>
      <c r="E1699" s="25" t="str">
        <f>[1]SUMMARY!E1700</f>
        <v>GO15 A/T</v>
      </c>
      <c r="F1699" s="30"/>
      <c r="G1699" s="30">
        <v>12</v>
      </c>
      <c r="H1699" s="30">
        <v>12</v>
      </c>
      <c r="I1699" s="21">
        <f t="shared" si="17"/>
        <v>0</v>
      </c>
      <c r="J1699" s="22">
        <f>[1]SUMMARY!N1700</f>
        <v>6662.4</v>
      </c>
      <c r="K1699" s="23">
        <f t="shared" si="18"/>
        <v>0</v>
      </c>
      <c r="L1699" s="8"/>
      <c r="M1699" s="8"/>
    </row>
    <row r="1700" spans="1:13" x14ac:dyDescent="0.2">
      <c r="A1700" s="46">
        <f>[1]SUMMARY!A1701</f>
        <v>265</v>
      </c>
      <c r="B1700" s="46">
        <f>[1]SUMMARY!B1701</f>
        <v>70</v>
      </c>
      <c r="C1700" s="46">
        <f>[1]SUMMARY!C1701</f>
        <v>16</v>
      </c>
      <c r="D1700" s="47" t="str">
        <f>[1]SUMMARY!D1701</f>
        <v>YOKOHAMA (TH)</v>
      </c>
      <c r="E1700" s="25" t="str">
        <f>[1]SUMMARY!E1701</f>
        <v>G056 H/T</v>
      </c>
      <c r="F1700" s="48"/>
      <c r="G1700" s="48">
        <v>411</v>
      </c>
      <c r="H1700" s="48">
        <v>411</v>
      </c>
      <c r="I1700" s="21">
        <f t="shared" si="17"/>
        <v>0</v>
      </c>
      <c r="J1700" s="22">
        <f>[1]SUMMARY!N1701</f>
        <v>6727</v>
      </c>
      <c r="K1700" s="50">
        <f t="shared" si="18"/>
        <v>0</v>
      </c>
      <c r="L1700" s="8"/>
      <c r="M1700" s="8"/>
    </row>
    <row r="1701" spans="1:13" x14ac:dyDescent="0.2">
      <c r="A1701" s="17" t="str">
        <f>[1]SUMMARY!A1702</f>
        <v>275</v>
      </c>
      <c r="B1701" s="17">
        <f>[1]SUMMARY!B1702</f>
        <v>70</v>
      </c>
      <c r="C1701" s="17">
        <f>[1]SUMMARY!C1702</f>
        <v>16</v>
      </c>
      <c r="D1701" s="25" t="str">
        <f>[1]SUMMARY!D1702</f>
        <v>YOKOHAMA</v>
      </c>
      <c r="E1701" s="25" t="str">
        <f>[1]SUMMARY!E1702</f>
        <v>G051 H/T</v>
      </c>
      <c r="F1701" s="30"/>
      <c r="G1701" s="30"/>
      <c r="H1701" s="30"/>
      <c r="I1701" s="21">
        <f t="shared" si="17"/>
        <v>0</v>
      </c>
      <c r="J1701" s="22">
        <f>[1]SUMMARY!N1702</f>
        <v>4050.82</v>
      </c>
      <c r="K1701" s="23">
        <f t="shared" si="18"/>
        <v>0</v>
      </c>
      <c r="L1701" s="8"/>
      <c r="M1701" s="8"/>
    </row>
    <row r="1702" spans="1:13" x14ac:dyDescent="0.2">
      <c r="A1702" s="17" t="str">
        <f>[1]SUMMARY!A1703</f>
        <v>205</v>
      </c>
      <c r="B1702" s="17">
        <f>[1]SUMMARY!B1703</f>
        <v>40</v>
      </c>
      <c r="C1702" s="17">
        <f>[1]SUMMARY!C1703</f>
        <v>17</v>
      </c>
      <c r="D1702" s="25" t="str">
        <f>[1]SUMMARY!D1703</f>
        <v>YOKOHAMA</v>
      </c>
      <c r="E1702" s="25" t="str">
        <f>[1]SUMMARY!E1703</f>
        <v>ADRIVE</v>
      </c>
      <c r="F1702" s="30"/>
      <c r="G1702" s="30"/>
      <c r="H1702" s="30"/>
      <c r="I1702" s="21">
        <f t="shared" si="17"/>
        <v>0</v>
      </c>
      <c r="J1702" s="22">
        <f>[1]SUMMARY!N1703</f>
        <v>3392</v>
      </c>
      <c r="K1702" s="23">
        <f t="shared" si="18"/>
        <v>0</v>
      </c>
      <c r="L1702" s="8"/>
      <c r="M1702" s="8"/>
    </row>
    <row r="1703" spans="1:13" x14ac:dyDescent="0.2">
      <c r="A1703" s="17" t="str">
        <f>[1]SUMMARY!A1704</f>
        <v>215</v>
      </c>
      <c r="B1703" s="17">
        <f>[1]SUMMARY!B1704</f>
        <v>45</v>
      </c>
      <c r="C1703" s="17">
        <f>[1]SUMMARY!C1704</f>
        <v>17</v>
      </c>
      <c r="D1703" s="25" t="str">
        <f>[1]SUMMARY!D1704</f>
        <v>YOKOHAMA</v>
      </c>
      <c r="E1703" s="25" t="str">
        <f>[1]SUMMARY!E1704</f>
        <v>A.DRIVE</v>
      </c>
      <c r="F1703" s="30"/>
      <c r="G1703" s="30">
        <v>14</v>
      </c>
      <c r="H1703" s="30">
        <v>14</v>
      </c>
      <c r="I1703" s="21">
        <f t="shared" si="17"/>
        <v>0</v>
      </c>
      <c r="J1703" s="22">
        <f>[1]SUMMARY!N1704</f>
        <v>4818</v>
      </c>
      <c r="K1703" s="23">
        <f t="shared" si="18"/>
        <v>0</v>
      </c>
      <c r="L1703" s="8"/>
      <c r="M1703" s="8"/>
    </row>
    <row r="1704" spans="1:13" x14ac:dyDescent="0.2">
      <c r="A1704" s="17" t="str">
        <f>[1]SUMMARY!A1705</f>
        <v>205</v>
      </c>
      <c r="B1704" s="17">
        <f>[1]SUMMARY!B1705</f>
        <v>45</v>
      </c>
      <c r="C1704" s="17">
        <f>[1]SUMMARY!C1705</f>
        <v>17</v>
      </c>
      <c r="D1704" s="25" t="str">
        <f>[1]SUMMARY!D1705</f>
        <v>YOKOHAMA</v>
      </c>
      <c r="E1704" s="25" t="str">
        <f>[1]SUMMARY!E1705</f>
        <v>V701</v>
      </c>
      <c r="F1704" s="30"/>
      <c r="G1704" s="30">
        <v>23</v>
      </c>
      <c r="H1704" s="30">
        <v>23</v>
      </c>
      <c r="I1704" s="21">
        <f t="shared" si="17"/>
        <v>0</v>
      </c>
      <c r="J1704" s="22">
        <f>[1]SUMMARY!N1705</f>
        <v>4838.3999999999996</v>
      </c>
      <c r="K1704" s="23">
        <f t="shared" si="18"/>
        <v>0</v>
      </c>
      <c r="L1704" s="8"/>
      <c r="M1704" s="8"/>
    </row>
    <row r="1705" spans="1:13" x14ac:dyDescent="0.2">
      <c r="A1705" s="17" t="str">
        <f>[1]SUMMARY!A1706</f>
        <v>215</v>
      </c>
      <c r="B1705" s="17">
        <f>[1]SUMMARY!B1706</f>
        <v>45</v>
      </c>
      <c r="C1705" s="17">
        <f>[1]SUMMARY!C1706</f>
        <v>17</v>
      </c>
      <c r="D1705" s="25" t="str">
        <f>[1]SUMMARY!D1706</f>
        <v>YOKOHAMA</v>
      </c>
      <c r="E1705" s="25" t="str">
        <f>[1]SUMMARY!E1706</f>
        <v>V701</v>
      </c>
      <c r="F1705" s="30"/>
      <c r="G1705" s="30">
        <v>12</v>
      </c>
      <c r="H1705" s="30">
        <v>12</v>
      </c>
      <c r="I1705" s="21">
        <f t="shared" si="17"/>
        <v>0</v>
      </c>
      <c r="J1705" s="22">
        <f>[1]SUMMARY!N1706</f>
        <v>4584.83</v>
      </c>
      <c r="K1705" s="23">
        <f t="shared" si="18"/>
        <v>0</v>
      </c>
      <c r="L1705" s="8"/>
      <c r="M1705" s="8"/>
    </row>
    <row r="1706" spans="1:13" x14ac:dyDescent="0.2">
      <c r="A1706" s="17" t="str">
        <f>[1]SUMMARY!A1707</f>
        <v>205</v>
      </c>
      <c r="B1706" s="17">
        <f>[1]SUMMARY!B1707</f>
        <v>50</v>
      </c>
      <c r="C1706" s="17">
        <f>[1]SUMMARY!C1707</f>
        <v>17</v>
      </c>
      <c r="D1706" s="25" t="str">
        <f>[1]SUMMARY!D1707</f>
        <v>YOKOHAMA</v>
      </c>
      <c r="E1706" s="25" t="str">
        <f>[1]SUMMARY!E1707</f>
        <v>AE51</v>
      </c>
      <c r="F1706" s="30"/>
      <c r="G1706" s="30"/>
      <c r="H1706" s="30"/>
      <c r="I1706" s="21">
        <f t="shared" si="17"/>
        <v>0</v>
      </c>
      <c r="J1706" s="22">
        <f>[1]SUMMARY!N1707</f>
        <v>5594.4</v>
      </c>
      <c r="K1706" s="23">
        <f t="shared" si="18"/>
        <v>0</v>
      </c>
      <c r="L1706" s="8"/>
      <c r="M1706" s="8"/>
    </row>
    <row r="1707" spans="1:13" x14ac:dyDescent="0.2">
      <c r="A1707" s="17" t="str">
        <f>[1]SUMMARY!A1708</f>
        <v>215</v>
      </c>
      <c r="B1707" s="17">
        <f>[1]SUMMARY!B1708</f>
        <v>50</v>
      </c>
      <c r="C1707" s="17">
        <f>[1]SUMMARY!C1708</f>
        <v>17</v>
      </c>
      <c r="D1707" s="25" t="str">
        <f>[1]SUMMARY!D1708</f>
        <v>YOKOHAMA</v>
      </c>
      <c r="E1707" s="25" t="str">
        <f>[1]SUMMARY!E1708</f>
        <v>AE51</v>
      </c>
      <c r="F1707" s="30"/>
      <c r="G1707" s="30">
        <v>4</v>
      </c>
      <c r="H1707" s="30">
        <v>4</v>
      </c>
      <c r="I1707" s="21">
        <f t="shared" si="17"/>
        <v>0</v>
      </c>
      <c r="J1707" s="22">
        <f>[1]SUMMARY!N1708</f>
        <v>5062.3999999999996</v>
      </c>
      <c r="K1707" s="23">
        <f t="shared" si="18"/>
        <v>0</v>
      </c>
      <c r="L1707" s="8"/>
      <c r="M1707" s="8"/>
    </row>
    <row r="1708" spans="1:13" x14ac:dyDescent="0.2">
      <c r="A1708" s="17" t="str">
        <f>[1]SUMMARY!A1709</f>
        <v>215</v>
      </c>
      <c r="B1708" s="17">
        <f>[1]SUMMARY!B1709</f>
        <v>50</v>
      </c>
      <c r="C1708" s="17">
        <f>[1]SUMMARY!C1709</f>
        <v>17</v>
      </c>
      <c r="D1708" s="25" t="str">
        <f>[1]SUMMARY!D1709</f>
        <v>YOKOHAMA</v>
      </c>
      <c r="E1708" s="25" t="str">
        <f>[1]SUMMARY!E1709</f>
        <v>V551</v>
      </c>
      <c r="F1708" s="30"/>
      <c r="G1708" s="30"/>
      <c r="H1708" s="30"/>
      <c r="I1708" s="21">
        <f t="shared" si="17"/>
        <v>0</v>
      </c>
      <c r="J1708" s="22">
        <f>[1]SUMMARY!N1709</f>
        <v>6348</v>
      </c>
      <c r="K1708" s="23">
        <f t="shared" si="18"/>
        <v>0</v>
      </c>
      <c r="L1708" s="8"/>
      <c r="M1708" s="8"/>
    </row>
    <row r="1709" spans="1:13" x14ac:dyDescent="0.2">
      <c r="A1709" s="17" t="str">
        <f>[1]SUMMARY!A1710</f>
        <v>225</v>
      </c>
      <c r="B1709" s="17">
        <f>[1]SUMMARY!B1710</f>
        <v>50</v>
      </c>
      <c r="C1709" s="17">
        <f>[1]SUMMARY!C1710</f>
        <v>17</v>
      </c>
      <c r="D1709" s="25" t="str">
        <f>[1]SUMMARY!D1710</f>
        <v>YOKOHAMA</v>
      </c>
      <c r="E1709" s="25" t="str">
        <f>[1]SUMMARY!E1710</f>
        <v>AE51</v>
      </c>
      <c r="F1709" s="30"/>
      <c r="G1709" s="30"/>
      <c r="H1709" s="30"/>
      <c r="I1709" s="21">
        <f t="shared" si="17"/>
        <v>0</v>
      </c>
      <c r="J1709" s="22">
        <f>[1]SUMMARY!N1710</f>
        <v>4472.6000000000004</v>
      </c>
      <c r="K1709" s="23">
        <f t="shared" si="18"/>
        <v>0</v>
      </c>
      <c r="L1709" s="8"/>
      <c r="M1709" s="8"/>
    </row>
    <row r="1710" spans="1:13" x14ac:dyDescent="0.2">
      <c r="A1710" s="17" t="str">
        <f>[1]SUMMARY!A1711</f>
        <v>215</v>
      </c>
      <c r="B1710" s="17">
        <f>[1]SUMMARY!B1711</f>
        <v>55</v>
      </c>
      <c r="C1710" s="17">
        <f>[1]SUMMARY!C1711</f>
        <v>17</v>
      </c>
      <c r="D1710" s="25" t="str">
        <f>[1]SUMMARY!D1711</f>
        <v>YOKOHAMA</v>
      </c>
      <c r="E1710" s="25" t="str">
        <f>[1]SUMMARY!E1711</f>
        <v>V552</v>
      </c>
      <c r="F1710" s="30"/>
      <c r="G1710" s="30">
        <v>4</v>
      </c>
      <c r="H1710" s="30">
        <v>4</v>
      </c>
      <c r="I1710" s="21">
        <f t="shared" si="17"/>
        <v>0</v>
      </c>
      <c r="J1710" s="22">
        <f>[1]SUMMARY!N1711</f>
        <v>8064</v>
      </c>
      <c r="K1710" s="23">
        <f t="shared" si="18"/>
        <v>0</v>
      </c>
      <c r="L1710" s="8"/>
      <c r="M1710" s="8"/>
    </row>
    <row r="1711" spans="1:13" x14ac:dyDescent="0.2">
      <c r="A1711" s="17" t="str">
        <f>[1]SUMMARY!A1712</f>
        <v>215</v>
      </c>
      <c r="B1711" s="17">
        <f>[1]SUMMARY!B1712</f>
        <v>55</v>
      </c>
      <c r="C1711" s="17">
        <f>[1]SUMMARY!C1712</f>
        <v>17</v>
      </c>
      <c r="D1711" s="25" t="str">
        <f>[1]SUMMARY!D1712</f>
        <v>YOKOHAMA</v>
      </c>
      <c r="E1711" s="25" t="str">
        <f>[1]SUMMARY!E1712</f>
        <v>E70B</v>
      </c>
      <c r="F1711" s="30"/>
      <c r="G1711" s="30"/>
      <c r="H1711" s="30"/>
      <c r="I1711" s="21">
        <f t="shared" si="17"/>
        <v>0</v>
      </c>
      <c r="J1711" s="22">
        <f>[1]SUMMARY!N1712</f>
        <v>7066</v>
      </c>
      <c r="K1711" s="23">
        <f t="shared" si="18"/>
        <v>0</v>
      </c>
      <c r="L1711" s="8"/>
      <c r="M1711" s="8"/>
    </row>
    <row r="1712" spans="1:13" x14ac:dyDescent="0.2">
      <c r="A1712" s="17" t="str">
        <f>[1]SUMMARY!A1713</f>
        <v>215</v>
      </c>
      <c r="B1712" s="17">
        <f>[1]SUMMARY!B1713</f>
        <v>55</v>
      </c>
      <c r="C1712" s="17">
        <f>[1]SUMMARY!C1713</f>
        <v>17</v>
      </c>
      <c r="D1712" s="25" t="str">
        <f>[1]SUMMARY!D1713</f>
        <v>YOKOHAMA</v>
      </c>
      <c r="E1712" s="25" t="str">
        <f>[1]SUMMARY!E1713</f>
        <v>AE51</v>
      </c>
      <c r="F1712" s="30"/>
      <c r="G1712" s="30"/>
      <c r="H1712" s="30"/>
      <c r="I1712" s="21">
        <f t="shared" si="17"/>
        <v>0</v>
      </c>
      <c r="J1712" s="22">
        <f>[1]SUMMARY!N1713</f>
        <v>5242.8</v>
      </c>
      <c r="K1712" s="23">
        <f t="shared" si="18"/>
        <v>0</v>
      </c>
      <c r="L1712" s="8"/>
      <c r="M1712" s="8"/>
    </row>
    <row r="1713" spans="1:13" x14ac:dyDescent="0.2">
      <c r="A1713" s="17" t="str">
        <f>[1]SUMMARY!A1714</f>
        <v>215</v>
      </c>
      <c r="B1713" s="17">
        <f>[1]SUMMARY!B1714</f>
        <v>60</v>
      </c>
      <c r="C1713" s="17">
        <f>[1]SUMMARY!C1714</f>
        <v>17</v>
      </c>
      <c r="D1713" s="25" t="str">
        <f>[1]SUMMARY!D1714</f>
        <v>YOKOHAMA</v>
      </c>
      <c r="E1713" s="25" t="str">
        <f>[1]SUMMARY!E1714</f>
        <v>GO58</v>
      </c>
      <c r="F1713" s="30"/>
      <c r="G1713" s="30"/>
      <c r="H1713" s="30"/>
      <c r="I1713" s="21">
        <f t="shared" si="17"/>
        <v>0</v>
      </c>
      <c r="J1713" s="22">
        <f>[1]SUMMARY!N1714</f>
        <v>5488</v>
      </c>
      <c r="K1713" s="23">
        <f t="shared" si="18"/>
        <v>0</v>
      </c>
      <c r="L1713" s="8"/>
      <c r="M1713" s="8"/>
    </row>
    <row r="1714" spans="1:13" x14ac:dyDescent="0.2">
      <c r="A1714" s="17" t="str">
        <f>[1]SUMMARY!A1715</f>
        <v>215</v>
      </c>
      <c r="B1714" s="17">
        <f>[1]SUMMARY!B1715</f>
        <v>60</v>
      </c>
      <c r="C1714" s="17">
        <f>[1]SUMMARY!C1715</f>
        <v>17</v>
      </c>
      <c r="D1714" s="25" t="str">
        <f>[1]SUMMARY!D1715</f>
        <v>YOKOHAMA</v>
      </c>
      <c r="E1714" s="25" t="str">
        <f>[1]SUMMARY!E1715</f>
        <v>A349</v>
      </c>
      <c r="F1714" s="30"/>
      <c r="G1714" s="30"/>
      <c r="H1714" s="30"/>
      <c r="I1714" s="21">
        <f t="shared" si="17"/>
        <v>0</v>
      </c>
      <c r="J1714" s="22">
        <f>[1]SUMMARY!N1715</f>
        <v>6999.8</v>
      </c>
      <c r="K1714" s="23">
        <f t="shared" si="18"/>
        <v>0</v>
      </c>
      <c r="L1714" s="8"/>
      <c r="M1714" s="8"/>
    </row>
    <row r="1715" spans="1:13" x14ac:dyDescent="0.2">
      <c r="A1715" s="17" t="str">
        <f>[1]SUMMARY!A1716</f>
        <v>225</v>
      </c>
      <c r="B1715" s="17">
        <f>[1]SUMMARY!B1716</f>
        <v>60</v>
      </c>
      <c r="C1715" s="17">
        <f>[1]SUMMARY!C1716</f>
        <v>17</v>
      </c>
      <c r="D1715" s="25" t="str">
        <f>[1]SUMMARY!D1716</f>
        <v>YOKOHAMA</v>
      </c>
      <c r="E1715" s="25" t="str">
        <f>[1]SUMMARY!E1716</f>
        <v>GO91</v>
      </c>
      <c r="F1715" s="30"/>
      <c r="G1715" s="30"/>
      <c r="H1715" s="30"/>
      <c r="I1715" s="21">
        <f t="shared" si="17"/>
        <v>0</v>
      </c>
      <c r="J1715" s="22">
        <f>[1]SUMMARY!N1716</f>
        <v>7898.8</v>
      </c>
      <c r="K1715" s="23">
        <f t="shared" si="18"/>
        <v>0</v>
      </c>
      <c r="L1715" s="8"/>
      <c r="M1715" s="8"/>
    </row>
    <row r="1716" spans="1:13" x14ac:dyDescent="0.2">
      <c r="A1716" s="46" t="str">
        <f>[1]SUMMARY!A1717</f>
        <v>225</v>
      </c>
      <c r="B1716" s="46">
        <f>[1]SUMMARY!B1717</f>
        <v>60</v>
      </c>
      <c r="C1716" s="46">
        <f>[1]SUMMARY!C1717</f>
        <v>17</v>
      </c>
      <c r="D1716" s="47" t="str">
        <f>[1]SUMMARY!D1717</f>
        <v xml:space="preserve">YOKOHAMA </v>
      </c>
      <c r="E1716" s="25" t="str">
        <f>[1]SUMMARY!E1717</f>
        <v xml:space="preserve">G058 </v>
      </c>
      <c r="F1716" s="48"/>
      <c r="G1716" s="48">
        <v>239</v>
      </c>
      <c r="H1716" s="48">
        <v>239</v>
      </c>
      <c r="I1716" s="21">
        <f t="shared" si="17"/>
        <v>0</v>
      </c>
      <c r="J1716" s="22">
        <f>[1]SUMMARY!N1717</f>
        <v>6807.6</v>
      </c>
      <c r="K1716" s="50">
        <f t="shared" si="18"/>
        <v>0</v>
      </c>
      <c r="L1716" s="8"/>
      <c r="M1716" s="8"/>
    </row>
    <row r="1717" spans="1:13" x14ac:dyDescent="0.2">
      <c r="A1717" s="52" t="str">
        <f>[1]SUMMARY!A1718</f>
        <v>235</v>
      </c>
      <c r="B1717" s="52">
        <f>[1]SUMMARY!B1718</f>
        <v>60</v>
      </c>
      <c r="C1717" s="52" t="str">
        <f>[1]SUMMARY!C1718</f>
        <v>17C</v>
      </c>
      <c r="D1717" s="39" t="str">
        <f>[1]SUMMARY!D1718</f>
        <v>YOKOHAMA</v>
      </c>
      <c r="E1717" s="25" t="str">
        <f>[1]SUMMARY!E1718</f>
        <v>RY55</v>
      </c>
      <c r="F1717" s="21"/>
      <c r="G1717" s="21">
        <v>4</v>
      </c>
      <c r="H1717" s="21">
        <v>4</v>
      </c>
      <c r="I1717" s="21">
        <f t="shared" si="17"/>
        <v>0</v>
      </c>
      <c r="J1717" s="53">
        <f>[1]SUMMARY!N1718</f>
        <v>6258.6</v>
      </c>
      <c r="K1717" s="54">
        <f t="shared" si="18"/>
        <v>0</v>
      </c>
      <c r="L1717" s="56"/>
      <c r="M1717" s="56"/>
    </row>
    <row r="1718" spans="1:13" x14ac:dyDescent="0.2">
      <c r="A1718" s="46" t="str">
        <f>[1]SUMMARY!A1719</f>
        <v>225</v>
      </c>
      <c r="B1718" s="46">
        <f>[1]SUMMARY!B1719</f>
        <v>65</v>
      </c>
      <c r="C1718" s="46">
        <f>[1]SUMMARY!C1719</f>
        <v>17</v>
      </c>
      <c r="D1718" s="47" t="str">
        <f>[1]SUMMARY!D1719</f>
        <v>YOKOHAMA (PH)</v>
      </c>
      <c r="E1718" s="25" t="str">
        <f>[1]SUMMARY!E1719</f>
        <v>G91 H/T</v>
      </c>
      <c r="F1718" s="48"/>
      <c r="G1718" s="48">
        <v>476</v>
      </c>
      <c r="H1718" s="48">
        <v>476</v>
      </c>
      <c r="I1718" s="21">
        <f t="shared" si="17"/>
        <v>0</v>
      </c>
      <c r="J1718" s="22">
        <f>[1]SUMMARY!N1719</f>
        <v>7142.4</v>
      </c>
      <c r="K1718" s="50">
        <f t="shared" si="18"/>
        <v>0</v>
      </c>
      <c r="L1718" s="8"/>
      <c r="M1718" s="8"/>
    </row>
    <row r="1719" spans="1:13" x14ac:dyDescent="0.2">
      <c r="A1719" s="17" t="str">
        <f>[1]SUMMARY!A1720</f>
        <v>225</v>
      </c>
      <c r="B1719" s="17">
        <f>[1]SUMMARY!B1720</f>
        <v>65</v>
      </c>
      <c r="C1719" s="17">
        <f>[1]SUMMARY!C1720</f>
        <v>17</v>
      </c>
      <c r="D1719" s="25" t="str">
        <f>[1]SUMMARY!D1720</f>
        <v>YOKOHAMA (PH)</v>
      </c>
      <c r="E1719" s="25" t="str">
        <f>[1]SUMMARY!E1720</f>
        <v xml:space="preserve">AVID S33B </v>
      </c>
      <c r="F1719" s="30"/>
      <c r="G1719" s="30">
        <v>25</v>
      </c>
      <c r="H1719" s="30">
        <v>25</v>
      </c>
      <c r="I1719" s="21">
        <f t="shared" si="17"/>
        <v>0</v>
      </c>
      <c r="J1719" s="22">
        <f>[1]SUMMARY!N1720</f>
        <v>6980.4</v>
      </c>
      <c r="K1719" s="23">
        <f t="shared" si="18"/>
        <v>0</v>
      </c>
      <c r="L1719" s="8"/>
      <c r="M1719" s="8"/>
    </row>
    <row r="1720" spans="1:13" x14ac:dyDescent="0.2">
      <c r="A1720" s="17" t="str">
        <f>[1]SUMMARY!A1721</f>
        <v>235</v>
      </c>
      <c r="B1720" s="17">
        <f>[1]SUMMARY!B1721</f>
        <v>65</v>
      </c>
      <c r="C1720" s="17">
        <f>[1]SUMMARY!C1721</f>
        <v>17</v>
      </c>
      <c r="D1720" s="25" t="str">
        <f>[1]SUMMARY!D1721</f>
        <v>YOKOHAMA</v>
      </c>
      <c r="E1720" s="25" t="str">
        <f>[1]SUMMARY!E1721</f>
        <v>G055 H/T</v>
      </c>
      <c r="F1720" s="30"/>
      <c r="G1720" s="30"/>
      <c r="H1720" s="30"/>
      <c r="I1720" s="21">
        <f t="shared" si="17"/>
        <v>0</v>
      </c>
      <c r="J1720" s="22">
        <f>[1]SUMMARY!N1721</f>
        <v>5760</v>
      </c>
      <c r="K1720" s="23">
        <f t="shared" si="18"/>
        <v>0</v>
      </c>
      <c r="L1720" s="8"/>
      <c r="M1720" s="8"/>
    </row>
    <row r="1721" spans="1:13" x14ac:dyDescent="0.2">
      <c r="A1721" s="17" t="str">
        <f>[1]SUMMARY!A1722</f>
        <v>235</v>
      </c>
      <c r="B1721" s="17">
        <f>[1]SUMMARY!B1722</f>
        <v>65</v>
      </c>
      <c r="C1721" s="17">
        <f>[1]SUMMARY!C1722</f>
        <v>17</v>
      </c>
      <c r="D1721" s="25" t="str">
        <f>[1]SUMMARY!D1722</f>
        <v>YOKOHAMA</v>
      </c>
      <c r="E1721" s="25" t="str">
        <f>[1]SUMMARY!E1722</f>
        <v>G051 H/T</v>
      </c>
      <c r="F1721" s="30">
        <v>3</v>
      </c>
      <c r="G1721" s="30">
        <v>17</v>
      </c>
      <c r="H1721" s="30">
        <v>20</v>
      </c>
      <c r="I1721" s="21">
        <f t="shared" si="17"/>
        <v>0</v>
      </c>
      <c r="J1721" s="22">
        <f>[1]SUMMARY!N1722</f>
        <v>6876.51</v>
      </c>
      <c r="K1721" s="23">
        <f t="shared" si="18"/>
        <v>0</v>
      </c>
      <c r="L1721" s="8"/>
      <c r="M1721" s="8"/>
    </row>
    <row r="1722" spans="1:13" x14ac:dyDescent="0.2">
      <c r="A1722" s="17" t="str">
        <f>[1]SUMMARY!A1723</f>
        <v>235</v>
      </c>
      <c r="B1722" s="17">
        <f>[1]SUMMARY!B1723</f>
        <v>65</v>
      </c>
      <c r="C1722" s="17">
        <f>[1]SUMMARY!C1723</f>
        <v>17</v>
      </c>
      <c r="D1722" s="25" t="str">
        <f>[1]SUMMARY!D1723</f>
        <v>YOKOHAMA</v>
      </c>
      <c r="E1722" s="25" t="str">
        <f>[1]SUMMARY!E1723</f>
        <v>GO58</v>
      </c>
      <c r="F1722" s="30"/>
      <c r="G1722" s="30">
        <v>4</v>
      </c>
      <c r="H1722" s="30">
        <v>4</v>
      </c>
      <c r="I1722" s="21">
        <f t="shared" si="17"/>
        <v>0</v>
      </c>
      <c r="J1722" s="22">
        <f>[1]SUMMARY!N1723</f>
        <v>6598.4</v>
      </c>
      <c r="K1722" s="23">
        <f t="shared" si="18"/>
        <v>0</v>
      </c>
      <c r="L1722" s="8"/>
      <c r="M1722" s="8"/>
    </row>
    <row r="1723" spans="1:13" x14ac:dyDescent="0.2">
      <c r="A1723" s="17" t="str">
        <f>[1]SUMMARY!A1724</f>
        <v>245</v>
      </c>
      <c r="B1723" s="17">
        <f>[1]SUMMARY!B1724</f>
        <v>65</v>
      </c>
      <c r="C1723" s="17">
        <f>[1]SUMMARY!C1724</f>
        <v>17</v>
      </c>
      <c r="D1723" s="25" t="str">
        <f>[1]SUMMARY!D1724</f>
        <v>YOKOHAMA</v>
      </c>
      <c r="E1723" s="25" t="str">
        <f>[1]SUMMARY!E1724</f>
        <v>GO58</v>
      </c>
      <c r="F1723" s="30"/>
      <c r="G1723" s="30">
        <v>2</v>
      </c>
      <c r="H1723" s="30">
        <v>2</v>
      </c>
      <c r="I1723" s="21">
        <f t="shared" si="17"/>
        <v>0</v>
      </c>
      <c r="J1723" s="22">
        <f>[1]SUMMARY!N1724</f>
        <v>7782.4</v>
      </c>
      <c r="K1723" s="23">
        <f t="shared" si="18"/>
        <v>0</v>
      </c>
      <c r="L1723" s="8"/>
      <c r="M1723" s="8"/>
    </row>
    <row r="1724" spans="1:13" x14ac:dyDescent="0.2">
      <c r="A1724" s="69" t="str">
        <f>[1]SUMMARY!A1725</f>
        <v>265</v>
      </c>
      <c r="B1724" s="69">
        <f>[1]SUMMARY!B1725</f>
        <v>65</v>
      </c>
      <c r="C1724" s="69">
        <f>[1]SUMMARY!C1725</f>
        <v>17</v>
      </c>
      <c r="D1724" s="70" t="str">
        <f>[1]SUMMARY!D1725</f>
        <v>YOKOHAMA (TH)</v>
      </c>
      <c r="E1724" s="25" t="str">
        <f>[1]SUMMARY!E1725</f>
        <v>G056 H/T</v>
      </c>
      <c r="F1724" s="71"/>
      <c r="G1724" s="71">
        <v>1479</v>
      </c>
      <c r="H1724" s="71">
        <v>1479</v>
      </c>
      <c r="I1724" s="72">
        <f t="shared" si="17"/>
        <v>0</v>
      </c>
      <c r="J1724" s="22">
        <f>[1]SUMMARY!N1725</f>
        <v>8308</v>
      </c>
      <c r="K1724" s="50">
        <f t="shared" si="18"/>
        <v>0</v>
      </c>
      <c r="L1724" s="8"/>
      <c r="M1724" s="8"/>
    </row>
    <row r="1725" spans="1:13" x14ac:dyDescent="0.2">
      <c r="A1725" s="17" t="str">
        <f>[1]SUMMARY!A1726</f>
        <v>265</v>
      </c>
      <c r="B1725" s="17">
        <f>[1]SUMMARY!B1726</f>
        <v>65</v>
      </c>
      <c r="C1725" s="17">
        <f>[1]SUMMARY!C1726</f>
        <v>17</v>
      </c>
      <c r="D1725" s="25" t="str">
        <f>[1]SUMMARY!D1726</f>
        <v>YOKOHAMA (TH)</v>
      </c>
      <c r="E1725" s="25" t="str">
        <f>[1]SUMMARY!E1726</f>
        <v>G015 A/T</v>
      </c>
      <c r="F1725" s="30"/>
      <c r="G1725" s="30">
        <v>8</v>
      </c>
      <c r="H1725" s="30">
        <v>8</v>
      </c>
      <c r="I1725" s="21">
        <f t="shared" si="17"/>
        <v>0</v>
      </c>
      <c r="J1725" s="22">
        <f>[1]SUMMARY!N1726</f>
        <v>8518.7999999999993</v>
      </c>
      <c r="K1725" s="23">
        <f t="shared" si="18"/>
        <v>0</v>
      </c>
      <c r="L1725" s="8"/>
      <c r="M1725" s="8"/>
    </row>
    <row r="1726" spans="1:13" x14ac:dyDescent="0.2">
      <c r="A1726" s="17" t="str">
        <f>[1]SUMMARY!A1727</f>
        <v>265</v>
      </c>
      <c r="B1726" s="17">
        <f>[1]SUMMARY!B1727</f>
        <v>70</v>
      </c>
      <c r="C1726" s="17">
        <f>[1]SUMMARY!C1727</f>
        <v>17</v>
      </c>
      <c r="D1726" s="25" t="str">
        <f>[1]SUMMARY!D1727</f>
        <v>YOKOHAMA</v>
      </c>
      <c r="E1726" s="25" t="str">
        <f>[1]SUMMARY!E1727</f>
        <v>G015 A/T</v>
      </c>
      <c r="F1726" s="21"/>
      <c r="G1726" s="21">
        <v>4</v>
      </c>
      <c r="H1726" s="21">
        <v>4</v>
      </c>
      <c r="I1726" s="21">
        <f t="shared" si="17"/>
        <v>0</v>
      </c>
      <c r="J1726" s="22">
        <f>[1]SUMMARY!N1727</f>
        <v>11476.8</v>
      </c>
      <c r="K1726" s="23">
        <f t="shared" si="18"/>
        <v>0</v>
      </c>
      <c r="L1726" s="8"/>
      <c r="M1726" s="8"/>
    </row>
    <row r="1727" spans="1:13" x14ac:dyDescent="0.2">
      <c r="A1727" s="17" t="str">
        <f>[1]SUMMARY!A1728</f>
        <v>245</v>
      </c>
      <c r="B1727" s="17">
        <f>[1]SUMMARY!B1728</f>
        <v>40</v>
      </c>
      <c r="C1727" s="17">
        <f>[1]SUMMARY!C1728</f>
        <v>18</v>
      </c>
      <c r="D1727" s="25" t="str">
        <f>[1]SUMMARY!D1728</f>
        <v>YOKOHAMA</v>
      </c>
      <c r="E1727" s="25" t="str">
        <f>[1]SUMMARY!E1728</f>
        <v>ADVAN FLEVA V701</v>
      </c>
      <c r="F1727" s="21"/>
      <c r="G1727" s="21">
        <v>4</v>
      </c>
      <c r="H1727" s="21">
        <v>4</v>
      </c>
      <c r="I1727" s="21">
        <f t="shared" si="17"/>
        <v>0</v>
      </c>
      <c r="J1727" s="22">
        <f>[1]SUMMARY!N1728</f>
        <v>6243.4</v>
      </c>
      <c r="K1727" s="23">
        <f t="shared" si="18"/>
        <v>0</v>
      </c>
      <c r="L1727" s="8"/>
      <c r="M1727" s="8"/>
    </row>
    <row r="1728" spans="1:13" x14ac:dyDescent="0.2">
      <c r="A1728" s="17" t="str">
        <f>[1]SUMMARY!A1729</f>
        <v>215</v>
      </c>
      <c r="B1728" s="17">
        <f>[1]SUMMARY!B1729</f>
        <v>45</v>
      </c>
      <c r="C1728" s="17">
        <f>[1]SUMMARY!C1729</f>
        <v>18</v>
      </c>
      <c r="D1728" s="25" t="str">
        <f>[1]SUMMARY!D1729</f>
        <v>YOKOHAMA</v>
      </c>
      <c r="E1728" s="25" t="str">
        <f>[1]SUMMARY!E1729</f>
        <v>ADV FLEVA V701</v>
      </c>
      <c r="F1728" s="21"/>
      <c r="G1728" s="21">
        <v>8</v>
      </c>
      <c r="H1728" s="21">
        <v>8</v>
      </c>
      <c r="I1728" s="21">
        <f t="shared" si="17"/>
        <v>0</v>
      </c>
      <c r="J1728" s="22">
        <f>[1]SUMMARY!N1729</f>
        <v>4302</v>
      </c>
      <c r="K1728" s="23">
        <f t="shared" si="18"/>
        <v>0</v>
      </c>
      <c r="L1728" s="8"/>
      <c r="M1728" s="8"/>
    </row>
    <row r="1729" spans="1:13" x14ac:dyDescent="0.2">
      <c r="A1729" s="17" t="str">
        <f>[1]SUMMARY!A1730</f>
        <v>235</v>
      </c>
      <c r="B1729" s="17">
        <f>[1]SUMMARY!B1730</f>
        <v>50</v>
      </c>
      <c r="C1729" s="17">
        <f>[1]SUMMARY!C1730</f>
        <v>18</v>
      </c>
      <c r="D1729" s="25" t="str">
        <f>[1]SUMMARY!D1730</f>
        <v>YOKOHAMA</v>
      </c>
      <c r="E1729" s="25" t="str">
        <f>[1]SUMMARY!E1730</f>
        <v>V552</v>
      </c>
      <c r="F1729" s="21"/>
      <c r="G1729" s="21"/>
      <c r="H1729" s="21"/>
      <c r="I1729" s="21">
        <f t="shared" si="17"/>
        <v>0</v>
      </c>
      <c r="J1729" s="22">
        <f>[1]SUMMARY!N1730</f>
        <v>7689.47</v>
      </c>
      <c r="K1729" s="23">
        <f t="shared" si="18"/>
        <v>0</v>
      </c>
      <c r="L1729" s="8"/>
      <c r="M1729" s="8"/>
    </row>
    <row r="1730" spans="1:13" x14ac:dyDescent="0.2">
      <c r="A1730" s="17" t="str">
        <f>[1]SUMMARY!A1731</f>
        <v>215</v>
      </c>
      <c r="B1730" s="17">
        <f>[1]SUMMARY!B1731</f>
        <v>55</v>
      </c>
      <c r="C1730" s="17">
        <f>[1]SUMMARY!C1731</f>
        <v>18</v>
      </c>
      <c r="D1730" s="25" t="str">
        <f>[1]SUMMARY!D1731</f>
        <v>YOKOHAMA</v>
      </c>
      <c r="E1730" s="25" t="str">
        <f>[1]SUMMARY!E1731</f>
        <v>G058</v>
      </c>
      <c r="F1730" s="21"/>
      <c r="G1730" s="21"/>
      <c r="H1730" s="21"/>
      <c r="I1730" s="21">
        <f t="shared" si="17"/>
        <v>0</v>
      </c>
      <c r="J1730" s="22">
        <f>[1]SUMMARY!N1731</f>
        <v>9424</v>
      </c>
      <c r="K1730" s="23">
        <f t="shared" si="18"/>
        <v>0</v>
      </c>
      <c r="L1730" s="8"/>
      <c r="M1730" s="8"/>
    </row>
    <row r="1731" spans="1:13" x14ac:dyDescent="0.2">
      <c r="A1731" s="58" t="str">
        <f>[1]SUMMARY!A1732</f>
        <v>235</v>
      </c>
      <c r="B1731" s="58">
        <f>[1]SUMMARY!B1732</f>
        <v>55</v>
      </c>
      <c r="C1731" s="58">
        <f>[1]SUMMARY!C1732</f>
        <v>18</v>
      </c>
      <c r="D1731" s="59" t="str">
        <f>[1]SUMMARY!D1732</f>
        <v>YOKOHAMA</v>
      </c>
      <c r="E1731" s="25" t="str">
        <f>[1]SUMMARY!E1732</f>
        <v>GO58</v>
      </c>
      <c r="F1731" s="20"/>
      <c r="G1731" s="20">
        <v>4</v>
      </c>
      <c r="H1731" s="20">
        <v>4</v>
      </c>
      <c r="I1731" s="21">
        <f t="shared" si="17"/>
        <v>0</v>
      </c>
      <c r="J1731" s="22">
        <f>[1]SUMMARY!N1732</f>
        <v>9529.6</v>
      </c>
      <c r="K1731" s="23">
        <f t="shared" si="18"/>
        <v>0</v>
      </c>
      <c r="L1731" s="8"/>
      <c r="M1731" s="8"/>
    </row>
    <row r="1732" spans="1:13" x14ac:dyDescent="0.2">
      <c r="A1732" s="73" t="str">
        <f>[1]SUMMARY!A1733</f>
        <v>265</v>
      </c>
      <c r="B1732" s="73">
        <f>[1]SUMMARY!B1733</f>
        <v>60</v>
      </c>
      <c r="C1732" s="73">
        <f>[1]SUMMARY!C1733</f>
        <v>18</v>
      </c>
      <c r="D1732" s="74" t="str">
        <f>[1]SUMMARY!D1733</f>
        <v xml:space="preserve">YOKOHAMA </v>
      </c>
      <c r="E1732" s="25" t="str">
        <f>[1]SUMMARY!E1733</f>
        <v>G056 H/T</v>
      </c>
      <c r="F1732" s="49"/>
      <c r="G1732" s="49">
        <v>811</v>
      </c>
      <c r="H1732" s="49">
        <v>811</v>
      </c>
      <c r="I1732" s="21">
        <f t="shared" si="17"/>
        <v>0</v>
      </c>
      <c r="J1732" s="22">
        <f>[1]SUMMARY!N1733</f>
        <v>9200.7999999999993</v>
      </c>
      <c r="K1732" s="75">
        <f t="shared" si="18"/>
        <v>0</v>
      </c>
      <c r="L1732" s="8"/>
      <c r="M1732" s="8"/>
    </row>
    <row r="1733" spans="1:13" x14ac:dyDescent="0.2">
      <c r="A1733" s="17" t="str">
        <f>[1]SUMMARY!A1734</f>
        <v>265</v>
      </c>
      <c r="B1733" s="17">
        <f>[1]SUMMARY!B1734</f>
        <v>60</v>
      </c>
      <c r="C1733" s="17">
        <f>[1]SUMMARY!C1734</f>
        <v>18</v>
      </c>
      <c r="D1733" s="25" t="str">
        <f>[1]SUMMARY!D1734</f>
        <v>YOKOHAMA (TH)</v>
      </c>
      <c r="E1733" s="25" t="str">
        <f>[1]SUMMARY!E1734</f>
        <v>G015 A/T</v>
      </c>
      <c r="F1733" s="30"/>
      <c r="G1733" s="30">
        <v>39</v>
      </c>
      <c r="H1733" s="30">
        <v>39</v>
      </c>
      <c r="I1733" s="21">
        <f t="shared" si="17"/>
        <v>0</v>
      </c>
      <c r="J1733" s="22">
        <f>[1]SUMMARY!N1734</f>
        <v>10735.2</v>
      </c>
      <c r="K1733" s="23">
        <f t="shared" si="18"/>
        <v>0</v>
      </c>
      <c r="L1733" s="8"/>
      <c r="M1733" s="8"/>
    </row>
    <row r="1734" spans="1:13" x14ac:dyDescent="0.2">
      <c r="A1734" s="58" t="str">
        <f>[1]SUMMARY!A1735</f>
        <v>265</v>
      </c>
      <c r="B1734" s="58">
        <f>[1]SUMMARY!B1735</f>
        <v>60</v>
      </c>
      <c r="C1734" s="58">
        <f>[1]SUMMARY!C1735</f>
        <v>18</v>
      </c>
      <c r="D1734" s="59" t="str">
        <f>[1]SUMMARY!D1735</f>
        <v>YOKOHAMA</v>
      </c>
      <c r="E1734" s="25" t="str">
        <f>[1]SUMMARY!E1735</f>
        <v>GO12 A/T</v>
      </c>
      <c r="F1734" s="20"/>
      <c r="G1734" s="20">
        <v>6</v>
      </c>
      <c r="H1734" s="20">
        <v>6</v>
      </c>
      <c r="I1734" s="21">
        <f t="shared" si="17"/>
        <v>0</v>
      </c>
      <c r="J1734" s="57">
        <f>[1]SUMMARY!N1735</f>
        <v>9214</v>
      </c>
      <c r="K1734" s="23">
        <f t="shared" si="18"/>
        <v>0</v>
      </c>
      <c r="L1734" s="8"/>
      <c r="M1734" s="8"/>
    </row>
    <row r="1735" spans="1:13" x14ac:dyDescent="0.2">
      <c r="A1735" s="17" t="str">
        <f>[1]SUMMARY!A1736</f>
        <v>285</v>
      </c>
      <c r="B1735" s="17">
        <f>[1]SUMMARY!B1736</f>
        <v>60</v>
      </c>
      <c r="C1735" s="17">
        <f>[1]SUMMARY!C1736</f>
        <v>18</v>
      </c>
      <c r="D1735" s="25" t="str">
        <f>[1]SUMMARY!D1736</f>
        <v>YOKOHAMA</v>
      </c>
      <c r="E1735" s="25" t="str">
        <f>[1]SUMMARY!E1736</f>
        <v>G94</v>
      </c>
      <c r="F1735" s="30"/>
      <c r="G1735" s="30"/>
      <c r="H1735" s="30"/>
      <c r="I1735" s="21">
        <f t="shared" si="17"/>
        <v>0</v>
      </c>
      <c r="J1735" s="22">
        <f>[1]SUMMARY!N1736</f>
        <v>14336</v>
      </c>
      <c r="K1735" s="23">
        <f t="shared" si="18"/>
        <v>0</v>
      </c>
      <c r="L1735" s="8"/>
      <c r="M1735" s="8"/>
    </row>
    <row r="1736" spans="1:13" x14ac:dyDescent="0.2">
      <c r="A1736" s="17" t="str">
        <f>[1]SUMMARY!A1737</f>
        <v>285</v>
      </c>
      <c r="B1736" s="17">
        <f>[1]SUMMARY!B1737</f>
        <v>60</v>
      </c>
      <c r="C1736" s="17">
        <f>[1]SUMMARY!C1737</f>
        <v>18</v>
      </c>
      <c r="D1736" s="25" t="str">
        <f>[1]SUMMARY!D1737</f>
        <v>YOKOHAMA</v>
      </c>
      <c r="E1736" s="25" t="str">
        <f>[1]SUMMARY!E1737</f>
        <v>GO15 A/T</v>
      </c>
      <c r="F1736" s="30"/>
      <c r="G1736" s="30"/>
      <c r="H1736" s="30"/>
      <c r="I1736" s="21">
        <f t="shared" si="17"/>
        <v>0</v>
      </c>
      <c r="J1736" s="22">
        <f>[1]SUMMARY!N1737</f>
        <v>11239.42</v>
      </c>
      <c r="K1736" s="23">
        <f t="shared" si="18"/>
        <v>0</v>
      </c>
      <c r="L1736" s="8"/>
      <c r="M1736" s="8"/>
    </row>
    <row r="1737" spans="1:13" x14ac:dyDescent="0.2">
      <c r="A1737" s="17" t="str">
        <f>[1]SUMMARY!A1738</f>
        <v>265</v>
      </c>
      <c r="B1737" s="17">
        <f>[1]SUMMARY!B1738</f>
        <v>65</v>
      </c>
      <c r="C1737" s="17">
        <f>[1]SUMMARY!C1738</f>
        <v>18</v>
      </c>
      <c r="D1737" s="25" t="str">
        <f>[1]SUMMARY!D1738</f>
        <v>YOKOHAMA</v>
      </c>
      <c r="E1737" s="25" t="str">
        <f>[1]SUMMARY!E1738</f>
        <v>G015</v>
      </c>
      <c r="F1737" s="30"/>
      <c r="G1737" s="30">
        <v>4</v>
      </c>
      <c r="H1737" s="30">
        <v>4</v>
      </c>
      <c r="I1737" s="21">
        <f t="shared" si="17"/>
        <v>0</v>
      </c>
      <c r="J1737" s="22">
        <f>[1]SUMMARY!N1738</f>
        <v>10711.6</v>
      </c>
      <c r="K1737" s="23">
        <f t="shared" si="18"/>
        <v>0</v>
      </c>
      <c r="L1737" s="8"/>
      <c r="M1737" s="8"/>
    </row>
    <row r="1738" spans="1:13" x14ac:dyDescent="0.2">
      <c r="A1738" s="46" t="str">
        <f>[1]SUMMARY!A1739</f>
        <v xml:space="preserve">265 </v>
      </c>
      <c r="B1738" s="46">
        <f>[1]SUMMARY!B1739</f>
        <v>50</v>
      </c>
      <c r="C1738" s="46">
        <f>[1]SUMMARY!C1739</f>
        <v>20</v>
      </c>
      <c r="D1738" s="47" t="str">
        <f>[1]SUMMARY!D1739</f>
        <v xml:space="preserve">YOKOHAMA </v>
      </c>
      <c r="E1738" s="25" t="str">
        <f>[1]SUMMARY!E1739</f>
        <v>G057</v>
      </c>
      <c r="F1738" s="48">
        <v>8</v>
      </c>
      <c r="G1738" s="48">
        <v>354</v>
      </c>
      <c r="H1738" s="48">
        <v>362</v>
      </c>
      <c r="I1738" s="21">
        <f t="shared" si="17"/>
        <v>0</v>
      </c>
      <c r="J1738" s="22">
        <f>[1]SUMMARY!N1739</f>
        <v>9256.6</v>
      </c>
      <c r="K1738" s="50">
        <f t="shared" si="18"/>
        <v>0</v>
      </c>
      <c r="L1738" s="8"/>
      <c r="M1738" s="8"/>
    </row>
    <row r="1739" spans="1:13" x14ac:dyDescent="0.2">
      <c r="A1739" s="52" t="str">
        <f>[1]SUMMARY!A1740</f>
        <v>265</v>
      </c>
      <c r="B1739" s="52">
        <f>[1]SUMMARY!B1740</f>
        <v>50</v>
      </c>
      <c r="C1739" s="52">
        <f>[1]SUMMARY!C1740</f>
        <v>20</v>
      </c>
      <c r="D1739" s="39" t="str">
        <f>[1]SUMMARY!D1740</f>
        <v>YOKOHAMA</v>
      </c>
      <c r="E1739" s="25" t="str">
        <f>[1]SUMMARY!E1740</f>
        <v>G015</v>
      </c>
      <c r="F1739" s="21"/>
      <c r="G1739" s="21">
        <v>14</v>
      </c>
      <c r="H1739" s="21">
        <v>14</v>
      </c>
      <c r="I1739" s="21">
        <f t="shared" si="17"/>
        <v>0</v>
      </c>
      <c r="J1739" s="53">
        <f>[1]SUMMARY!N1740</f>
        <v>11916.4</v>
      </c>
      <c r="K1739" s="54">
        <f t="shared" si="18"/>
        <v>0</v>
      </c>
      <c r="L1739" s="56"/>
      <c r="M1739" s="56"/>
    </row>
    <row r="1740" spans="1:13" x14ac:dyDescent="0.2">
      <c r="A1740" s="17" t="str">
        <f>[1]SUMMARY!A1741</f>
        <v>275</v>
      </c>
      <c r="B1740" s="17">
        <f>[1]SUMMARY!B1741</f>
        <v>55</v>
      </c>
      <c r="C1740" s="17">
        <f>[1]SUMMARY!C1741</f>
        <v>20</v>
      </c>
      <c r="D1740" s="25" t="str">
        <f>[1]SUMMARY!D1741</f>
        <v>YOKOHAMA</v>
      </c>
      <c r="E1740" s="25" t="str">
        <f>[1]SUMMARY!E1741</f>
        <v xml:space="preserve">G015 </v>
      </c>
      <c r="F1740" s="30">
        <v>2</v>
      </c>
      <c r="G1740" s="30"/>
      <c r="H1740" s="30">
        <v>2</v>
      </c>
      <c r="I1740" s="21">
        <f t="shared" si="17"/>
        <v>0</v>
      </c>
      <c r="J1740" s="22">
        <f>[1]SUMMARY!N1741</f>
        <v>11349.2</v>
      </c>
      <c r="K1740" s="23">
        <f t="shared" si="18"/>
        <v>0</v>
      </c>
      <c r="L1740" s="28">
        <f>SUM(K1628:K1740)</f>
        <v>136499.19999999998</v>
      </c>
      <c r="M1740" s="29" t="s">
        <v>89</v>
      </c>
    </row>
    <row r="1741" spans="1:13" x14ac:dyDescent="0.2">
      <c r="A1741" s="17" t="str">
        <f>[1]SUMMARY!A1742</f>
        <v>285</v>
      </c>
      <c r="B1741" s="17">
        <f>[1]SUMMARY!B1742</f>
        <v>70</v>
      </c>
      <c r="C1741" s="17">
        <f>[1]SUMMARY!C1742</f>
        <v>17</v>
      </c>
      <c r="D1741" s="25" t="str">
        <f>[1]SUMMARY!D1742</f>
        <v>ULTRA FORCE</v>
      </c>
      <c r="E1741" s="25" t="str">
        <f>[1]SUMMARY!E1742</f>
        <v>TERRA TAMER AT-X RWL 10PR 126/123S</v>
      </c>
      <c r="F1741" s="30"/>
      <c r="G1741" s="30">
        <v>4</v>
      </c>
      <c r="H1741" s="30"/>
      <c r="I1741" s="21">
        <f t="shared" si="17"/>
        <v>4</v>
      </c>
      <c r="J1741" s="22">
        <f>[1]SUMMARY!N1742</f>
        <v>6566.4</v>
      </c>
      <c r="K1741" s="23">
        <f t="shared" si="18"/>
        <v>26265.599999999999</v>
      </c>
      <c r="L1741" s="8"/>
      <c r="M1741" s="8"/>
    </row>
    <row r="1742" spans="1:13" x14ac:dyDescent="0.2">
      <c r="A1742" s="17" t="str">
        <f>[1]SUMMARY!A1743</f>
        <v>275</v>
      </c>
      <c r="B1742" s="17">
        <f>[1]SUMMARY!B1743</f>
        <v>65</v>
      </c>
      <c r="C1742" s="17">
        <f>[1]SUMMARY!C1743</f>
        <v>18</v>
      </c>
      <c r="D1742" s="25" t="str">
        <f>[1]SUMMARY!D1743</f>
        <v>ULTRA FORCE</v>
      </c>
      <c r="E1742" s="25" t="str">
        <f>[1]SUMMARY!E1743</f>
        <v>TERRA TAMER AT-X RWL 10PR 116Q</v>
      </c>
      <c r="F1742" s="30"/>
      <c r="G1742" s="30">
        <v>4</v>
      </c>
      <c r="H1742" s="30"/>
      <c r="I1742" s="21">
        <f t="shared" si="17"/>
        <v>4</v>
      </c>
      <c r="J1742" s="22">
        <f>[1]SUMMARY!N1743</f>
        <v>7300</v>
      </c>
      <c r="K1742" s="23">
        <f t="shared" si="18"/>
        <v>29200</v>
      </c>
      <c r="L1742" s="8"/>
      <c r="M1742" s="8"/>
    </row>
    <row r="1743" spans="1:13" x14ac:dyDescent="0.2">
      <c r="A1743" s="17">
        <f>[1]SUMMARY!A1744</f>
        <v>275</v>
      </c>
      <c r="B1743" s="17">
        <f>[1]SUMMARY!B1744</f>
        <v>55</v>
      </c>
      <c r="C1743" s="17">
        <f>[1]SUMMARY!C1744</f>
        <v>20</v>
      </c>
      <c r="D1743" s="25" t="str">
        <f>[1]SUMMARY!D1744</f>
        <v>ULTRA FORCE</v>
      </c>
      <c r="E1743" s="25" t="str">
        <f>[1]SUMMARY!E1744</f>
        <v>TERRA TAMER AT-X RWL 120/117S10PR</v>
      </c>
      <c r="F1743" s="30"/>
      <c r="G1743" s="30">
        <v>4</v>
      </c>
      <c r="H1743" s="30"/>
      <c r="I1743" s="21">
        <f t="shared" si="17"/>
        <v>4</v>
      </c>
      <c r="J1743" s="22">
        <f>[1]SUMMARY!N1744</f>
        <v>7002.45</v>
      </c>
      <c r="K1743" s="23">
        <f t="shared" si="18"/>
        <v>28009.8</v>
      </c>
    </row>
    <row r="1744" spans="1:13" x14ac:dyDescent="0.2">
      <c r="A1744" s="17">
        <f>[1]SUMMARY!A1745</f>
        <v>285</v>
      </c>
      <c r="B1744" s="17">
        <f>[1]SUMMARY!B1745</f>
        <v>50</v>
      </c>
      <c r="C1744" s="17">
        <f>[1]SUMMARY!C1745</f>
        <v>20</v>
      </c>
      <c r="D1744" s="25" t="str">
        <f>[1]SUMMARY!D1745</f>
        <v>ULTRA FORCE</v>
      </c>
      <c r="E1744" s="25" t="str">
        <f>[1]SUMMARY!E1745</f>
        <v>TERRA TAMER AT-X RWL 119/116S10PR</v>
      </c>
      <c r="F1744" s="30"/>
      <c r="G1744" s="30">
        <v>4</v>
      </c>
      <c r="H1744" s="30"/>
      <c r="I1744" s="21">
        <f t="shared" si="17"/>
        <v>4</v>
      </c>
      <c r="J1744" s="22">
        <f>[1]SUMMARY!N1745</f>
        <v>7438.6</v>
      </c>
      <c r="K1744" s="23">
        <f t="shared" si="18"/>
        <v>29754.400000000001</v>
      </c>
      <c r="L1744" s="28">
        <f>SUM(K1741:K1744)</f>
        <v>113229.79999999999</v>
      </c>
      <c r="M1744" s="29" t="s">
        <v>90</v>
      </c>
    </row>
    <row r="1745" spans="1:13" x14ac:dyDescent="0.2">
      <c r="A1745" s="17">
        <f>[1]SUMMARY!A1746</f>
        <v>195</v>
      </c>
      <c r="B1745" s="17">
        <f>[1]SUMMARY!B1746</f>
        <v>55</v>
      </c>
      <c r="C1745" s="17">
        <f>[1]SUMMARY!C1746</f>
        <v>15</v>
      </c>
      <c r="D1745" s="25" t="str">
        <f>[1]SUMMARY!D1746</f>
        <v>ZELDA</v>
      </c>
      <c r="E1745" s="25" t="str">
        <f>[1]SUMMARY!E1746</f>
        <v>85V SURATE HP</v>
      </c>
      <c r="F1745" s="30"/>
      <c r="G1745" s="30">
        <v>4</v>
      </c>
      <c r="H1745" s="30"/>
      <c r="I1745" s="21">
        <f t="shared" si="17"/>
        <v>4</v>
      </c>
      <c r="J1745" s="22">
        <f>[1]SUMMARY!N1746</f>
        <v>1678.65</v>
      </c>
      <c r="K1745" s="23">
        <f t="shared" si="18"/>
        <v>6714.6</v>
      </c>
    </row>
    <row r="1746" spans="1:13" x14ac:dyDescent="0.2">
      <c r="A1746" s="17">
        <f>[1]SUMMARY!A1747</f>
        <v>185</v>
      </c>
      <c r="B1746" s="17">
        <f>[1]SUMMARY!B1747</f>
        <v>65</v>
      </c>
      <c r="C1746" s="17">
        <f>[1]SUMMARY!C1747</f>
        <v>15</v>
      </c>
      <c r="D1746" s="25" t="str">
        <f>[1]SUMMARY!D1747</f>
        <v>ZELDA</v>
      </c>
      <c r="E1746" s="25" t="str">
        <f>[1]SUMMARY!E1747</f>
        <v>SURATE HP</v>
      </c>
      <c r="F1746" s="30"/>
      <c r="G1746" s="30">
        <v>4</v>
      </c>
      <c r="H1746" s="30">
        <v>4</v>
      </c>
      <c r="I1746" s="21">
        <f t="shared" si="17"/>
        <v>0</v>
      </c>
      <c r="J1746" s="22">
        <f>[1]SUMMARY!N1747</f>
        <v>1579.38</v>
      </c>
      <c r="K1746" s="23">
        <f t="shared" si="18"/>
        <v>0</v>
      </c>
    </row>
    <row r="1747" spans="1:13" x14ac:dyDescent="0.2">
      <c r="A1747" s="17" t="str">
        <f>[1]SUMMARY!A1748</f>
        <v>195</v>
      </c>
      <c r="B1747" s="17">
        <f>[1]SUMMARY!B1748</f>
        <v>70</v>
      </c>
      <c r="C1747" s="17" t="str">
        <f>[1]SUMMARY!C1748</f>
        <v>15C</v>
      </c>
      <c r="D1747" s="25" t="str">
        <f>[1]SUMMARY!D1748</f>
        <v>ZELDA</v>
      </c>
      <c r="E1747" s="25" t="str">
        <f>[1]SUMMARY!E1748</f>
        <v>VANCRUISER</v>
      </c>
      <c r="F1747" s="30"/>
      <c r="G1747" s="30">
        <v>4</v>
      </c>
      <c r="H1747" s="30"/>
      <c r="I1747" s="21">
        <f t="shared" si="17"/>
        <v>4</v>
      </c>
      <c r="J1747" s="22">
        <f>[1]SUMMARY!N1748</f>
        <v>2283.33</v>
      </c>
      <c r="K1747" s="23">
        <f t="shared" si="18"/>
        <v>9133.32</v>
      </c>
    </row>
    <row r="1748" spans="1:13" x14ac:dyDescent="0.2">
      <c r="A1748" s="17" t="str">
        <f>[1]SUMMARY!A1749</f>
        <v>31</v>
      </c>
      <c r="B1748" s="17">
        <f>[1]SUMMARY!B1749</f>
        <v>10.5</v>
      </c>
      <c r="C1748" s="17">
        <f>[1]SUMMARY!C1749</f>
        <v>15</v>
      </c>
      <c r="D1748" s="25" t="str">
        <f>[1]SUMMARY!D1749</f>
        <v>ZELDA</v>
      </c>
      <c r="E1748" s="25" t="str">
        <f>[1]SUMMARY!E1749</f>
        <v>ROLLANDER AT OWL</v>
      </c>
      <c r="F1748" s="30"/>
      <c r="G1748" s="30">
        <v>4</v>
      </c>
      <c r="H1748" s="30"/>
      <c r="I1748" s="21">
        <f t="shared" si="17"/>
        <v>4</v>
      </c>
      <c r="J1748" s="22">
        <f>[1]SUMMARY!N1749</f>
        <v>4151.5</v>
      </c>
      <c r="K1748" s="23">
        <f t="shared" si="18"/>
        <v>16606</v>
      </c>
    </row>
    <row r="1749" spans="1:13" x14ac:dyDescent="0.2">
      <c r="A1749" s="17" t="str">
        <f>[1]SUMMARY!A1750</f>
        <v>205</v>
      </c>
      <c r="B1749" s="17">
        <f>[1]SUMMARY!B1750</f>
        <v>65</v>
      </c>
      <c r="C1749" s="17" t="str">
        <f>[1]SUMMARY!C1750</f>
        <v>16C</v>
      </c>
      <c r="D1749" s="25" t="str">
        <f>[1]SUMMARY!D1750</f>
        <v>ZELDA</v>
      </c>
      <c r="E1749" s="25" t="str">
        <f>[1]SUMMARY!E1750</f>
        <v>VANCRUISER</v>
      </c>
      <c r="F1749" s="30"/>
      <c r="G1749" s="30">
        <v>12</v>
      </c>
      <c r="H1749" s="30"/>
      <c r="I1749" s="21">
        <f t="shared" si="17"/>
        <v>12</v>
      </c>
      <c r="J1749" s="22">
        <f>[1]SUMMARY!N1750</f>
        <v>2454.8000000000002</v>
      </c>
      <c r="K1749" s="23">
        <f t="shared" si="18"/>
        <v>29457.600000000002</v>
      </c>
    </row>
    <row r="1750" spans="1:13" x14ac:dyDescent="0.2">
      <c r="A1750" s="17" t="str">
        <f>[1]SUMMARY!A1751</f>
        <v>235</v>
      </c>
      <c r="B1750" s="17">
        <f>[1]SUMMARY!B1751</f>
        <v>65</v>
      </c>
      <c r="C1750" s="17" t="str">
        <f>[1]SUMMARY!C1751</f>
        <v>16C</v>
      </c>
      <c r="D1750" s="25" t="str">
        <f>[1]SUMMARY!D1751</f>
        <v>ZELDA</v>
      </c>
      <c r="E1750" s="25" t="str">
        <f>[1]SUMMARY!E1751</f>
        <v>VANCRUISER</v>
      </c>
      <c r="F1750" s="30"/>
      <c r="G1750" s="30">
        <v>4</v>
      </c>
      <c r="H1750" s="30"/>
      <c r="I1750" s="21">
        <f t="shared" si="17"/>
        <v>4</v>
      </c>
      <c r="J1750" s="22">
        <f>[1]SUMMARY!N1751</f>
        <v>3065.5</v>
      </c>
      <c r="K1750" s="23">
        <f t="shared" si="18"/>
        <v>12262</v>
      </c>
      <c r="L1750" s="8"/>
      <c r="M1750" s="8"/>
    </row>
    <row r="1751" spans="1:13" x14ac:dyDescent="0.2">
      <c r="A1751" s="17" t="str">
        <f>[1]SUMMARY!A1752</f>
        <v>215</v>
      </c>
      <c r="B1751" s="17">
        <f>[1]SUMMARY!B1752</f>
        <v>70</v>
      </c>
      <c r="C1751" s="17">
        <f>[1]SUMMARY!C1752</f>
        <v>16</v>
      </c>
      <c r="D1751" s="25" t="str">
        <f>[1]SUMMARY!D1752</f>
        <v>ZELDA</v>
      </c>
      <c r="E1751" s="25" t="str">
        <f>[1]SUMMARY!E1752</f>
        <v>ROLLANDER AT</v>
      </c>
      <c r="F1751" s="30"/>
      <c r="G1751" s="30">
        <v>4</v>
      </c>
      <c r="H1751" s="30"/>
      <c r="I1751" s="21">
        <f t="shared" si="17"/>
        <v>4</v>
      </c>
      <c r="J1751" s="22">
        <f>[1]SUMMARY!N1752</f>
        <v>2897.03</v>
      </c>
      <c r="K1751" s="23">
        <f t="shared" si="18"/>
        <v>11588.12</v>
      </c>
      <c r="L1751" s="8"/>
      <c r="M1751" s="8"/>
    </row>
    <row r="1752" spans="1:13" x14ac:dyDescent="0.2">
      <c r="A1752" s="17" t="str">
        <f>[1]SUMMARY!A1753</f>
        <v>215</v>
      </c>
      <c r="B1752" s="17">
        <f>[1]SUMMARY!B1753</f>
        <v>70</v>
      </c>
      <c r="C1752" s="17" t="str">
        <f>[1]SUMMARY!C1753</f>
        <v>16C</v>
      </c>
      <c r="D1752" s="25" t="str">
        <f>[1]SUMMARY!D1753</f>
        <v>ZELDA</v>
      </c>
      <c r="E1752" s="25" t="str">
        <f>[1]SUMMARY!E1753</f>
        <v>VANCRUISER</v>
      </c>
      <c r="F1752" s="30"/>
      <c r="G1752" s="30">
        <v>4</v>
      </c>
      <c r="H1752" s="30"/>
      <c r="I1752" s="21">
        <f t="shared" si="17"/>
        <v>4</v>
      </c>
      <c r="J1752" s="22">
        <f>[1]SUMMARY!N1753</f>
        <v>2734.58</v>
      </c>
      <c r="K1752" s="23">
        <f t="shared" si="18"/>
        <v>10938.32</v>
      </c>
      <c r="L1752" s="8"/>
      <c r="M1752" s="8"/>
    </row>
    <row r="1753" spans="1:13" x14ac:dyDescent="0.2">
      <c r="A1753" s="17" t="str">
        <f>[1]SUMMARY!A1754</f>
        <v>205</v>
      </c>
      <c r="B1753" s="17">
        <f>[1]SUMMARY!B1754</f>
        <v>45</v>
      </c>
      <c r="C1753" s="17">
        <f>[1]SUMMARY!C1754</f>
        <v>17</v>
      </c>
      <c r="D1753" s="25" t="str">
        <f>[1]SUMMARY!D1754</f>
        <v>ZELDA</v>
      </c>
      <c r="E1753" s="25" t="str">
        <f>[1]SUMMARY!E1754</f>
        <v>88W XL ARCHFORCE</v>
      </c>
      <c r="F1753" s="30"/>
      <c r="G1753" s="30">
        <v>4</v>
      </c>
      <c r="H1753" s="30"/>
      <c r="I1753" s="21">
        <f t="shared" si="17"/>
        <v>4</v>
      </c>
      <c r="J1753" s="22">
        <f>[1]SUMMARY!N1754</f>
        <v>1958.43</v>
      </c>
      <c r="K1753" s="23">
        <f t="shared" si="18"/>
        <v>7833.72</v>
      </c>
      <c r="L1753" s="8"/>
      <c r="M1753" s="8"/>
    </row>
    <row r="1754" spans="1:13" x14ac:dyDescent="0.2">
      <c r="A1754" s="17" t="str">
        <f>[1]SUMMARY!A1755</f>
        <v>205</v>
      </c>
      <c r="B1754" s="17">
        <f>[1]SUMMARY!B1755</f>
        <v>50</v>
      </c>
      <c r="C1754" s="17">
        <f>[1]SUMMARY!C1755</f>
        <v>17</v>
      </c>
      <c r="D1754" s="25" t="str">
        <f>[1]SUMMARY!D1755</f>
        <v>ZELDA</v>
      </c>
      <c r="E1754" s="25" t="str">
        <f>[1]SUMMARY!E1755</f>
        <v>93W XL ARCHFORCE</v>
      </c>
      <c r="F1754" s="30"/>
      <c r="G1754" s="30">
        <v>4</v>
      </c>
      <c r="H1754" s="30"/>
      <c r="I1754" s="21">
        <f t="shared" si="17"/>
        <v>4</v>
      </c>
      <c r="J1754" s="22">
        <f>[1]SUMMARY!N1755</f>
        <v>2084.7800000000002</v>
      </c>
      <c r="K1754" s="23">
        <f t="shared" si="18"/>
        <v>8339.1200000000008</v>
      </c>
      <c r="L1754" s="8"/>
      <c r="M1754" s="8"/>
    </row>
    <row r="1755" spans="1:13" x14ac:dyDescent="0.2">
      <c r="A1755" s="17" t="str">
        <f>[1]SUMMARY!A1756</f>
        <v>215</v>
      </c>
      <c r="B1755" s="17">
        <f>[1]SUMMARY!B1756</f>
        <v>55</v>
      </c>
      <c r="C1755" s="17">
        <f>[1]SUMMARY!C1756</f>
        <v>17</v>
      </c>
      <c r="D1755" s="25" t="str">
        <f>[1]SUMMARY!D1756</f>
        <v>ZELDA</v>
      </c>
      <c r="E1755" s="25" t="str">
        <f>[1]SUMMARY!E1756</f>
        <v>ARCHFORCE</v>
      </c>
      <c r="F1755" s="30"/>
      <c r="G1755" s="30">
        <v>4</v>
      </c>
      <c r="H1755" s="30"/>
      <c r="I1755" s="21">
        <f t="shared" si="17"/>
        <v>4</v>
      </c>
      <c r="J1755" s="22">
        <f>[1]SUMMARY!N1756</f>
        <v>2337.48</v>
      </c>
      <c r="K1755" s="23">
        <f t="shared" si="18"/>
        <v>9349.92</v>
      </c>
      <c r="L1755" s="8"/>
      <c r="M1755" s="8"/>
    </row>
    <row r="1756" spans="1:13" x14ac:dyDescent="0.2">
      <c r="A1756" s="17" t="str">
        <f>[1]SUMMARY!A1757</f>
        <v>265</v>
      </c>
      <c r="B1756" s="17">
        <f>[1]SUMMARY!B1757</f>
        <v>65</v>
      </c>
      <c r="C1756" s="17">
        <f>[1]SUMMARY!C1757</f>
        <v>17</v>
      </c>
      <c r="D1756" s="25" t="str">
        <f>[1]SUMMARY!D1757</f>
        <v>ZELDA</v>
      </c>
      <c r="E1756" s="25" t="str">
        <f>[1]SUMMARY!E1757</f>
        <v>ROLLANDER AT OWL</v>
      </c>
      <c r="F1756" s="30"/>
      <c r="G1756" s="30">
        <v>4</v>
      </c>
      <c r="H1756" s="30"/>
      <c r="I1756" s="21">
        <f t="shared" si="17"/>
        <v>4</v>
      </c>
      <c r="J1756" s="22">
        <f>[1]SUMMARY!N1757</f>
        <v>5162.3</v>
      </c>
      <c r="K1756" s="23">
        <f t="shared" si="18"/>
        <v>20649.2</v>
      </c>
      <c r="L1756" s="8"/>
      <c r="M1756" s="8"/>
    </row>
    <row r="1757" spans="1:13" x14ac:dyDescent="0.2">
      <c r="A1757" s="17" t="str">
        <f>[1]SUMMARY!A1758</f>
        <v>285</v>
      </c>
      <c r="B1757" s="17">
        <f>[1]SUMMARY!B1758</f>
        <v>70</v>
      </c>
      <c r="C1757" s="17">
        <f>[1]SUMMARY!C1758</f>
        <v>17</v>
      </c>
      <c r="D1757" s="25" t="str">
        <f>[1]SUMMARY!D1758</f>
        <v>ZELDA</v>
      </c>
      <c r="E1757" s="25" t="str">
        <f>[1]SUMMARY!E1758</f>
        <v>ROLLANDER AT OWL</v>
      </c>
      <c r="F1757" s="30"/>
      <c r="G1757" s="30">
        <v>4</v>
      </c>
      <c r="H1757" s="30"/>
      <c r="I1757" s="21">
        <f t="shared" si="17"/>
        <v>4</v>
      </c>
      <c r="J1757" s="22">
        <f>[1]SUMMARY!N1758</f>
        <v>6028.7</v>
      </c>
      <c r="K1757" s="23">
        <f t="shared" si="18"/>
        <v>24114.799999999999</v>
      </c>
    </row>
    <row r="1758" spans="1:13" x14ac:dyDescent="0.2">
      <c r="A1758" s="17" t="str">
        <f>[1]SUMMARY!A1759</f>
        <v>225</v>
      </c>
      <c r="B1758" s="17">
        <f>[1]SUMMARY!B1759</f>
        <v>40</v>
      </c>
      <c r="C1758" s="17">
        <f>[1]SUMMARY!C1759</f>
        <v>18</v>
      </c>
      <c r="D1758" s="25" t="str">
        <f>[1]SUMMARY!D1759</f>
        <v>ZELDA</v>
      </c>
      <c r="E1758" s="25" t="str">
        <f>[1]SUMMARY!E1759</f>
        <v>92Y XL ARCHFORCE</v>
      </c>
      <c r="F1758" s="30"/>
      <c r="G1758" s="30">
        <v>4</v>
      </c>
      <c r="H1758" s="30"/>
      <c r="I1758" s="21">
        <f t="shared" si="17"/>
        <v>4</v>
      </c>
      <c r="J1758" s="22">
        <f>[1]SUMMARY!N1759</f>
        <v>2229.1799999999998</v>
      </c>
      <c r="K1758" s="23">
        <f t="shared" si="18"/>
        <v>8916.7199999999993</v>
      </c>
      <c r="L1758" s="8"/>
      <c r="M1758" s="8"/>
    </row>
    <row r="1759" spans="1:13" x14ac:dyDescent="0.2">
      <c r="A1759" s="17" t="str">
        <f>[1]SUMMARY!A1760</f>
        <v>235</v>
      </c>
      <c r="B1759" s="17">
        <f>[1]SUMMARY!B1760</f>
        <v>40</v>
      </c>
      <c r="C1759" s="17">
        <f>[1]SUMMARY!C1760</f>
        <v>18</v>
      </c>
      <c r="D1759" s="25" t="str">
        <f>[1]SUMMARY!D1760</f>
        <v>ZELDA</v>
      </c>
      <c r="E1759" s="25" t="str">
        <f>[1]SUMMARY!E1760</f>
        <v>95Y XL ARCHFORCE</v>
      </c>
      <c r="F1759" s="30"/>
      <c r="G1759" s="30">
        <v>4</v>
      </c>
      <c r="H1759" s="30"/>
      <c r="I1759" s="21">
        <f t="shared" si="17"/>
        <v>4</v>
      </c>
      <c r="J1759" s="22">
        <f>[1]SUMMARY!N1760</f>
        <v>2436.75</v>
      </c>
      <c r="K1759" s="23">
        <f t="shared" si="18"/>
        <v>9747</v>
      </c>
      <c r="L1759" s="8"/>
      <c r="M1759" s="8"/>
    </row>
    <row r="1760" spans="1:13" x14ac:dyDescent="0.2">
      <c r="A1760" s="17" t="str">
        <f>[1]SUMMARY!A1761</f>
        <v>215</v>
      </c>
      <c r="B1760" s="17">
        <f>[1]SUMMARY!B1761</f>
        <v>55</v>
      </c>
      <c r="C1760" s="17">
        <f>[1]SUMMARY!C1761</f>
        <v>18</v>
      </c>
      <c r="D1760" s="25" t="str">
        <f>[1]SUMMARY!D1761</f>
        <v>ZELDA</v>
      </c>
      <c r="E1760" s="25" t="str">
        <f>[1]SUMMARY!E1761</f>
        <v>99W XL ARCHFORCE</v>
      </c>
      <c r="F1760" s="30"/>
      <c r="G1760" s="30">
        <v>4</v>
      </c>
      <c r="H1760" s="30"/>
      <c r="I1760" s="21">
        <f t="shared" si="17"/>
        <v>4</v>
      </c>
      <c r="J1760" s="22">
        <f>[1]SUMMARY!N1761</f>
        <v>2481.88</v>
      </c>
      <c r="K1760" s="23">
        <f t="shared" si="18"/>
        <v>9927.52</v>
      </c>
      <c r="L1760" s="8"/>
      <c r="M1760" s="8"/>
    </row>
    <row r="1761" spans="1:13" x14ac:dyDescent="0.2">
      <c r="A1761" s="17" t="str">
        <f>[1]SUMMARY!A1762</f>
        <v>235</v>
      </c>
      <c r="B1761" s="17">
        <f>[1]SUMMARY!B1762</f>
        <v>55</v>
      </c>
      <c r="C1761" s="17">
        <f>[1]SUMMARY!C1762</f>
        <v>18</v>
      </c>
      <c r="D1761" s="25" t="str">
        <f>[1]SUMMARY!D1762</f>
        <v>ZELDA</v>
      </c>
      <c r="E1761" s="25" t="str">
        <f>[1]SUMMARY!E1762</f>
        <v>104W XL ARCHFORCE</v>
      </c>
      <c r="F1761" s="30"/>
      <c r="G1761" s="30">
        <v>4</v>
      </c>
      <c r="H1761" s="30"/>
      <c r="I1761" s="21">
        <f t="shared" ref="I1761:I2015" si="19">F1761+G1761-H1761</f>
        <v>4</v>
      </c>
      <c r="J1761" s="22">
        <f>[1]SUMMARY!N1762</f>
        <v>2915.08</v>
      </c>
      <c r="K1761" s="23">
        <f t="shared" si="18"/>
        <v>11660.32</v>
      </c>
      <c r="L1761" s="28">
        <f>SUM(K1745:K1761)</f>
        <v>207238.27999999997</v>
      </c>
      <c r="M1761" s="29" t="s">
        <v>91</v>
      </c>
    </row>
    <row r="1762" spans="1:13" x14ac:dyDescent="0.2">
      <c r="A1762" s="17" t="str">
        <f>[1]SUMMARY!A1763</f>
        <v>185</v>
      </c>
      <c r="B1762" s="17">
        <f>[1]SUMMARY!B1763</f>
        <v>0</v>
      </c>
      <c r="C1762" s="17" t="str">
        <f>[1]SUMMARY!C1763</f>
        <v>14C</v>
      </c>
      <c r="D1762" s="25" t="str">
        <f>[1]SUMMARY!D1763</f>
        <v>ZEXTOUR (CH)</v>
      </c>
      <c r="E1762" s="25" t="str">
        <f>[1]SUMMARY!E1763</f>
        <v>HIGHLANDER</v>
      </c>
      <c r="F1762" s="30"/>
      <c r="G1762" s="30"/>
      <c r="H1762" s="30"/>
      <c r="I1762" s="21">
        <f t="shared" si="19"/>
        <v>0</v>
      </c>
      <c r="J1762" s="22">
        <f>[1]SUMMARY!N1763</f>
        <v>1960</v>
      </c>
      <c r="K1762" s="23">
        <f t="shared" si="18"/>
        <v>0</v>
      </c>
      <c r="L1762" s="8"/>
      <c r="M1762" s="8"/>
    </row>
    <row r="1763" spans="1:13" x14ac:dyDescent="0.2">
      <c r="A1763" s="17" t="str">
        <f>[1]SUMMARY!A1764</f>
        <v>195</v>
      </c>
      <c r="B1763" s="17">
        <f>[1]SUMMARY!B1764</f>
        <v>0</v>
      </c>
      <c r="C1763" s="17" t="str">
        <f>[1]SUMMARY!C1764</f>
        <v>14C</v>
      </c>
      <c r="D1763" s="25" t="str">
        <f>[1]SUMMARY!D1764</f>
        <v>ZEXTOUR (CH)</v>
      </c>
      <c r="E1763" s="25" t="str">
        <f>[1]SUMMARY!E1764</f>
        <v>HIGHLANDER LX755</v>
      </c>
      <c r="F1763" s="30">
        <v>4</v>
      </c>
      <c r="G1763" s="30">
        <v>8</v>
      </c>
      <c r="H1763" s="30">
        <v>12</v>
      </c>
      <c r="I1763" s="21">
        <f t="shared" si="19"/>
        <v>0</v>
      </c>
      <c r="J1763" s="22">
        <f>[1]SUMMARY!N1764</f>
        <v>1840</v>
      </c>
      <c r="K1763" s="23">
        <f t="shared" si="18"/>
        <v>0</v>
      </c>
      <c r="L1763" s="8"/>
      <c r="M1763" s="8"/>
    </row>
    <row r="1764" spans="1:13" x14ac:dyDescent="0.2">
      <c r="A1764" s="17" t="str">
        <f>[1]SUMMARY!A1765</f>
        <v>185</v>
      </c>
      <c r="B1764" s="17">
        <f>[1]SUMMARY!B1765</f>
        <v>65</v>
      </c>
      <c r="C1764" s="17">
        <f>[1]SUMMARY!C1765</f>
        <v>14</v>
      </c>
      <c r="D1764" s="25" t="str">
        <f>[1]SUMMARY!D1765</f>
        <v>ZEXTOUR (CH)</v>
      </c>
      <c r="E1764" s="25" t="str">
        <f>[1]SUMMARY!E1765</f>
        <v>COMFORT ES655</v>
      </c>
      <c r="F1764" s="30"/>
      <c r="G1764" s="30">
        <v>6</v>
      </c>
      <c r="H1764" s="30">
        <v>6</v>
      </c>
      <c r="I1764" s="21">
        <f t="shared" si="19"/>
        <v>0</v>
      </c>
      <c r="J1764" s="22">
        <f>[1]SUMMARY!N1765</f>
        <v>1300</v>
      </c>
      <c r="K1764" s="23">
        <f t="shared" si="18"/>
        <v>0</v>
      </c>
      <c r="L1764" s="8"/>
      <c r="M1764" s="8"/>
    </row>
    <row r="1765" spans="1:13" x14ac:dyDescent="0.2">
      <c r="A1765" s="17" t="str">
        <f>[1]SUMMARY!A1766</f>
        <v>185</v>
      </c>
      <c r="B1765" s="17">
        <f>[1]SUMMARY!B1766</f>
        <v>70</v>
      </c>
      <c r="C1765" s="17">
        <f>[1]SUMMARY!C1766</f>
        <v>14</v>
      </c>
      <c r="D1765" s="25" t="str">
        <f>[1]SUMMARY!D1766</f>
        <v>ZEXTOUR (CH)</v>
      </c>
      <c r="E1765" s="25" t="str">
        <f>[1]SUMMARY!E1766</f>
        <v>COMFORT ES655</v>
      </c>
      <c r="F1765" s="30">
        <v>4</v>
      </c>
      <c r="G1765" s="30">
        <v>6</v>
      </c>
      <c r="H1765" s="30">
        <v>10</v>
      </c>
      <c r="I1765" s="21">
        <f t="shared" si="19"/>
        <v>0</v>
      </c>
      <c r="J1765" s="22">
        <f>[1]SUMMARY!N1766</f>
        <v>1345</v>
      </c>
      <c r="K1765" s="23">
        <f t="shared" si="18"/>
        <v>0</v>
      </c>
      <c r="L1765" s="8"/>
      <c r="M1765" s="8"/>
    </row>
    <row r="1766" spans="1:13" x14ac:dyDescent="0.2">
      <c r="A1766" s="17" t="str">
        <f>[1]SUMMARY!A1767</f>
        <v>195</v>
      </c>
      <c r="B1766" s="17">
        <f>[1]SUMMARY!B1767</f>
        <v>0</v>
      </c>
      <c r="C1766" s="17" t="str">
        <f>[1]SUMMARY!C1767</f>
        <v>15C</v>
      </c>
      <c r="D1766" s="25" t="str">
        <f>[1]SUMMARY!D1767</f>
        <v>ZEXTOUR (CH)</v>
      </c>
      <c r="E1766" s="25" t="str">
        <f>[1]SUMMARY!E1767</f>
        <v>HIGHLANDER LX755</v>
      </c>
      <c r="F1766" s="30">
        <v>4</v>
      </c>
      <c r="G1766" s="30"/>
      <c r="H1766" s="30">
        <v>4</v>
      </c>
      <c r="I1766" s="21">
        <f t="shared" si="19"/>
        <v>0</v>
      </c>
      <c r="J1766" s="22">
        <f>[1]SUMMARY!N1767</f>
        <v>2110</v>
      </c>
      <c r="K1766" s="23">
        <f t="shared" si="18"/>
        <v>0</v>
      </c>
      <c r="L1766" s="8"/>
      <c r="M1766" s="8"/>
    </row>
    <row r="1767" spans="1:13" x14ac:dyDescent="0.2">
      <c r="A1767" s="17" t="str">
        <f>[1]SUMMARY!A1768</f>
        <v>185</v>
      </c>
      <c r="B1767" s="17">
        <f>[1]SUMMARY!B1768</f>
        <v>60</v>
      </c>
      <c r="C1767" s="17">
        <f>[1]SUMMARY!C1768</f>
        <v>15</v>
      </c>
      <c r="D1767" s="25" t="str">
        <f>[1]SUMMARY!D1768</f>
        <v>ZEXTOUR (CH)</v>
      </c>
      <c r="E1767" s="25" t="str">
        <f>[1]SUMMARY!E1768</f>
        <v>COMFORT ES655</v>
      </c>
      <c r="F1767" s="30"/>
      <c r="G1767" s="30">
        <v>6</v>
      </c>
      <c r="H1767" s="30">
        <v>6</v>
      </c>
      <c r="I1767" s="21">
        <f t="shared" si="19"/>
        <v>0</v>
      </c>
      <c r="J1767" s="22">
        <f>[1]SUMMARY!N1768</f>
        <v>1420</v>
      </c>
      <c r="K1767" s="23">
        <f t="shared" si="18"/>
        <v>0</v>
      </c>
      <c r="L1767" s="8"/>
      <c r="M1767" s="8"/>
    </row>
    <row r="1768" spans="1:13" x14ac:dyDescent="0.2">
      <c r="A1768" s="17" t="str">
        <f>[1]SUMMARY!A1769</f>
        <v>205</v>
      </c>
      <c r="B1768" s="17">
        <f>[1]SUMMARY!B1769</f>
        <v>65</v>
      </c>
      <c r="C1768" s="17">
        <f>[1]SUMMARY!C1769</f>
        <v>15</v>
      </c>
      <c r="D1768" s="25" t="str">
        <f>[1]SUMMARY!D1769</f>
        <v>ZEXTOUR (CH)</v>
      </c>
      <c r="E1768" s="25" t="str">
        <f>[1]SUMMARY!E1769</f>
        <v>COMFORT ES655</v>
      </c>
      <c r="F1768" s="30">
        <v>4</v>
      </c>
      <c r="G1768" s="30">
        <v>15</v>
      </c>
      <c r="H1768" s="30">
        <v>19</v>
      </c>
      <c r="I1768" s="21">
        <f t="shared" si="19"/>
        <v>0</v>
      </c>
      <c r="J1768" s="22">
        <f>[1]SUMMARY!N1769</f>
        <v>1670</v>
      </c>
      <c r="K1768" s="23">
        <f t="shared" si="18"/>
        <v>0</v>
      </c>
      <c r="L1768" s="8"/>
      <c r="M1768" s="8"/>
    </row>
    <row r="1769" spans="1:13" x14ac:dyDescent="0.2">
      <c r="A1769" s="17" t="str">
        <f>[1]SUMMARY!A1770</f>
        <v>215</v>
      </c>
      <c r="B1769" s="17">
        <f>[1]SUMMARY!B1770</f>
        <v>60</v>
      </c>
      <c r="C1769" s="17">
        <f>[1]SUMMARY!C1770</f>
        <v>16</v>
      </c>
      <c r="D1769" s="25" t="str">
        <f>[1]SUMMARY!D1770</f>
        <v>ZEXTOUR (CH)</v>
      </c>
      <c r="E1769" s="25" t="str">
        <f>[1]SUMMARY!E1770</f>
        <v>COMFORT ES655</v>
      </c>
      <c r="F1769" s="30">
        <v>8</v>
      </c>
      <c r="G1769" s="30">
        <v>8</v>
      </c>
      <c r="H1769" s="30">
        <v>16</v>
      </c>
      <c r="I1769" s="21">
        <f t="shared" si="19"/>
        <v>0</v>
      </c>
      <c r="J1769" s="22">
        <f>[1]SUMMARY!N1770</f>
        <v>1940</v>
      </c>
      <c r="K1769" s="23">
        <f t="shared" si="18"/>
        <v>0</v>
      </c>
      <c r="L1769" s="8"/>
      <c r="M1769" s="8"/>
    </row>
    <row r="1770" spans="1:13" x14ac:dyDescent="0.2">
      <c r="A1770" s="17" t="str">
        <f>[1]SUMMARY!A1771</f>
        <v>215</v>
      </c>
      <c r="B1770" s="17">
        <f>[1]SUMMARY!B1771</f>
        <v>70</v>
      </c>
      <c r="C1770" s="17">
        <f>[1]SUMMARY!C1771</f>
        <v>16</v>
      </c>
      <c r="D1770" s="25" t="str">
        <f>[1]SUMMARY!D1771</f>
        <v>ZEXTOUR (CH)</v>
      </c>
      <c r="E1770" s="25" t="str">
        <f>[1]SUMMARY!E1771</f>
        <v>PREMIUM LS665</v>
      </c>
      <c r="F1770" s="30">
        <v>4</v>
      </c>
      <c r="G1770" s="30">
        <v>9</v>
      </c>
      <c r="H1770" s="30">
        <v>13</v>
      </c>
      <c r="I1770" s="21">
        <f t="shared" si="19"/>
        <v>0</v>
      </c>
      <c r="J1770" s="22">
        <f>[1]SUMMARY!N1771</f>
        <v>2270</v>
      </c>
      <c r="K1770" s="23">
        <f t="shared" si="18"/>
        <v>0</v>
      </c>
      <c r="L1770" s="28">
        <f>SUM(K1762:K1770)</f>
        <v>0</v>
      </c>
      <c r="M1770" s="29" t="s">
        <v>92</v>
      </c>
    </row>
    <row r="1771" spans="1:13" x14ac:dyDescent="0.2">
      <c r="A1771" s="17" t="str">
        <f>[1]SUMMARY!A1772</f>
        <v>205</v>
      </c>
      <c r="B1771" s="17">
        <f>[1]SUMMARY!B1772</f>
        <v>75</v>
      </c>
      <c r="C1771" s="17">
        <f>[1]SUMMARY!C1772</f>
        <v>17.5</v>
      </c>
      <c r="D1771" s="25" t="str">
        <f>[1]SUMMARY!D1772</f>
        <v>AEOLUS</v>
      </c>
      <c r="E1771" s="25" t="str">
        <f>[1]SUMMARY!E1772</f>
        <v>14PR ASR35 TL</v>
      </c>
      <c r="F1771" s="21"/>
      <c r="G1771" s="21"/>
      <c r="H1771" s="21"/>
      <c r="I1771" s="21">
        <f t="shared" si="19"/>
        <v>0</v>
      </c>
      <c r="J1771" s="22">
        <f>[1]SUMMARY!N1772</f>
        <v>7124</v>
      </c>
      <c r="K1771" s="23">
        <f t="shared" si="18"/>
        <v>0</v>
      </c>
      <c r="L1771" s="56"/>
      <c r="M1771" s="56"/>
    </row>
    <row r="1772" spans="1:13" x14ac:dyDescent="0.2">
      <c r="A1772" s="17" t="str">
        <f>[1]SUMMARY!A1773</f>
        <v>275</v>
      </c>
      <c r="B1772" s="17">
        <f>[1]SUMMARY!B1773</f>
        <v>80</v>
      </c>
      <c r="C1772" s="17">
        <f>[1]SUMMARY!C1773</f>
        <v>22.5</v>
      </c>
      <c r="D1772" s="25" t="str">
        <f>[1]SUMMARY!D1773</f>
        <v>AEOLUS</v>
      </c>
      <c r="E1772" s="25" t="str">
        <f>[1]SUMMARY!E1773</f>
        <v>18PR ASR79 RIB</v>
      </c>
      <c r="F1772" s="21"/>
      <c r="G1772" s="21"/>
      <c r="H1772" s="21"/>
      <c r="I1772" s="21">
        <f t="shared" si="19"/>
        <v>0</v>
      </c>
      <c r="J1772" s="22">
        <f>[1]SUMMARY!N1773</f>
        <v>13640</v>
      </c>
      <c r="K1772" s="23">
        <f t="shared" si="18"/>
        <v>0</v>
      </c>
      <c r="L1772" s="28">
        <f>SUM(K1771:K1772)</f>
        <v>0</v>
      </c>
      <c r="M1772" s="29" t="s">
        <v>93</v>
      </c>
    </row>
    <row r="1773" spans="1:13" x14ac:dyDescent="0.2">
      <c r="A1773" s="17" t="str">
        <f>[1]SUMMARY!A1774</f>
        <v>275</v>
      </c>
      <c r="B1773" s="17">
        <f>[1]SUMMARY!B1774</f>
        <v>80</v>
      </c>
      <c r="C1773" s="17">
        <f>[1]SUMMARY!C1774</f>
        <v>22.5</v>
      </c>
      <c r="D1773" s="25" t="str">
        <f>[1]SUMMARY!D1774</f>
        <v>AEOLUS</v>
      </c>
      <c r="E1773" s="25" t="str">
        <f>[1]SUMMARY!E1774</f>
        <v>18PR HN267 RIB</v>
      </c>
      <c r="F1773" s="21"/>
      <c r="G1773" s="21"/>
      <c r="H1773" s="21"/>
      <c r="I1773" s="21">
        <f t="shared" si="19"/>
        <v>0</v>
      </c>
      <c r="J1773" s="22">
        <f>[1]SUMMARY!N1774</f>
        <v>12500</v>
      </c>
      <c r="K1773" s="23">
        <f t="shared" si="18"/>
        <v>0</v>
      </c>
      <c r="L1773" s="33"/>
      <c r="M1773" s="33"/>
    </row>
    <row r="1774" spans="1:13" x14ac:dyDescent="0.2">
      <c r="A1774" s="76" t="str">
        <f>[1]SUMMARY!A1775</f>
        <v>650</v>
      </c>
      <c r="B1774" s="76">
        <f>[1]SUMMARY!B1775</f>
        <v>640</v>
      </c>
      <c r="C1774" s="76">
        <f>[1]SUMMARY!C1775</f>
        <v>13</v>
      </c>
      <c r="D1774" s="77" t="str">
        <f>[1]SUMMARY!D1775</f>
        <v>AVANTRA</v>
      </c>
      <c r="E1774" s="77" t="str">
        <f>[1]SUMMARY!E1775</f>
        <v>10PR K888 MIX CT</v>
      </c>
      <c r="F1774" s="78"/>
      <c r="G1774" s="21"/>
      <c r="H1774" s="21"/>
      <c r="I1774" s="21">
        <f t="shared" si="19"/>
        <v>0</v>
      </c>
      <c r="J1774" s="79">
        <f>[1]SUMMARY!N1775</f>
        <v>2457</v>
      </c>
      <c r="K1774" s="80">
        <f t="shared" si="18"/>
        <v>0</v>
      </c>
      <c r="L1774" s="28">
        <f>SUM(K1774)</f>
        <v>0</v>
      </c>
      <c r="M1774" s="29" t="s">
        <v>94</v>
      </c>
    </row>
    <row r="1775" spans="1:13" x14ac:dyDescent="0.2">
      <c r="A1775" s="51" t="str">
        <f>[1]SUMMARY!A1776</f>
        <v>7.00</v>
      </c>
      <c r="B1775" s="52">
        <f>[1]SUMMARY!B1776</f>
        <v>0</v>
      </c>
      <c r="C1775" s="52">
        <f>[1]SUMMARY!C1776</f>
        <v>15</v>
      </c>
      <c r="D1775" s="39" t="str">
        <f>[1]SUMMARY!D1776</f>
        <v>APOLLO</v>
      </c>
      <c r="E1775" s="39" t="str">
        <f>[1]SUMMARY!E1776</f>
        <v>AMAR GOLD RIB 12PR</v>
      </c>
      <c r="F1775" s="21"/>
      <c r="G1775" s="21">
        <v>6</v>
      </c>
      <c r="H1775" s="21">
        <v>2</v>
      </c>
      <c r="I1775" s="24">
        <f t="shared" si="19"/>
        <v>4</v>
      </c>
      <c r="J1775" s="53">
        <f>[1]SUMMARY!N1776</f>
        <v>4501</v>
      </c>
      <c r="K1775" s="54">
        <f t="shared" si="18"/>
        <v>18004</v>
      </c>
      <c r="L1775" s="81"/>
      <c r="M1775" s="81"/>
    </row>
    <row r="1776" spans="1:13" x14ac:dyDescent="0.2">
      <c r="A1776" s="51" t="str">
        <f>[1]SUMMARY!A1777</f>
        <v>7.50</v>
      </c>
      <c r="B1776" s="52">
        <f>[1]SUMMARY!B1777</f>
        <v>0</v>
      </c>
      <c r="C1776" s="52">
        <f>[1]SUMMARY!C1777</f>
        <v>15</v>
      </c>
      <c r="D1776" s="39" t="str">
        <f>[1]SUMMARY!D1777</f>
        <v>APOLLO</v>
      </c>
      <c r="E1776" s="39" t="str">
        <f>[1]SUMMARY!E1777</f>
        <v>VIHAAN RIB 14PR</v>
      </c>
      <c r="F1776" s="21"/>
      <c r="G1776" s="21">
        <v>4</v>
      </c>
      <c r="H1776" s="21"/>
      <c r="I1776" s="24">
        <f t="shared" si="19"/>
        <v>4</v>
      </c>
      <c r="J1776" s="53">
        <f>[1]SUMMARY!N1777</f>
        <v>5152</v>
      </c>
      <c r="K1776" s="54">
        <f t="shared" si="18"/>
        <v>20608</v>
      </c>
      <c r="L1776" s="81"/>
      <c r="M1776" s="81"/>
    </row>
    <row r="1777" spans="1:13" x14ac:dyDescent="0.2">
      <c r="A1777" s="51" t="str">
        <f>[1]SUMMARY!A1778</f>
        <v>7.50</v>
      </c>
      <c r="B1777" s="52">
        <f>[1]SUMMARY!B1778</f>
        <v>0</v>
      </c>
      <c r="C1777" s="52">
        <f>[1]SUMMARY!C1778</f>
        <v>15</v>
      </c>
      <c r="D1777" s="39" t="str">
        <f>[1]SUMMARY!D1778</f>
        <v>APOLLO</v>
      </c>
      <c r="E1777" s="39" t="str">
        <f>[1]SUMMARY!E1778</f>
        <v>VIHAAN LUG 14PR</v>
      </c>
      <c r="F1777" s="21"/>
      <c r="G1777" s="21">
        <v>4</v>
      </c>
      <c r="H1777" s="21"/>
      <c r="I1777" s="24">
        <f t="shared" si="19"/>
        <v>4</v>
      </c>
      <c r="J1777" s="53">
        <f>[1]SUMMARY!N1778</f>
        <v>5260</v>
      </c>
      <c r="K1777" s="54">
        <f t="shared" si="18"/>
        <v>21040</v>
      </c>
      <c r="L1777" s="81"/>
      <c r="M1777" s="81"/>
    </row>
    <row r="1778" spans="1:13" x14ac:dyDescent="0.2">
      <c r="A1778" s="51" t="str">
        <f>[1]SUMMARY!A1779</f>
        <v>7.00</v>
      </c>
      <c r="B1778" s="52">
        <f>[1]SUMMARY!B1779</f>
        <v>0</v>
      </c>
      <c r="C1778" s="52">
        <f>[1]SUMMARY!C1779</f>
        <v>16</v>
      </c>
      <c r="D1778" s="39" t="str">
        <f>[1]SUMMARY!D1779</f>
        <v>APOLLO</v>
      </c>
      <c r="E1778" s="39" t="str">
        <f>[1]SUMMARY!E1779</f>
        <v>AMAR DELUXE RIB 14PR</v>
      </c>
      <c r="F1778" s="21"/>
      <c r="G1778" s="21">
        <v>8</v>
      </c>
      <c r="H1778" s="21">
        <v>4</v>
      </c>
      <c r="I1778" s="24">
        <f t="shared" si="19"/>
        <v>4</v>
      </c>
      <c r="J1778" s="53">
        <f>[1]SUMMARY!N1779</f>
        <v>5152</v>
      </c>
      <c r="K1778" s="54">
        <f t="shared" si="18"/>
        <v>20608</v>
      </c>
      <c r="L1778" s="81"/>
      <c r="M1778" s="81"/>
    </row>
    <row r="1779" spans="1:13" x14ac:dyDescent="0.2">
      <c r="A1779" s="51" t="str">
        <f>[1]SUMMARY!A1780</f>
        <v>7.50</v>
      </c>
      <c r="B1779" s="52">
        <f>[1]SUMMARY!B1780</f>
        <v>0</v>
      </c>
      <c r="C1779" s="52">
        <f>[1]SUMMARY!C1780</f>
        <v>16</v>
      </c>
      <c r="D1779" s="39" t="str">
        <f>[1]SUMMARY!D1780</f>
        <v>APOLLO</v>
      </c>
      <c r="E1779" s="39" t="str">
        <f>[1]SUMMARY!E1780</f>
        <v>AMAR DELUXE RIB 16PR</v>
      </c>
      <c r="F1779" s="21"/>
      <c r="G1779" s="21">
        <v>7</v>
      </c>
      <c r="H1779" s="21">
        <v>5</v>
      </c>
      <c r="I1779" s="24">
        <f t="shared" si="19"/>
        <v>2</v>
      </c>
      <c r="J1779" s="53">
        <f>[1]SUMMARY!N1780</f>
        <v>5260</v>
      </c>
      <c r="K1779" s="54">
        <f t="shared" si="18"/>
        <v>10520</v>
      </c>
      <c r="L1779" s="81"/>
      <c r="M1779" s="81"/>
    </row>
    <row r="1780" spans="1:13" x14ac:dyDescent="0.2">
      <c r="A1780" s="51" t="str">
        <f>[1]SUMMARY!A1781</f>
        <v>7.50</v>
      </c>
      <c r="B1780" s="52">
        <f>[1]SUMMARY!B1781</f>
        <v>0</v>
      </c>
      <c r="C1780" s="52">
        <f>[1]SUMMARY!C1781</f>
        <v>16</v>
      </c>
      <c r="D1780" s="39" t="str">
        <f>[1]SUMMARY!D1781</f>
        <v>APOLLO</v>
      </c>
      <c r="E1780" s="39" t="str">
        <f>[1]SUMMARY!E1781</f>
        <v>XT7 LUG 16PR</v>
      </c>
      <c r="F1780" s="21"/>
      <c r="G1780" s="21">
        <v>4</v>
      </c>
      <c r="H1780" s="21"/>
      <c r="I1780" s="24">
        <f t="shared" si="19"/>
        <v>4</v>
      </c>
      <c r="J1780" s="53">
        <f>[1]SUMMARY!N1781</f>
        <v>5910</v>
      </c>
      <c r="K1780" s="54">
        <f t="shared" si="18"/>
        <v>23640</v>
      </c>
      <c r="L1780" s="81"/>
      <c r="M1780" s="81"/>
    </row>
    <row r="1781" spans="1:13" x14ac:dyDescent="0.2">
      <c r="A1781" s="51" t="str">
        <f>[1]SUMMARY!A1782</f>
        <v>8.25</v>
      </c>
      <c r="B1781" s="52">
        <f>[1]SUMMARY!B1782</f>
        <v>0</v>
      </c>
      <c r="C1781" s="52">
        <f>[1]SUMMARY!C1782</f>
        <v>16</v>
      </c>
      <c r="D1781" s="39" t="str">
        <f>[1]SUMMARY!D1782</f>
        <v>APOLLO</v>
      </c>
      <c r="E1781" s="39" t="str">
        <f>[1]SUMMARY!E1782</f>
        <v>AMAR GOLD RIB 16PR</v>
      </c>
      <c r="F1781" s="21"/>
      <c r="G1781" s="21">
        <v>4</v>
      </c>
      <c r="H1781" s="21">
        <v>4</v>
      </c>
      <c r="I1781" s="30">
        <f t="shared" si="19"/>
        <v>0</v>
      </c>
      <c r="J1781" s="53">
        <f>[1]SUMMARY!N1782</f>
        <v>6128</v>
      </c>
      <c r="K1781" s="54">
        <f t="shared" si="18"/>
        <v>0</v>
      </c>
      <c r="L1781" s="81"/>
      <c r="M1781" s="81"/>
    </row>
    <row r="1782" spans="1:13" x14ac:dyDescent="0.2">
      <c r="A1782" s="52" t="str">
        <f>[1]SUMMARY!A1783</f>
        <v>12.00</v>
      </c>
      <c r="B1782" s="52">
        <f>[1]SUMMARY!B1783</f>
        <v>0</v>
      </c>
      <c r="C1782" s="52">
        <f>[1]SUMMARY!C1783</f>
        <v>20</v>
      </c>
      <c r="D1782" s="39" t="str">
        <f>[1]SUMMARY!D1783</f>
        <v>APOLLO</v>
      </c>
      <c r="E1782" s="39" t="str">
        <f>[1]SUMMARY!E1783</f>
        <v>AMAR DELUXE RIB 18PR</v>
      </c>
      <c r="F1782" s="21"/>
      <c r="G1782" s="21"/>
      <c r="H1782" s="21"/>
      <c r="I1782" s="30">
        <f t="shared" si="19"/>
        <v>0</v>
      </c>
      <c r="J1782" s="53">
        <f>[1]SUMMARY!N1783</f>
        <v>13360</v>
      </c>
      <c r="K1782" s="54">
        <f t="shared" si="18"/>
        <v>0</v>
      </c>
      <c r="L1782" s="28"/>
      <c r="M1782" s="29"/>
    </row>
    <row r="1783" spans="1:13" x14ac:dyDescent="0.2">
      <c r="A1783" s="52" t="str">
        <f>[1]SUMMARY!A1784</f>
        <v>11</v>
      </c>
      <c r="B1783" s="52">
        <f>[1]SUMMARY!B1784</f>
        <v>0</v>
      </c>
      <c r="C1783" s="52">
        <f>[1]SUMMARY!C1784</f>
        <v>22.5</v>
      </c>
      <c r="D1783" s="39" t="str">
        <f>[1]SUMMARY!D1784</f>
        <v>APOLLO</v>
      </c>
      <c r="E1783" s="39" t="str">
        <f>[1]SUMMARY!E1784</f>
        <v>ENDURACE AE RIB 16PR</v>
      </c>
      <c r="F1783" s="21"/>
      <c r="G1783" s="21">
        <v>7</v>
      </c>
      <c r="H1783" s="21">
        <v>3</v>
      </c>
      <c r="I1783" s="24">
        <f t="shared" si="19"/>
        <v>4</v>
      </c>
      <c r="J1783" s="53">
        <f>[1]SUMMARY!N1784</f>
        <v>11659</v>
      </c>
      <c r="K1783" s="54">
        <f t="shared" si="18"/>
        <v>46636</v>
      </c>
      <c r="L1783" s="28">
        <f>SUM(K1775:K1783)</f>
        <v>161056</v>
      </c>
      <c r="M1783" s="29" t="s">
        <v>15</v>
      </c>
    </row>
    <row r="1784" spans="1:13" x14ac:dyDescent="0.2">
      <c r="A1784" s="52" t="str">
        <f>[1]SUMMARY!A1785</f>
        <v>380</v>
      </c>
      <c r="B1784" s="52">
        <f>[1]SUMMARY!B1785</f>
        <v>70</v>
      </c>
      <c r="C1784" s="52">
        <f>[1]SUMMARY!C1785</f>
        <v>24</v>
      </c>
      <c r="D1784" s="39" t="str">
        <f>[1]SUMMARY!D1785</f>
        <v>ALLIANCE</v>
      </c>
      <c r="E1784" s="39" t="str">
        <f>[1]SUMMARY!E1785</f>
        <v>FARMPRO RADIAL TL</v>
      </c>
      <c r="F1784" s="21"/>
      <c r="G1784" s="21"/>
      <c r="H1784" s="21"/>
      <c r="I1784" s="21">
        <f t="shared" si="19"/>
        <v>0</v>
      </c>
      <c r="J1784" s="53">
        <f>[1]SUMMARY!N1785</f>
        <v>34221.599999999999</v>
      </c>
      <c r="K1784" s="54">
        <f t="shared" si="18"/>
        <v>0</v>
      </c>
      <c r="L1784" s="28">
        <f>SUM(K1784)</f>
        <v>0</v>
      </c>
      <c r="M1784" s="29" t="s">
        <v>14</v>
      </c>
    </row>
    <row r="1785" spans="1:13" x14ac:dyDescent="0.2">
      <c r="A1785" s="52" t="str">
        <f>[1]SUMMARY!A1786</f>
        <v>195</v>
      </c>
      <c r="B1785" s="52">
        <f>[1]SUMMARY!B1786</f>
        <v>85</v>
      </c>
      <c r="C1785" s="52">
        <f>[1]SUMMARY!C1786</f>
        <v>16</v>
      </c>
      <c r="D1785" s="39" t="str">
        <f>[1]SUMMARY!D1786</f>
        <v>ARIVO</v>
      </c>
      <c r="E1785" s="39" t="str">
        <f>[1]SUMMARY!E1786</f>
        <v>TRANSITO ARZ6-V</v>
      </c>
      <c r="F1785" s="21"/>
      <c r="G1785" s="21">
        <v>4</v>
      </c>
      <c r="H1785" s="21">
        <v>4</v>
      </c>
      <c r="I1785" s="21">
        <f t="shared" si="19"/>
        <v>0</v>
      </c>
      <c r="J1785" s="53">
        <f>[1]SUMMARY!N1786</f>
        <v>3943.92</v>
      </c>
      <c r="K1785" s="54">
        <f t="shared" si="18"/>
        <v>0</v>
      </c>
      <c r="L1785" s="56"/>
      <c r="M1785" s="56"/>
    </row>
    <row r="1786" spans="1:13" x14ac:dyDescent="0.2">
      <c r="A1786" s="52" t="str">
        <f>[1]SUMMARY!A1787</f>
        <v>215</v>
      </c>
      <c r="B1786" s="52">
        <f>[1]SUMMARY!B1787</f>
        <v>75</v>
      </c>
      <c r="C1786" s="52">
        <f>[1]SUMMARY!C1787</f>
        <v>17.5</v>
      </c>
      <c r="D1786" s="39" t="str">
        <f>[1]SUMMARY!D1787</f>
        <v>ARIVO</v>
      </c>
      <c r="E1786" s="39" t="str">
        <f>[1]SUMMARY!E1787</f>
        <v>BUFFALO XARS91 18PR RIB</v>
      </c>
      <c r="F1786" s="21"/>
      <c r="G1786" s="21"/>
      <c r="H1786" s="21"/>
      <c r="I1786" s="21">
        <f t="shared" si="19"/>
        <v>0</v>
      </c>
      <c r="J1786" s="53">
        <f>[1]SUMMARY!N1787</f>
        <v>4732.71</v>
      </c>
      <c r="K1786" s="54">
        <f t="shared" si="18"/>
        <v>0</v>
      </c>
      <c r="L1786" s="56"/>
      <c r="M1786" s="56"/>
    </row>
    <row r="1787" spans="1:13" x14ac:dyDescent="0.2">
      <c r="A1787" s="52" t="str">
        <f>[1]SUMMARY!A1788</f>
        <v>9.5</v>
      </c>
      <c r="B1787" s="52">
        <f>[1]SUMMARY!B1788</f>
        <v>0</v>
      </c>
      <c r="C1787" s="52">
        <f>[1]SUMMARY!C1788</f>
        <v>17.5</v>
      </c>
      <c r="D1787" s="39" t="str">
        <f>[1]SUMMARY!D1788</f>
        <v>ARIVO</v>
      </c>
      <c r="E1787" s="39" t="str">
        <f>[1]SUMMARY!E1788</f>
        <v>BUFFALO XARS92 RIB</v>
      </c>
      <c r="F1787" s="21"/>
      <c r="G1787" s="21"/>
      <c r="H1787" s="21"/>
      <c r="I1787" s="30">
        <f t="shared" si="19"/>
        <v>0</v>
      </c>
      <c r="J1787" s="53">
        <f>[1]SUMMARY!N1788</f>
        <v>6064.8</v>
      </c>
      <c r="K1787" s="54">
        <f t="shared" si="18"/>
        <v>0</v>
      </c>
      <c r="L1787" s="56"/>
      <c r="M1787" s="56"/>
    </row>
    <row r="1788" spans="1:13" x14ac:dyDescent="0.2">
      <c r="A1788" s="52" t="str">
        <f>[1]SUMMARY!A1789</f>
        <v>265</v>
      </c>
      <c r="B1788" s="52">
        <f>[1]SUMMARY!B1789</f>
        <v>70</v>
      </c>
      <c r="C1788" s="52">
        <f>[1]SUMMARY!C1789</f>
        <v>19.5</v>
      </c>
      <c r="D1788" s="39" t="str">
        <f>[1]SUMMARY!D1789</f>
        <v>ARIVO</v>
      </c>
      <c r="E1788" s="39" t="str">
        <f>[1]SUMMARY!E1789</f>
        <v>BUFFALO XARS91 18PR RIB</v>
      </c>
      <c r="F1788" s="21"/>
      <c r="G1788" s="21">
        <v>4</v>
      </c>
      <c r="H1788" s="21">
        <v>4</v>
      </c>
      <c r="I1788" s="21">
        <f t="shared" si="19"/>
        <v>0</v>
      </c>
      <c r="J1788" s="53">
        <f>[1]SUMMARY!N1789</f>
        <v>6584.64</v>
      </c>
      <c r="K1788" s="54">
        <f t="shared" si="18"/>
        <v>0</v>
      </c>
      <c r="L1788" s="56"/>
      <c r="M1788" s="56"/>
    </row>
    <row r="1789" spans="1:13" x14ac:dyDescent="0.2">
      <c r="A1789" s="52" t="str">
        <f>[1]SUMMARY!A1790</f>
        <v>10.00</v>
      </c>
      <c r="B1789" s="52">
        <f>[1]SUMMARY!B1790</f>
        <v>0</v>
      </c>
      <c r="C1789" s="52" t="str">
        <f>[1]SUMMARY!C1790</f>
        <v>R20</v>
      </c>
      <c r="D1789" s="39" t="str">
        <f>[1]SUMMARY!D1790</f>
        <v>ARIVO</v>
      </c>
      <c r="E1789" s="39" t="str">
        <f>[1]SUMMARY!E1790</f>
        <v>BUFFALO ARA1 MIX</v>
      </c>
      <c r="F1789" s="21"/>
      <c r="G1789" s="21">
        <v>8</v>
      </c>
      <c r="H1789" s="21">
        <v>8</v>
      </c>
      <c r="I1789" s="30">
        <f t="shared" si="19"/>
        <v>0</v>
      </c>
      <c r="J1789" s="53">
        <f>[1]SUMMARY!N1790</f>
        <v>10322.799999999999</v>
      </c>
      <c r="K1789" s="54">
        <f t="shared" si="18"/>
        <v>0</v>
      </c>
      <c r="L1789" s="56"/>
      <c r="M1789" s="56"/>
    </row>
    <row r="1790" spans="1:13" x14ac:dyDescent="0.2">
      <c r="A1790" s="52" t="str">
        <f>[1]SUMMARY!A1791</f>
        <v>10.00</v>
      </c>
      <c r="B1790" s="52">
        <f>[1]SUMMARY!B1791</f>
        <v>0</v>
      </c>
      <c r="C1790" s="52" t="str">
        <f>[1]SUMMARY!C1791</f>
        <v>R20</v>
      </c>
      <c r="D1790" s="39" t="str">
        <f>[1]SUMMARY!D1791</f>
        <v>ARIVO</v>
      </c>
      <c r="E1790" s="39" t="str">
        <f>[1]SUMMARY!E1791</f>
        <v>BUFFALO ARM2 LUG</v>
      </c>
      <c r="F1790" s="30"/>
      <c r="G1790" s="30"/>
      <c r="H1790" s="30"/>
      <c r="I1790" s="30">
        <f t="shared" si="19"/>
        <v>0</v>
      </c>
      <c r="J1790" s="53">
        <f>[1]SUMMARY!N1791</f>
        <v>11292.66</v>
      </c>
      <c r="K1790" s="54">
        <f t="shared" si="18"/>
        <v>0</v>
      </c>
      <c r="L1790" s="82"/>
      <c r="M1790" s="82"/>
    </row>
    <row r="1791" spans="1:13" x14ac:dyDescent="0.2">
      <c r="A1791" s="52" t="str">
        <f>[1]SUMMARY!A1792</f>
        <v>275</v>
      </c>
      <c r="B1791" s="52">
        <f>[1]SUMMARY!B1792</f>
        <v>70</v>
      </c>
      <c r="C1791" s="52">
        <f>[1]SUMMARY!C1792</f>
        <v>22.5</v>
      </c>
      <c r="D1791" s="39" t="str">
        <f>[1]SUMMARY!D1792</f>
        <v>ARIVO</v>
      </c>
      <c r="E1791" s="39" t="str">
        <f>[1]SUMMARY!E1792</f>
        <v>BUFFALO XARS91 RIB 18PR</v>
      </c>
      <c r="F1791" s="30"/>
      <c r="G1791" s="30"/>
      <c r="H1791" s="30"/>
      <c r="I1791" s="30">
        <f t="shared" si="19"/>
        <v>0</v>
      </c>
      <c r="J1791" s="53">
        <f>[1]SUMMARY!N1792</f>
        <v>8940.02</v>
      </c>
      <c r="K1791" s="54">
        <f t="shared" si="18"/>
        <v>0</v>
      </c>
      <c r="L1791" s="82"/>
      <c r="M1791" s="82"/>
    </row>
    <row r="1792" spans="1:13" x14ac:dyDescent="0.2">
      <c r="A1792" s="17" t="str">
        <f>[1]SUMMARY!A1793</f>
        <v>11</v>
      </c>
      <c r="B1792" s="17">
        <f>[1]SUMMARY!B1793</f>
        <v>0</v>
      </c>
      <c r="C1792" s="17" t="str">
        <f>[1]SUMMARY!C1793</f>
        <v>R22.5</v>
      </c>
      <c r="D1792" s="25" t="str">
        <f>[1]SUMMARY!D1793</f>
        <v>ARIVO</v>
      </c>
      <c r="E1792" s="25" t="str">
        <f>[1]SUMMARY!E1793</f>
        <v>BUFFALO XST 8 RIB</v>
      </c>
      <c r="F1792" s="30"/>
      <c r="G1792" s="30">
        <v>2</v>
      </c>
      <c r="H1792" s="30">
        <v>2</v>
      </c>
      <c r="I1792" s="30">
        <f t="shared" si="19"/>
        <v>0</v>
      </c>
      <c r="J1792" s="22">
        <f>[1]SUMMARY!N1793</f>
        <v>8553.17</v>
      </c>
      <c r="K1792" s="83">
        <f t="shared" si="18"/>
        <v>0</v>
      </c>
      <c r="L1792" s="82"/>
      <c r="M1792" s="82"/>
    </row>
    <row r="1793" spans="1:13" x14ac:dyDescent="0.2">
      <c r="A1793" s="17" t="str">
        <f>[1]SUMMARY!A1794</f>
        <v>11</v>
      </c>
      <c r="B1793" s="17">
        <f>[1]SUMMARY!B1794</f>
        <v>0</v>
      </c>
      <c r="C1793" s="17" t="str">
        <f>[1]SUMMARY!C1794</f>
        <v>R22.5</v>
      </c>
      <c r="D1793" s="25" t="str">
        <f>[1]SUMMARY!D1794</f>
        <v>ARIVO</v>
      </c>
      <c r="E1793" s="25" t="str">
        <f>[1]SUMMARY!E1794</f>
        <v>BUFFALO ARST RIB</v>
      </c>
      <c r="F1793" s="21"/>
      <c r="G1793" s="21"/>
      <c r="H1793" s="21"/>
      <c r="I1793" s="30">
        <f t="shared" si="19"/>
        <v>0</v>
      </c>
      <c r="J1793" s="22">
        <f>[1]SUMMARY!N1794</f>
        <v>7450</v>
      </c>
      <c r="K1793" s="83">
        <f t="shared" si="18"/>
        <v>0</v>
      </c>
      <c r="L1793" s="8"/>
      <c r="M1793" s="8"/>
    </row>
    <row r="1794" spans="1:13" x14ac:dyDescent="0.2">
      <c r="A1794" s="17" t="str">
        <f>[1]SUMMARY!A1795</f>
        <v>11</v>
      </c>
      <c r="B1794" s="17">
        <f>[1]SUMMARY!B1795</f>
        <v>0</v>
      </c>
      <c r="C1794" s="17" t="str">
        <f>[1]SUMMARY!C1795</f>
        <v>R22.5</v>
      </c>
      <c r="D1794" s="25" t="str">
        <f>[1]SUMMARY!D1795</f>
        <v>ARIVO</v>
      </c>
      <c r="E1794" s="25" t="str">
        <f>[1]SUMMARY!E1795</f>
        <v>BUFFALO ARA 1  MIX</v>
      </c>
      <c r="F1794" s="21"/>
      <c r="G1794" s="21">
        <v>58</v>
      </c>
      <c r="H1794" s="21">
        <v>58</v>
      </c>
      <c r="I1794" s="24">
        <f t="shared" si="19"/>
        <v>0</v>
      </c>
      <c r="J1794" s="22">
        <f>[1]SUMMARY!N1795</f>
        <v>8133.4</v>
      </c>
      <c r="K1794" s="23">
        <f t="shared" si="18"/>
        <v>0</v>
      </c>
      <c r="L1794" s="8"/>
      <c r="M1794" s="8"/>
    </row>
    <row r="1795" spans="1:13" x14ac:dyDescent="0.2">
      <c r="A1795" s="17" t="str">
        <f>[1]SUMMARY!A1796</f>
        <v>11</v>
      </c>
      <c r="B1795" s="17">
        <f>[1]SUMMARY!B1796</f>
        <v>0</v>
      </c>
      <c r="C1795" s="17">
        <f>[1]SUMMARY!C1796</f>
        <v>22.5</v>
      </c>
      <c r="D1795" s="25" t="str">
        <f>[1]SUMMARY!D1796</f>
        <v>ARIVO</v>
      </c>
      <c r="E1795" s="25" t="str">
        <f>[1]SUMMARY!E1796</f>
        <v>BUFFALO ARM1 MINING LUG</v>
      </c>
      <c r="F1795" s="21"/>
      <c r="G1795" s="21"/>
      <c r="H1795" s="21"/>
      <c r="I1795" s="30">
        <f t="shared" si="19"/>
        <v>0</v>
      </c>
      <c r="J1795" s="22">
        <f>[1]SUMMARY!N1796</f>
        <v>9999.7000000000007</v>
      </c>
      <c r="K1795" s="23">
        <f t="shared" si="18"/>
        <v>0</v>
      </c>
      <c r="L1795" s="8"/>
      <c r="M1795" s="8"/>
    </row>
    <row r="1796" spans="1:13" x14ac:dyDescent="0.2">
      <c r="A1796" s="17" t="str">
        <f>[1]SUMMARY!A1797</f>
        <v>11</v>
      </c>
      <c r="B1796" s="17">
        <f>[1]SUMMARY!B1797</f>
        <v>0</v>
      </c>
      <c r="C1796" s="17" t="str">
        <f>[1]SUMMARY!C1797</f>
        <v>R22.5</v>
      </c>
      <c r="D1796" s="25" t="str">
        <f>[1]SUMMARY!D1797</f>
        <v>ARIVO</v>
      </c>
      <c r="E1796" s="25" t="str">
        <f>[1]SUMMARY!E1797</f>
        <v>BUFFALO XARS2 RIB</v>
      </c>
      <c r="F1796" s="21"/>
      <c r="G1796" s="21">
        <v>12</v>
      </c>
      <c r="H1796" s="21">
        <v>12</v>
      </c>
      <c r="I1796" s="30">
        <f t="shared" si="19"/>
        <v>0</v>
      </c>
      <c r="J1796" s="22">
        <f>[1]SUMMARY!N1797</f>
        <v>7400</v>
      </c>
      <c r="K1796" s="23">
        <f t="shared" si="18"/>
        <v>0</v>
      </c>
      <c r="L1796" s="8"/>
      <c r="M1796" s="8"/>
    </row>
    <row r="1797" spans="1:13" x14ac:dyDescent="0.2">
      <c r="A1797" s="17" t="str">
        <f>[1]SUMMARY!A1798</f>
        <v>11</v>
      </c>
      <c r="B1797" s="17">
        <f>[1]SUMMARY!B1798</f>
        <v>0</v>
      </c>
      <c r="C1797" s="17" t="str">
        <f>[1]SUMMARY!C1798</f>
        <v>R22.5</v>
      </c>
      <c r="D1797" s="25" t="str">
        <f>[1]SUMMARY!D1798</f>
        <v>ARIVO</v>
      </c>
      <c r="E1797" s="25" t="str">
        <f>[1]SUMMARY!E1798</f>
        <v>BUFFALO XARA31 MIX 18PR</v>
      </c>
      <c r="F1797" s="21"/>
      <c r="G1797" s="21"/>
      <c r="H1797" s="21"/>
      <c r="I1797" s="30">
        <f t="shared" si="19"/>
        <v>0</v>
      </c>
      <c r="J1797" s="22">
        <f>[1]SUMMARY!N1798</f>
        <v>7500</v>
      </c>
      <c r="K1797" s="23">
        <f t="shared" si="18"/>
        <v>0</v>
      </c>
      <c r="L1797" s="84"/>
      <c r="M1797" s="84"/>
    </row>
    <row r="1798" spans="1:13" x14ac:dyDescent="0.2">
      <c r="A1798" s="17" t="str">
        <f>[1]SUMMARY!A1799</f>
        <v>12</v>
      </c>
      <c r="B1798" s="17">
        <f>[1]SUMMARY!B1799</f>
        <v>0</v>
      </c>
      <c r="C1798" s="17" t="str">
        <f>[1]SUMMARY!C1799</f>
        <v>R20</v>
      </c>
      <c r="D1798" s="25" t="str">
        <f>[1]SUMMARY!D1799</f>
        <v>ARIVO</v>
      </c>
      <c r="E1798" s="25" t="str">
        <f>[1]SUMMARY!E1799</f>
        <v>BUFFALO ARA 1 MIX</v>
      </c>
      <c r="F1798" s="21"/>
      <c r="G1798" s="21">
        <v>4</v>
      </c>
      <c r="H1798" s="21">
        <v>4</v>
      </c>
      <c r="I1798" s="30">
        <f t="shared" si="19"/>
        <v>0</v>
      </c>
      <c r="J1798" s="22">
        <f>[1]SUMMARY!N1799</f>
        <v>12483.38</v>
      </c>
      <c r="K1798" s="23">
        <f t="shared" si="18"/>
        <v>0</v>
      </c>
    </row>
    <row r="1799" spans="1:13" x14ac:dyDescent="0.2">
      <c r="A1799" s="17" t="str">
        <f>[1]SUMMARY!A1800</f>
        <v>12</v>
      </c>
      <c r="B1799" s="17">
        <f>[1]SUMMARY!B1800</f>
        <v>0</v>
      </c>
      <c r="C1799" s="17">
        <f>[1]SUMMARY!C1800</f>
        <v>22.5</v>
      </c>
      <c r="D1799" s="25" t="str">
        <f>[1]SUMMARY!D1800</f>
        <v>ARIVO</v>
      </c>
      <c r="E1799" s="25" t="str">
        <f>[1]SUMMARY!E1800</f>
        <v>BUFFALO XARA31 MIX 18PR</v>
      </c>
      <c r="F1799" s="30"/>
      <c r="G1799" s="30"/>
      <c r="H1799" s="30"/>
      <c r="I1799" s="30">
        <f t="shared" si="19"/>
        <v>0</v>
      </c>
      <c r="J1799" s="22">
        <f>[1]SUMMARY!N1800</f>
        <v>9842.66</v>
      </c>
      <c r="K1799" s="23">
        <f t="shared" si="18"/>
        <v>0</v>
      </c>
      <c r="L1799" s="33"/>
      <c r="M1799" s="33"/>
    </row>
    <row r="1800" spans="1:13" x14ac:dyDescent="0.2">
      <c r="A1800" s="17" t="str">
        <f>[1]SUMMARY!A1801</f>
        <v>12</v>
      </c>
      <c r="B1800" s="17">
        <f>[1]SUMMARY!B1801</f>
        <v>0</v>
      </c>
      <c r="C1800" s="17">
        <f>[1]SUMMARY!C1801</f>
        <v>22.5</v>
      </c>
      <c r="D1800" s="25" t="str">
        <f>[1]SUMMARY!D1801</f>
        <v>ARIVO</v>
      </c>
      <c r="E1800" s="25" t="str">
        <f>[1]SUMMARY!E1801</f>
        <v>BUFALLO RIB/MIX XARS1 18PR</v>
      </c>
      <c r="F1800" s="30"/>
      <c r="G1800" s="30"/>
      <c r="H1800" s="30"/>
      <c r="I1800" s="30">
        <f t="shared" si="19"/>
        <v>0</v>
      </c>
      <c r="J1800" s="22">
        <f>[1]SUMMARY!N1801</f>
        <v>9645.81</v>
      </c>
      <c r="K1800" s="23">
        <f t="shared" si="18"/>
        <v>0</v>
      </c>
      <c r="L1800" s="28">
        <f>SUM(K1785:K1800)</f>
        <v>0</v>
      </c>
      <c r="M1800" s="29" t="s">
        <v>16</v>
      </c>
    </row>
    <row r="1801" spans="1:13" x14ac:dyDescent="0.2">
      <c r="A1801" s="17" t="str">
        <f>[1]SUMMARY!A1802</f>
        <v>12</v>
      </c>
      <c r="B1801" s="17">
        <f>[1]SUMMARY!B1802</f>
        <v>0</v>
      </c>
      <c r="C1801" s="17">
        <f>[1]SUMMARY!C1802</f>
        <v>22.5</v>
      </c>
      <c r="D1801" s="25" t="str">
        <f>[1]SUMMARY!D1802</f>
        <v>ARIVO</v>
      </c>
      <c r="E1801" s="25" t="str">
        <f>[1]SUMMARY!E1802</f>
        <v>BUFFALO XARS2 RIB 18PR</v>
      </c>
      <c r="F1801" s="30"/>
      <c r="G1801" s="30"/>
      <c r="H1801" s="30"/>
      <c r="I1801" s="30">
        <f t="shared" si="19"/>
        <v>0</v>
      </c>
      <c r="J1801" s="22">
        <f>[1]SUMMARY!N1802</f>
        <v>9645.81</v>
      </c>
      <c r="K1801" s="23">
        <f t="shared" si="18"/>
        <v>0</v>
      </c>
      <c r="L1801" s="29"/>
      <c r="M1801" s="29"/>
    </row>
    <row r="1802" spans="1:13" x14ac:dyDescent="0.2">
      <c r="A1802" s="17" t="str">
        <f>[1]SUMMARY!A1803</f>
        <v>11</v>
      </c>
      <c r="B1802" s="17">
        <f>[1]SUMMARY!B1803</f>
        <v>0</v>
      </c>
      <c r="C1802" s="17" t="str">
        <f>[1]SUMMARY!C1803</f>
        <v>R22.5</v>
      </c>
      <c r="D1802" s="25" t="str">
        <f>[1]SUMMARY!D1803</f>
        <v>AVENTUS</v>
      </c>
      <c r="E1802" s="25" t="str">
        <f>[1]SUMMARY!E1803</f>
        <v xml:space="preserve">18PR VH200 RIB </v>
      </c>
      <c r="F1802" s="30"/>
      <c r="G1802" s="30"/>
      <c r="H1802" s="30"/>
      <c r="I1802" s="21">
        <f t="shared" si="19"/>
        <v>0</v>
      </c>
      <c r="J1802" s="22">
        <f>[1]SUMMARY!N1803</f>
        <v>7200</v>
      </c>
      <c r="K1802" s="23">
        <f t="shared" si="18"/>
        <v>0</v>
      </c>
      <c r="L1802" s="28">
        <f>SUM(K1802)</f>
        <v>0</v>
      </c>
      <c r="M1802" s="29" t="s">
        <v>95</v>
      </c>
    </row>
    <row r="1803" spans="1:13" x14ac:dyDescent="0.2">
      <c r="A1803" s="17" t="str">
        <f>[1]SUMMARY!A1804</f>
        <v>10.00</v>
      </c>
      <c r="B1803" s="17">
        <f>[1]SUMMARY!B1804</f>
        <v>0</v>
      </c>
      <c r="C1803" s="17" t="str">
        <f>[1]SUMMARY!C1804</f>
        <v>R20</v>
      </c>
      <c r="D1803" s="25" t="str">
        <f>[1]SUMMARY!D1804</f>
        <v>AULICE</v>
      </c>
      <c r="E1803" s="25" t="str">
        <f>[1]SUMMARY!E1804</f>
        <v>18PR AR101 MIX</v>
      </c>
      <c r="F1803" s="30"/>
      <c r="G1803" s="30"/>
      <c r="H1803" s="30"/>
      <c r="I1803" s="21">
        <f t="shared" si="19"/>
        <v>0</v>
      </c>
      <c r="J1803" s="22">
        <f>[1]SUMMARY!N1804</f>
        <v>8500</v>
      </c>
      <c r="K1803" s="23">
        <f t="shared" si="18"/>
        <v>0</v>
      </c>
      <c r="L1803" s="8"/>
      <c r="M1803" s="8"/>
    </row>
    <row r="1804" spans="1:13" x14ac:dyDescent="0.2">
      <c r="A1804" s="17" t="str">
        <f>[1]SUMMARY!A1805</f>
        <v>10.00</v>
      </c>
      <c r="B1804" s="17">
        <f>[1]SUMMARY!B1805</f>
        <v>0</v>
      </c>
      <c r="C1804" s="17" t="str">
        <f>[1]SUMMARY!C1805</f>
        <v>R20</v>
      </c>
      <c r="D1804" s="25" t="str">
        <f>[1]SUMMARY!D1805</f>
        <v>AULICE</v>
      </c>
      <c r="E1804" s="25" t="str">
        <f>[1]SUMMARY!E1805</f>
        <v>18PR AR3137 MIX LUG</v>
      </c>
      <c r="F1804" s="30"/>
      <c r="G1804" s="30"/>
      <c r="H1804" s="30"/>
      <c r="I1804" s="21">
        <f t="shared" si="19"/>
        <v>0</v>
      </c>
      <c r="J1804" s="22">
        <f>[1]SUMMARY!N1805</f>
        <v>8700</v>
      </c>
      <c r="K1804" s="23">
        <f t="shared" si="18"/>
        <v>0</v>
      </c>
      <c r="L1804" s="8"/>
      <c r="M1804" s="8"/>
    </row>
    <row r="1805" spans="1:13" x14ac:dyDescent="0.2">
      <c r="A1805" s="17" t="str">
        <f>[1]SUMMARY!A1806</f>
        <v>11.00</v>
      </c>
      <c r="B1805" s="17">
        <f>[1]SUMMARY!B1806</f>
        <v>0</v>
      </c>
      <c r="C1805" s="17" t="str">
        <f>[1]SUMMARY!C1806</f>
        <v>R20</v>
      </c>
      <c r="D1805" s="25" t="str">
        <f>[1]SUMMARY!D1806</f>
        <v>AULICE</v>
      </c>
      <c r="E1805" s="25" t="str">
        <f>[1]SUMMARY!E1806</f>
        <v>18PR AR1017 MIX</v>
      </c>
      <c r="F1805" s="30"/>
      <c r="G1805" s="30"/>
      <c r="H1805" s="30"/>
      <c r="I1805" s="21">
        <f t="shared" si="19"/>
        <v>0</v>
      </c>
      <c r="J1805" s="22">
        <f>[1]SUMMARY!N1806</f>
        <v>11562.1</v>
      </c>
      <c r="K1805" s="23">
        <f t="shared" si="18"/>
        <v>0</v>
      </c>
      <c r="L1805" s="8"/>
      <c r="M1805" s="8"/>
    </row>
    <row r="1806" spans="1:13" x14ac:dyDescent="0.2">
      <c r="A1806" s="17" t="str">
        <f>[1]SUMMARY!A1807</f>
        <v>11.00</v>
      </c>
      <c r="B1806" s="17">
        <f>[1]SUMMARY!B1807</f>
        <v>0</v>
      </c>
      <c r="C1806" s="17" t="str">
        <f>[1]SUMMARY!C1807</f>
        <v>R20</v>
      </c>
      <c r="D1806" s="25" t="str">
        <f>[1]SUMMARY!D1807</f>
        <v>AULICE</v>
      </c>
      <c r="E1806" s="25" t="str">
        <f>[1]SUMMARY!E1807</f>
        <v>18PR AR3137 BLK</v>
      </c>
      <c r="F1806" s="30"/>
      <c r="G1806" s="30"/>
      <c r="H1806" s="30"/>
      <c r="I1806" s="21">
        <f t="shared" si="19"/>
        <v>0</v>
      </c>
      <c r="J1806" s="22">
        <f>[1]SUMMARY!N1807</f>
        <v>11878.35</v>
      </c>
      <c r="K1806" s="23">
        <f t="shared" si="18"/>
        <v>0</v>
      </c>
      <c r="L1806" s="8"/>
      <c r="M1806" s="8"/>
    </row>
    <row r="1807" spans="1:13" x14ac:dyDescent="0.2">
      <c r="A1807" s="17" t="str">
        <f>[1]SUMMARY!A1808</f>
        <v>11.00</v>
      </c>
      <c r="B1807" s="17">
        <f>[1]SUMMARY!B1808</f>
        <v>0</v>
      </c>
      <c r="C1807" s="17" t="str">
        <f>[1]SUMMARY!C1808</f>
        <v>R20</v>
      </c>
      <c r="D1807" s="25" t="str">
        <f>[1]SUMMARY!D1808</f>
        <v>AULICE</v>
      </c>
      <c r="E1807" s="25" t="str">
        <f>[1]SUMMARY!E1808</f>
        <v>18PR AR535 LUG</v>
      </c>
      <c r="F1807" s="30"/>
      <c r="G1807" s="30"/>
      <c r="H1807" s="30"/>
      <c r="I1807" s="21">
        <f t="shared" si="19"/>
        <v>0</v>
      </c>
      <c r="J1807" s="22">
        <f>[1]SUMMARY!N1808</f>
        <v>12482.81</v>
      </c>
      <c r="K1807" s="23">
        <f t="shared" si="18"/>
        <v>0</v>
      </c>
      <c r="L1807" s="8"/>
      <c r="M1807" s="8"/>
    </row>
    <row r="1808" spans="1:13" x14ac:dyDescent="0.2">
      <c r="A1808" s="17" t="str">
        <f>[1]SUMMARY!A1809</f>
        <v>12.00</v>
      </c>
      <c r="B1808" s="17">
        <f>[1]SUMMARY!B1809</f>
        <v>0</v>
      </c>
      <c r="C1808" s="17" t="str">
        <f>[1]SUMMARY!C1809</f>
        <v>R20</v>
      </c>
      <c r="D1808" s="25" t="str">
        <f>[1]SUMMARY!D1809</f>
        <v>AULICE</v>
      </c>
      <c r="E1808" s="25" t="str">
        <f>[1]SUMMARY!E1809</f>
        <v>AR3137 20PR</v>
      </c>
      <c r="F1808" s="20"/>
      <c r="G1808" s="20">
        <v>1</v>
      </c>
      <c r="H1808" s="20">
        <v>1</v>
      </c>
      <c r="I1808" s="21">
        <f t="shared" si="19"/>
        <v>0</v>
      </c>
      <c r="J1808" s="22">
        <f>[1]SUMMARY!N1809</f>
        <v>14898.23</v>
      </c>
      <c r="K1808" s="23">
        <f t="shared" si="18"/>
        <v>0</v>
      </c>
      <c r="L1808" s="8"/>
      <c r="M1808" s="8"/>
    </row>
    <row r="1809" spans="1:13" x14ac:dyDescent="0.2">
      <c r="A1809" s="17" t="str">
        <f>[1]SUMMARY!A1810</f>
        <v>12.00</v>
      </c>
      <c r="B1809" s="17">
        <f>[1]SUMMARY!B1810</f>
        <v>0</v>
      </c>
      <c r="C1809" s="17">
        <f>[1]SUMMARY!C1810</f>
        <v>20</v>
      </c>
      <c r="D1809" s="25" t="str">
        <f>[1]SUMMARY!D1810</f>
        <v>AULICE</v>
      </c>
      <c r="E1809" s="25" t="str">
        <f>[1]SUMMARY!E1810</f>
        <v>20PR AR535 MINING LUG</v>
      </c>
      <c r="F1809" s="20"/>
      <c r="G1809" s="20">
        <v>10</v>
      </c>
      <c r="H1809" s="20">
        <v>10</v>
      </c>
      <c r="I1809" s="21">
        <f t="shared" si="19"/>
        <v>0</v>
      </c>
      <c r="J1809" s="22">
        <f>[1]SUMMARY!N1810</f>
        <v>15855.41</v>
      </c>
      <c r="K1809" s="23">
        <f t="shared" si="18"/>
        <v>0</v>
      </c>
      <c r="L1809" s="8"/>
      <c r="M1809" s="8"/>
    </row>
    <row r="1810" spans="1:13" x14ac:dyDescent="0.2">
      <c r="A1810" s="17" t="str">
        <f>[1]SUMMARY!A1811</f>
        <v>12.00</v>
      </c>
      <c r="B1810" s="17">
        <f>[1]SUMMARY!B1811</f>
        <v>0</v>
      </c>
      <c r="C1810" s="17">
        <f>[1]SUMMARY!C1811</f>
        <v>20</v>
      </c>
      <c r="D1810" s="25" t="str">
        <f>[1]SUMMARY!D1811</f>
        <v>AULICE</v>
      </c>
      <c r="E1810" s="25" t="str">
        <f>[1]SUMMARY!E1811</f>
        <v>20PR AR1017 MIX</v>
      </c>
      <c r="F1810" s="20"/>
      <c r="G1810" s="20">
        <v>8</v>
      </c>
      <c r="H1810" s="20">
        <v>8</v>
      </c>
      <c r="I1810" s="21">
        <f t="shared" si="19"/>
        <v>0</v>
      </c>
      <c r="J1810" s="22">
        <f>[1]SUMMARY!N1811</f>
        <v>14444.88</v>
      </c>
      <c r="K1810" s="23">
        <f t="shared" si="18"/>
        <v>0</v>
      </c>
      <c r="L1810" s="8"/>
      <c r="M1810" s="8"/>
    </row>
    <row r="1811" spans="1:13" x14ac:dyDescent="0.2">
      <c r="A1811" s="17" t="str">
        <f>[1]SUMMARY!A1812</f>
        <v>295</v>
      </c>
      <c r="B1811" s="17" t="str">
        <f>[1]SUMMARY!B1812</f>
        <v>80</v>
      </c>
      <c r="C1811" s="17" t="str">
        <f>[1]SUMMARY!C1812</f>
        <v>22.5</v>
      </c>
      <c r="D1811" s="25" t="str">
        <f>[1]SUMMARY!D1812</f>
        <v>AULICE</v>
      </c>
      <c r="E1811" s="25" t="str">
        <f>[1]SUMMARY!E1812</f>
        <v>18PR AW787 RIB</v>
      </c>
      <c r="F1811" s="20"/>
      <c r="G1811" s="20"/>
      <c r="H1811" s="20"/>
      <c r="I1811" s="21">
        <f t="shared" si="19"/>
        <v>0</v>
      </c>
      <c r="J1811" s="22">
        <f>[1]SUMMARY!N1812</f>
        <v>9564.0300000000007</v>
      </c>
      <c r="K1811" s="23">
        <f t="shared" si="18"/>
        <v>0</v>
      </c>
      <c r="L1811" s="8"/>
      <c r="M1811" s="8"/>
    </row>
    <row r="1812" spans="1:13" x14ac:dyDescent="0.2">
      <c r="A1812" s="17" t="str">
        <f>[1]SUMMARY!A1813</f>
        <v>11</v>
      </c>
      <c r="B1812" s="17">
        <f>[1]SUMMARY!B1813</f>
        <v>0</v>
      </c>
      <c r="C1812" s="17" t="str">
        <f>[1]SUMMARY!C1813</f>
        <v>22.5</v>
      </c>
      <c r="D1812" s="25" t="str">
        <f>[1]SUMMARY!D1813</f>
        <v>AULICE</v>
      </c>
      <c r="E1812" s="25" t="str">
        <f>[1]SUMMARY!E1813</f>
        <v>16PR AR818 BLK</v>
      </c>
      <c r="F1812" s="20"/>
      <c r="G1812" s="20"/>
      <c r="H1812" s="20"/>
      <c r="I1812" s="21">
        <f t="shared" si="19"/>
        <v>0</v>
      </c>
      <c r="J1812" s="22">
        <f>[1]SUMMARY!N1813</f>
        <v>9441.06</v>
      </c>
      <c r="K1812" s="23">
        <f t="shared" si="18"/>
        <v>0</v>
      </c>
      <c r="L1812" s="8"/>
      <c r="M1812" s="8"/>
    </row>
    <row r="1813" spans="1:13" x14ac:dyDescent="0.2">
      <c r="A1813" s="17" t="str">
        <f>[1]SUMMARY!A1814</f>
        <v>12</v>
      </c>
      <c r="B1813" s="17">
        <f>[1]SUMMARY!B1814</f>
        <v>0</v>
      </c>
      <c r="C1813" s="17" t="str">
        <f>[1]SUMMARY!C1814</f>
        <v>22.5</v>
      </c>
      <c r="D1813" s="25" t="str">
        <f>[1]SUMMARY!D1814</f>
        <v>AULICE</v>
      </c>
      <c r="E1813" s="25" t="str">
        <f>[1]SUMMARY!E1814</f>
        <v>18PR AR777 RIB</v>
      </c>
      <c r="F1813" s="20"/>
      <c r="G1813" s="20"/>
      <c r="H1813" s="20"/>
      <c r="I1813" s="21">
        <f t="shared" si="19"/>
        <v>0</v>
      </c>
      <c r="J1813" s="22">
        <f>[1]SUMMARY!N1814</f>
        <v>10692.71</v>
      </c>
      <c r="K1813" s="23">
        <f t="shared" si="18"/>
        <v>0</v>
      </c>
      <c r="L1813" s="8"/>
      <c r="M1813" s="8"/>
    </row>
    <row r="1814" spans="1:13" x14ac:dyDescent="0.2">
      <c r="A1814" s="17" t="str">
        <f>[1]SUMMARY!A1815</f>
        <v>12</v>
      </c>
      <c r="B1814" s="17">
        <f>[1]SUMMARY!B1815</f>
        <v>0</v>
      </c>
      <c r="C1814" s="17" t="str">
        <f>[1]SUMMARY!C1815</f>
        <v>22.5</v>
      </c>
      <c r="D1814" s="25" t="str">
        <f>[1]SUMMARY!D1815</f>
        <v>AULICE</v>
      </c>
      <c r="E1814" s="25" t="str">
        <f>[1]SUMMARY!E1815</f>
        <v>18PR AR778 MIX LUG</v>
      </c>
      <c r="F1814" s="20"/>
      <c r="G1814" s="20"/>
      <c r="H1814" s="20"/>
      <c r="I1814" s="21">
        <f t="shared" si="19"/>
        <v>0</v>
      </c>
      <c r="J1814" s="22">
        <f>[1]SUMMARY!N1815</f>
        <v>10468.129999999999</v>
      </c>
      <c r="K1814" s="23">
        <f t="shared" si="18"/>
        <v>0</v>
      </c>
      <c r="L1814" s="8"/>
      <c r="M1814" s="8"/>
    </row>
    <row r="1815" spans="1:13" x14ac:dyDescent="0.2">
      <c r="A1815" s="17" t="str">
        <f>[1]SUMMARY!A1816</f>
        <v>12</v>
      </c>
      <c r="B1815" s="17">
        <f>[1]SUMMARY!B1816</f>
        <v>0</v>
      </c>
      <c r="C1815" s="17" t="str">
        <f>[1]SUMMARY!C1816</f>
        <v>22.5</v>
      </c>
      <c r="D1815" s="25" t="str">
        <f>[1]SUMMARY!D1816</f>
        <v>AULICE</v>
      </c>
      <c r="E1815" s="25" t="str">
        <f>[1]SUMMARY!E1816</f>
        <v>18PR AR816</v>
      </c>
      <c r="F1815" s="20"/>
      <c r="G1815" s="20">
        <v>4</v>
      </c>
      <c r="H1815" s="20">
        <v>4</v>
      </c>
      <c r="I1815" s="21">
        <f t="shared" si="19"/>
        <v>0</v>
      </c>
      <c r="J1815" s="22">
        <f>[1]SUMMARY!N1816</f>
        <v>13063</v>
      </c>
      <c r="K1815" s="23">
        <f t="shared" si="18"/>
        <v>0</v>
      </c>
      <c r="L1815" s="28">
        <f>SUM(K1803:K1815)</f>
        <v>0</v>
      </c>
      <c r="M1815" s="29" t="s">
        <v>96</v>
      </c>
    </row>
    <row r="1816" spans="1:13" x14ac:dyDescent="0.2">
      <c r="A1816" s="17" t="str">
        <f>[1]SUMMARY!A1817</f>
        <v>20.5</v>
      </c>
      <c r="B1816" s="17">
        <f>[1]SUMMARY!B1817</f>
        <v>70</v>
      </c>
      <c r="C1816" s="17">
        <f>[1]SUMMARY!C1817</f>
        <v>16</v>
      </c>
      <c r="D1816" s="25" t="str">
        <f>[1]SUMMARY!D1817</f>
        <v>ADVANCE</v>
      </c>
      <c r="E1816" s="25" t="str">
        <f>[1]SUMMARY!E1817</f>
        <v>14PR EB/LB</v>
      </c>
      <c r="F1816" s="20"/>
      <c r="G1816" s="20"/>
      <c r="H1816" s="20"/>
      <c r="I1816" s="21">
        <f t="shared" si="19"/>
        <v>0</v>
      </c>
      <c r="J1816" s="22">
        <f>[1]SUMMARY!N1817</f>
        <v>9700</v>
      </c>
      <c r="K1816" s="23">
        <f t="shared" si="18"/>
        <v>0</v>
      </c>
      <c r="L1816" s="8"/>
      <c r="M1816" s="8"/>
    </row>
    <row r="1817" spans="1:13" x14ac:dyDescent="0.2">
      <c r="A1817" s="17" t="str">
        <f>[1]SUMMARY!A1818</f>
        <v>285</v>
      </c>
      <c r="B1817" s="17">
        <f>[1]SUMMARY!B1818</f>
        <v>70</v>
      </c>
      <c r="C1817" s="17">
        <f>[1]SUMMARY!C1818</f>
        <v>19.5</v>
      </c>
      <c r="D1817" s="25" t="str">
        <f>[1]SUMMARY!D1818</f>
        <v>ADVANCE</v>
      </c>
      <c r="E1817" s="25" t="str">
        <f>[1]SUMMARY!E1818</f>
        <v>GL284A</v>
      </c>
      <c r="F1817" s="20"/>
      <c r="G1817" s="20">
        <v>8</v>
      </c>
      <c r="H1817" s="20">
        <v>8</v>
      </c>
      <c r="I1817" s="21">
        <f t="shared" si="19"/>
        <v>0</v>
      </c>
      <c r="J1817" s="22">
        <f>[1]SUMMARY!N1818</f>
        <v>7566.01</v>
      </c>
      <c r="K1817" s="23">
        <f t="shared" si="18"/>
        <v>0</v>
      </c>
      <c r="L1817" s="8"/>
      <c r="M1817" s="8"/>
    </row>
    <row r="1818" spans="1:13" x14ac:dyDescent="0.2">
      <c r="A1818" s="17" t="str">
        <f>[1]SUMMARY!A1819</f>
        <v>13.6</v>
      </c>
      <c r="B1818" s="17">
        <f>[1]SUMMARY!B1819</f>
        <v>0</v>
      </c>
      <c r="C1818" s="17">
        <f>[1]SUMMARY!C1819</f>
        <v>24</v>
      </c>
      <c r="D1818" s="25" t="str">
        <f>[1]SUMMARY!D1819</f>
        <v>ADVANCE</v>
      </c>
      <c r="E1818" s="25" t="str">
        <f>[1]SUMMARY!E1819</f>
        <v>8PR R-15FZC</v>
      </c>
      <c r="F1818" s="20"/>
      <c r="G1818" s="20"/>
      <c r="H1818" s="20"/>
      <c r="I1818" s="21">
        <f t="shared" si="19"/>
        <v>0</v>
      </c>
      <c r="J1818" s="22">
        <f>[1]SUMMARY!N1819</f>
        <v>11640</v>
      </c>
      <c r="K1818" s="23">
        <f t="shared" si="18"/>
        <v>0</v>
      </c>
      <c r="L1818" s="8"/>
      <c r="M1818" s="8"/>
    </row>
    <row r="1819" spans="1:13" x14ac:dyDescent="0.2">
      <c r="A1819" s="17" t="str">
        <f>[1]SUMMARY!A1820</f>
        <v>26.5</v>
      </c>
      <c r="B1819" s="17">
        <f>[1]SUMMARY!B1820</f>
        <v>0</v>
      </c>
      <c r="C1819" s="17">
        <f>[1]SUMMARY!C1820</f>
        <v>25</v>
      </c>
      <c r="D1819" s="25" t="str">
        <f>[1]SUMMARY!D1820</f>
        <v>ADVANCE</v>
      </c>
      <c r="E1819" s="25" t="str">
        <f>[1]SUMMARY!E1820</f>
        <v xml:space="preserve">28PR E3/L3 LOADER </v>
      </c>
      <c r="F1819" s="20"/>
      <c r="G1819" s="20"/>
      <c r="H1819" s="20"/>
      <c r="I1819" s="21">
        <f t="shared" si="19"/>
        <v>0</v>
      </c>
      <c r="J1819" s="22">
        <f>[1]SUMMARY!N1820</f>
        <v>82450</v>
      </c>
      <c r="K1819" s="23">
        <f t="shared" ref="K1819:K2073" si="20">J1819*I1819</f>
        <v>0</v>
      </c>
      <c r="L1819" s="28">
        <f>SUM(K1816:K1819)</f>
        <v>0</v>
      </c>
      <c r="M1819" s="29" t="s">
        <v>97</v>
      </c>
    </row>
    <row r="1820" spans="1:13" x14ac:dyDescent="0.2">
      <c r="A1820" s="17" t="str">
        <f>[1]SUMMARY!A1821</f>
        <v>11</v>
      </c>
      <c r="B1820" s="17">
        <f>[1]SUMMARY!B1821</f>
        <v>0</v>
      </c>
      <c r="C1820" s="17" t="str">
        <f>[1]SUMMARY!C1821</f>
        <v>R22.5</v>
      </c>
      <c r="D1820" s="25" t="str">
        <f>[1]SUMMARY!D1821</f>
        <v>AGATE</v>
      </c>
      <c r="E1820" s="25" t="str">
        <f>[1]SUMMARY!E1821</f>
        <v>18PR RIB</v>
      </c>
      <c r="F1820" s="20"/>
      <c r="G1820" s="20"/>
      <c r="H1820" s="20"/>
      <c r="I1820" s="21">
        <f t="shared" si="19"/>
        <v>0</v>
      </c>
      <c r="J1820" s="22">
        <f>[1]SUMMARY!N1821</f>
        <v>8600</v>
      </c>
      <c r="K1820" s="23">
        <f t="shared" si="20"/>
        <v>0</v>
      </c>
      <c r="L1820" s="8"/>
      <c r="M1820" s="8"/>
    </row>
    <row r="1821" spans="1:13" x14ac:dyDescent="0.2">
      <c r="A1821" s="17" t="str">
        <f>[1]SUMMARY!A1822</f>
        <v>11</v>
      </c>
      <c r="B1821" s="17">
        <f>[1]SUMMARY!B1822</f>
        <v>0</v>
      </c>
      <c r="C1821" s="17" t="str">
        <f>[1]SUMMARY!C1822</f>
        <v>R22.5</v>
      </c>
      <c r="D1821" s="25" t="str">
        <f>[1]SUMMARY!D1822</f>
        <v>AGATE</v>
      </c>
      <c r="E1821" s="25" t="str">
        <f>[1]SUMMARY!E1822</f>
        <v>HF702 MIX</v>
      </c>
      <c r="F1821" s="20"/>
      <c r="G1821" s="20">
        <v>6</v>
      </c>
      <c r="H1821" s="20">
        <v>6</v>
      </c>
      <c r="I1821" s="21">
        <f t="shared" si="19"/>
        <v>0</v>
      </c>
      <c r="J1821" s="22">
        <f>[1]SUMMARY!N1822</f>
        <v>8300</v>
      </c>
      <c r="K1821" s="23">
        <f t="shared" si="20"/>
        <v>0</v>
      </c>
      <c r="L1821" s="28">
        <f>SUM(K1820:K1821)</f>
        <v>0</v>
      </c>
      <c r="M1821" s="29" t="s">
        <v>98</v>
      </c>
    </row>
    <row r="1822" spans="1:13" x14ac:dyDescent="0.2">
      <c r="A1822" s="17" t="str">
        <f>[1]SUMMARY!A1823</f>
        <v>3.40/6.50</v>
      </c>
      <c r="B1822" s="17">
        <f>[1]SUMMARY!B1823</f>
        <v>0</v>
      </c>
      <c r="C1822" s="17">
        <f>[1]SUMMARY!C1823</f>
        <v>13</v>
      </c>
      <c r="D1822" s="25" t="str">
        <f>[1]SUMMARY!D1823</f>
        <v>BONTERRA</v>
      </c>
      <c r="E1822" s="25" t="str">
        <f>[1]SUMMARY!E1823</f>
        <v>10PR KARGADOR</v>
      </c>
      <c r="F1822" s="20"/>
      <c r="G1822" s="20"/>
      <c r="H1822" s="20"/>
      <c r="I1822" s="21">
        <f t="shared" si="19"/>
        <v>0</v>
      </c>
      <c r="J1822" s="22">
        <f>[1]SUMMARY!N1823</f>
        <v>2057.6999999999998</v>
      </c>
      <c r="K1822" s="23">
        <f t="shared" si="20"/>
        <v>0</v>
      </c>
      <c r="L1822" s="8"/>
      <c r="M1822" s="8"/>
    </row>
    <row r="1823" spans="1:13" x14ac:dyDescent="0.2">
      <c r="A1823" s="17" t="str">
        <f>[1]SUMMARY!A1824</f>
        <v>205</v>
      </c>
      <c r="B1823" s="17">
        <f>[1]SUMMARY!B1824</f>
        <v>75</v>
      </c>
      <c r="C1823" s="17">
        <f>[1]SUMMARY!C1824</f>
        <v>17.5</v>
      </c>
      <c r="D1823" s="25" t="str">
        <f>[1]SUMMARY!D1824</f>
        <v>BONTERRA</v>
      </c>
      <c r="E1823" s="25" t="str">
        <f>[1]SUMMARY!E1824</f>
        <v>16PR HS205 RIB</v>
      </c>
      <c r="F1823" s="20"/>
      <c r="G1823" s="20"/>
      <c r="H1823" s="20"/>
      <c r="I1823" s="21">
        <f t="shared" si="19"/>
        <v>0</v>
      </c>
      <c r="J1823" s="22">
        <f>[1]SUMMARY!N1824</f>
        <v>4785</v>
      </c>
      <c r="K1823" s="23">
        <f t="shared" si="20"/>
        <v>0</v>
      </c>
      <c r="L1823" s="8"/>
      <c r="M1823" s="8"/>
    </row>
    <row r="1824" spans="1:13" x14ac:dyDescent="0.2">
      <c r="A1824" s="17" t="str">
        <f>[1]SUMMARY!A1825</f>
        <v>225</v>
      </c>
      <c r="B1824" s="17">
        <f>[1]SUMMARY!B1825</f>
        <v>80</v>
      </c>
      <c r="C1824" s="17">
        <f>[1]SUMMARY!C1825</f>
        <v>17.5</v>
      </c>
      <c r="D1824" s="25" t="str">
        <f>[1]SUMMARY!D1825</f>
        <v>BONTERRA</v>
      </c>
      <c r="E1824" s="25" t="str">
        <f>[1]SUMMARY!E1825</f>
        <v>18PR BTS866</v>
      </c>
      <c r="F1824" s="20"/>
      <c r="G1824" s="20"/>
      <c r="H1824" s="20"/>
      <c r="I1824" s="21">
        <f t="shared" si="19"/>
        <v>0</v>
      </c>
      <c r="J1824" s="22">
        <f>[1]SUMMARY!N1825</f>
        <v>5940</v>
      </c>
      <c r="K1824" s="23">
        <f t="shared" si="20"/>
        <v>0</v>
      </c>
      <c r="L1824" s="8"/>
      <c r="M1824" s="8"/>
    </row>
    <row r="1825" spans="1:13" x14ac:dyDescent="0.2">
      <c r="A1825" s="17" t="str">
        <f>[1]SUMMARY!A1826</f>
        <v>9.5</v>
      </c>
      <c r="B1825" s="17">
        <f>[1]SUMMARY!B1826</f>
        <v>0</v>
      </c>
      <c r="C1825" s="17" t="str">
        <f>[1]SUMMARY!C1826</f>
        <v>R17.5</v>
      </c>
      <c r="D1825" s="25" t="str">
        <f>[1]SUMMARY!D1826</f>
        <v>BONTERRA</v>
      </c>
      <c r="E1825" s="25" t="str">
        <f>[1]SUMMARY!E1826</f>
        <v>18PR BT858</v>
      </c>
      <c r="F1825" s="20"/>
      <c r="G1825" s="20">
        <v>8</v>
      </c>
      <c r="H1825" s="20">
        <v>8</v>
      </c>
      <c r="I1825" s="21">
        <f t="shared" si="19"/>
        <v>0</v>
      </c>
      <c r="J1825" s="22">
        <f>[1]SUMMARY!N1826</f>
        <v>5956.5</v>
      </c>
      <c r="K1825" s="23">
        <f t="shared" si="20"/>
        <v>0</v>
      </c>
      <c r="L1825" s="8"/>
      <c r="M1825" s="8"/>
    </row>
    <row r="1826" spans="1:13" x14ac:dyDescent="0.2">
      <c r="A1826" s="17" t="str">
        <f>[1]SUMMARY!A1827</f>
        <v>9.5</v>
      </c>
      <c r="B1826" s="17">
        <f>[1]SUMMARY!B1827</f>
        <v>0</v>
      </c>
      <c r="C1826" s="17" t="str">
        <f>[1]SUMMARY!C1827</f>
        <v>R17.5</v>
      </c>
      <c r="D1826" s="25" t="str">
        <f>[1]SUMMARY!D1827</f>
        <v>BONTERRA</v>
      </c>
      <c r="E1826" s="25" t="str">
        <f>[1]SUMMARY!E1827</f>
        <v>18PR BTD885 LUG</v>
      </c>
      <c r="F1826" s="20"/>
      <c r="G1826" s="20">
        <v>2</v>
      </c>
      <c r="H1826" s="20">
        <v>2</v>
      </c>
      <c r="I1826" s="21">
        <f t="shared" si="19"/>
        <v>0</v>
      </c>
      <c r="J1826" s="22">
        <f>[1]SUMMARY!N1827</f>
        <v>6325</v>
      </c>
      <c r="K1826" s="23">
        <f t="shared" si="20"/>
        <v>0</v>
      </c>
      <c r="L1826" s="8"/>
      <c r="M1826" s="8"/>
    </row>
    <row r="1827" spans="1:13" x14ac:dyDescent="0.2">
      <c r="A1827" s="17" t="str">
        <f>[1]SUMMARY!A1828</f>
        <v>11</v>
      </c>
      <c r="B1827" s="17">
        <f>[1]SUMMARY!B1828</f>
        <v>0</v>
      </c>
      <c r="C1827" s="17" t="str">
        <f>[1]SUMMARY!C1828</f>
        <v>R22.5</v>
      </c>
      <c r="D1827" s="25" t="str">
        <f>[1]SUMMARY!D1828</f>
        <v>BONTERRA</v>
      </c>
      <c r="E1827" s="25" t="str">
        <f>[1]SUMMARY!E1828</f>
        <v>20PR BT818 MIX</v>
      </c>
      <c r="F1827" s="20"/>
      <c r="G1827" s="20"/>
      <c r="H1827" s="20"/>
      <c r="I1827" s="21">
        <f t="shared" si="19"/>
        <v>0</v>
      </c>
      <c r="J1827" s="22">
        <f>[1]SUMMARY!N1828</f>
        <v>7500</v>
      </c>
      <c r="K1827" s="23">
        <f t="shared" si="20"/>
        <v>0</v>
      </c>
      <c r="L1827" s="8"/>
      <c r="M1827" s="8"/>
    </row>
    <row r="1828" spans="1:13" x14ac:dyDescent="0.2">
      <c r="A1828" s="17" t="str">
        <f>[1]SUMMARY!A1829</f>
        <v>11</v>
      </c>
      <c r="B1828" s="17">
        <f>[1]SUMMARY!B1829</f>
        <v>0</v>
      </c>
      <c r="C1828" s="17" t="str">
        <f>[1]SUMMARY!C1829</f>
        <v>R22.5</v>
      </c>
      <c r="D1828" s="25" t="str">
        <f>[1]SUMMARY!D1829</f>
        <v>BONTERRA</v>
      </c>
      <c r="E1828" s="25" t="str">
        <f>[1]SUMMARY!E1829</f>
        <v>20PR BT828 RIB</v>
      </c>
      <c r="F1828" s="20"/>
      <c r="G1828" s="20"/>
      <c r="H1828" s="20"/>
      <c r="I1828" s="21">
        <f t="shared" si="19"/>
        <v>0</v>
      </c>
      <c r="J1828" s="22">
        <f>[1]SUMMARY!N1829</f>
        <v>7500</v>
      </c>
      <c r="K1828" s="23">
        <f t="shared" si="20"/>
        <v>0</v>
      </c>
      <c r="L1828" s="28">
        <f>SUM(K1827:K1828)</f>
        <v>0</v>
      </c>
      <c r="M1828" s="29" t="s">
        <v>99</v>
      </c>
    </row>
    <row r="1829" spans="1:13" x14ac:dyDescent="0.2">
      <c r="A1829" s="17" t="str">
        <f>[1]SUMMARY!A1830</f>
        <v>7.50</v>
      </c>
      <c r="B1829" s="17">
        <f>[1]SUMMARY!B1830</f>
        <v>0</v>
      </c>
      <c r="C1829" s="17" t="str">
        <f>[1]SUMMARY!C1830</f>
        <v>R15</v>
      </c>
      <c r="D1829" s="25" t="str">
        <f>[1]SUMMARY!D1830</f>
        <v>BRIDGESTONE</v>
      </c>
      <c r="E1829" s="25" t="str">
        <f>[1]SUMMARY!E1830</f>
        <v>R200 RIB</v>
      </c>
      <c r="F1829" s="20"/>
      <c r="G1829" s="20"/>
      <c r="H1829" s="20"/>
      <c r="I1829" s="21">
        <f t="shared" si="19"/>
        <v>0</v>
      </c>
      <c r="J1829" s="22">
        <f>[1]SUMMARY!N1830</f>
        <v>11277.6</v>
      </c>
      <c r="K1829" s="23">
        <f t="shared" si="20"/>
        <v>0</v>
      </c>
      <c r="L1829" s="8"/>
      <c r="M1829" s="8"/>
    </row>
    <row r="1830" spans="1:13" x14ac:dyDescent="0.2">
      <c r="A1830" s="17" t="str">
        <f>[1]SUMMARY!A1831</f>
        <v>10.00</v>
      </c>
      <c r="B1830" s="17">
        <f>[1]SUMMARY!B1831</f>
        <v>0</v>
      </c>
      <c r="C1830" s="17">
        <f>[1]SUMMARY!C1831</f>
        <v>20</v>
      </c>
      <c r="D1830" s="25" t="str">
        <f>[1]SUMMARY!D1831</f>
        <v>BRIDGESTONE</v>
      </c>
      <c r="E1830" s="25" t="str">
        <f>[1]SUMMARY!E1831</f>
        <v>L301 LUG</v>
      </c>
      <c r="F1830" s="20"/>
      <c r="G1830" s="20"/>
      <c r="H1830" s="20"/>
      <c r="I1830" s="21">
        <f t="shared" si="19"/>
        <v>0</v>
      </c>
      <c r="J1830" s="22">
        <f>[1]SUMMARY!N1831</f>
        <v>18900</v>
      </c>
      <c r="K1830" s="23">
        <f t="shared" si="20"/>
        <v>0</v>
      </c>
      <c r="L1830" s="8"/>
      <c r="M1830" s="8"/>
    </row>
    <row r="1831" spans="1:13" x14ac:dyDescent="0.2">
      <c r="A1831" s="17" t="str">
        <f>[1]SUMMARY!A1832</f>
        <v>11</v>
      </c>
      <c r="B1831" s="17">
        <f>[1]SUMMARY!B1832</f>
        <v>0</v>
      </c>
      <c r="C1831" s="17" t="str">
        <f>[1]SUMMARY!C1832</f>
        <v>R22.5</v>
      </c>
      <c r="D1831" s="25" t="str">
        <f>[1]SUMMARY!D1832</f>
        <v>BRIDGESTONE</v>
      </c>
      <c r="E1831" s="25" t="str">
        <f>[1]SUMMARY!E1832</f>
        <v>R224 RIB</v>
      </c>
      <c r="F1831" s="20"/>
      <c r="G1831" s="20">
        <v>4</v>
      </c>
      <c r="H1831" s="20">
        <v>4</v>
      </c>
      <c r="I1831" s="21">
        <f t="shared" si="19"/>
        <v>0</v>
      </c>
      <c r="J1831" s="22">
        <f>[1]SUMMARY!N1832</f>
        <v>17504</v>
      </c>
      <c r="K1831" s="23">
        <f t="shared" si="20"/>
        <v>0</v>
      </c>
      <c r="L1831" s="8"/>
      <c r="M1831" s="8"/>
    </row>
    <row r="1832" spans="1:13" x14ac:dyDescent="0.2">
      <c r="A1832" s="17" t="str">
        <f>[1]SUMMARY!A1833</f>
        <v>11</v>
      </c>
      <c r="B1832" s="17">
        <f>[1]SUMMARY!B1833</f>
        <v>0</v>
      </c>
      <c r="C1832" s="17" t="str">
        <f>[1]SUMMARY!C1833</f>
        <v>R22.5</v>
      </c>
      <c r="D1832" s="25" t="str">
        <f>[1]SUMMARY!D1833</f>
        <v>BRIDGESTONE</v>
      </c>
      <c r="E1832" s="25" t="str">
        <f>[1]SUMMARY!E1833</f>
        <v>R156 16PR RIB</v>
      </c>
      <c r="F1832" s="20"/>
      <c r="G1832" s="20">
        <v>2</v>
      </c>
      <c r="H1832" s="20">
        <v>2</v>
      </c>
      <c r="I1832" s="21">
        <f t="shared" si="19"/>
        <v>0</v>
      </c>
      <c r="J1832" s="22">
        <f>[1]SUMMARY!N1833</f>
        <v>19180</v>
      </c>
      <c r="K1832" s="23">
        <f t="shared" si="20"/>
        <v>0</v>
      </c>
      <c r="L1832" s="8"/>
      <c r="M1832" s="8"/>
    </row>
    <row r="1833" spans="1:13" x14ac:dyDescent="0.2">
      <c r="A1833" s="17" t="str">
        <f>[1]SUMMARY!A1834</f>
        <v>12.00</v>
      </c>
      <c r="B1833" s="17">
        <f>[1]SUMMARY!B1834</f>
        <v>0</v>
      </c>
      <c r="C1833" s="17" t="str">
        <f>[1]SUMMARY!C1834</f>
        <v>R20</v>
      </c>
      <c r="D1833" s="25" t="str">
        <f>[1]SUMMARY!D1834</f>
        <v>BRIDGESTONE</v>
      </c>
      <c r="E1833" s="25" t="str">
        <f>[1]SUMMARY!E1834</f>
        <v>L301 LUG</v>
      </c>
      <c r="F1833" s="20"/>
      <c r="G1833" s="20"/>
      <c r="H1833" s="20"/>
      <c r="I1833" s="21">
        <f t="shared" si="19"/>
        <v>0</v>
      </c>
      <c r="J1833" s="22">
        <f>[1]SUMMARY!N1834</f>
        <v>23000</v>
      </c>
      <c r="K1833" s="23">
        <f t="shared" si="20"/>
        <v>0</v>
      </c>
      <c r="L1833" s="28">
        <f>SUM(K1829:K1833)</f>
        <v>0</v>
      </c>
      <c r="M1833" s="29" t="s">
        <v>22</v>
      </c>
    </row>
    <row r="1834" spans="1:13" x14ac:dyDescent="0.2">
      <c r="A1834" s="17" t="str">
        <f>[1]SUMMARY!A1835</f>
        <v>5.00</v>
      </c>
      <c r="B1834" s="17">
        <f>[1]SUMMARY!B1835</f>
        <v>0</v>
      </c>
      <c r="C1834" s="17">
        <f>[1]SUMMARY!C1835</f>
        <v>12</v>
      </c>
      <c r="D1834" s="25" t="str">
        <f>[1]SUMMARY!D1835</f>
        <v>CASUMINA</v>
      </c>
      <c r="E1834" s="25" t="str">
        <f>[1]SUMMARY!E1835</f>
        <v>12PR CA405K RIB</v>
      </c>
      <c r="F1834" s="20"/>
      <c r="G1834" s="20"/>
      <c r="H1834" s="20"/>
      <c r="I1834" s="21">
        <f t="shared" si="19"/>
        <v>0</v>
      </c>
      <c r="J1834" s="22">
        <f>[1]SUMMARY!N1835</f>
        <v>2103</v>
      </c>
      <c r="K1834" s="23">
        <f t="shared" si="20"/>
        <v>0</v>
      </c>
      <c r="L1834" s="8"/>
      <c r="M1834" s="8"/>
    </row>
    <row r="1835" spans="1:13" x14ac:dyDescent="0.2">
      <c r="A1835" s="17" t="str">
        <f>[1]SUMMARY!A1836</f>
        <v>6.50</v>
      </c>
      <c r="B1835" s="17">
        <f>[1]SUMMARY!B1836</f>
        <v>0</v>
      </c>
      <c r="C1835" s="17">
        <f>[1]SUMMARY!C1836</f>
        <v>14</v>
      </c>
      <c r="D1835" s="25" t="str">
        <f>[1]SUMMARY!D1836</f>
        <v>CASUMINA</v>
      </c>
      <c r="E1835" s="25" t="str">
        <f>[1]SUMMARY!E1836</f>
        <v>14PR CA402F LUG</v>
      </c>
      <c r="F1835" s="20"/>
      <c r="G1835" s="20">
        <v>4</v>
      </c>
      <c r="H1835" s="20">
        <v>4</v>
      </c>
      <c r="I1835" s="21">
        <f t="shared" si="19"/>
        <v>0</v>
      </c>
      <c r="J1835" s="22">
        <f>[1]SUMMARY!N1836</f>
        <v>3632.65</v>
      </c>
      <c r="K1835" s="23">
        <f t="shared" si="20"/>
        <v>0</v>
      </c>
      <c r="L1835" s="8"/>
      <c r="M1835" s="8"/>
    </row>
    <row r="1836" spans="1:13" x14ac:dyDescent="0.2">
      <c r="A1836" s="17" t="str">
        <f>[1]SUMMARY!A1837</f>
        <v>7.00</v>
      </c>
      <c r="B1836" s="17">
        <f>[1]SUMMARY!B1837</f>
        <v>0</v>
      </c>
      <c r="C1836" s="17">
        <f>[1]SUMMARY!C1837</f>
        <v>15</v>
      </c>
      <c r="D1836" s="25" t="str">
        <f>[1]SUMMARY!D1837</f>
        <v>CASUMINA</v>
      </c>
      <c r="E1836" s="25" t="str">
        <f>[1]SUMMARY!E1837</f>
        <v>12PR CA405P RIB</v>
      </c>
      <c r="F1836" s="20"/>
      <c r="G1836" s="20"/>
      <c r="H1836" s="20"/>
      <c r="I1836" s="21">
        <f t="shared" si="19"/>
        <v>0</v>
      </c>
      <c r="J1836" s="22">
        <f>[1]SUMMARY!N1837</f>
        <v>4919</v>
      </c>
      <c r="K1836" s="23">
        <f t="shared" si="20"/>
        <v>0</v>
      </c>
      <c r="L1836" s="8"/>
      <c r="M1836" s="8"/>
    </row>
    <row r="1837" spans="1:13" x14ac:dyDescent="0.2">
      <c r="A1837" s="17" t="str">
        <f>[1]SUMMARY!A1838</f>
        <v>225</v>
      </c>
      <c r="B1837" s="17">
        <f>[1]SUMMARY!B1838</f>
        <v>90</v>
      </c>
      <c r="C1837" s="17">
        <f>[1]SUMMARY!C1838</f>
        <v>17.5</v>
      </c>
      <c r="D1837" s="25" t="str">
        <f>[1]SUMMARY!D1838</f>
        <v>CASUMINA</v>
      </c>
      <c r="E1837" s="25" t="str">
        <f>[1]SUMMARY!E1838</f>
        <v>GS622 RIB</v>
      </c>
      <c r="F1837" s="20"/>
      <c r="G1837" s="20">
        <v>2</v>
      </c>
      <c r="H1837" s="20">
        <v>2</v>
      </c>
      <c r="I1837" s="21">
        <f t="shared" si="19"/>
        <v>0</v>
      </c>
      <c r="J1837" s="22">
        <f>[1]SUMMARY!N1838</f>
        <v>8373</v>
      </c>
      <c r="K1837" s="23">
        <f t="shared" si="20"/>
        <v>0</v>
      </c>
      <c r="L1837" s="8"/>
      <c r="M1837" s="8"/>
    </row>
    <row r="1838" spans="1:13" x14ac:dyDescent="0.2">
      <c r="A1838" s="17" t="str">
        <f>[1]SUMMARY!A1839</f>
        <v>8.25</v>
      </c>
      <c r="B1838" s="17">
        <f>[1]SUMMARY!B1839</f>
        <v>0</v>
      </c>
      <c r="C1838" s="17">
        <f>[1]SUMMARY!C1839</f>
        <v>16</v>
      </c>
      <c r="D1838" s="25" t="str">
        <f>[1]SUMMARY!D1839</f>
        <v>CASUMINA</v>
      </c>
      <c r="E1838" s="25" t="str">
        <f>[1]SUMMARY!E1839</f>
        <v>18PR CA402F LUG</v>
      </c>
      <c r="F1838" s="20"/>
      <c r="G1838" s="20"/>
      <c r="H1838" s="20"/>
      <c r="I1838" s="21">
        <f t="shared" si="19"/>
        <v>0</v>
      </c>
      <c r="J1838" s="22">
        <f>[1]SUMMARY!N1839</f>
        <v>7654</v>
      </c>
      <c r="K1838" s="23">
        <f t="shared" si="20"/>
        <v>0</v>
      </c>
      <c r="L1838" s="29"/>
      <c r="M1838" s="29"/>
    </row>
    <row r="1839" spans="1:13" x14ac:dyDescent="0.2">
      <c r="A1839" s="17" t="str">
        <f>[1]SUMMARY!A1840</f>
        <v>10.00</v>
      </c>
      <c r="B1839" s="17">
        <f>[1]SUMMARY!B1840</f>
        <v>0</v>
      </c>
      <c r="C1839" s="17">
        <f>[1]SUMMARY!C1840</f>
        <v>20</v>
      </c>
      <c r="D1839" s="25" t="str">
        <f>[1]SUMMARY!D1840</f>
        <v>CASUMINA</v>
      </c>
      <c r="E1839" s="25" t="str">
        <f>[1]SUMMARY!E1840</f>
        <v>18PR LUG</v>
      </c>
      <c r="F1839" s="20"/>
      <c r="G1839" s="20"/>
      <c r="H1839" s="20"/>
      <c r="I1839" s="21">
        <f t="shared" si="19"/>
        <v>0</v>
      </c>
      <c r="J1839" s="22">
        <f>[1]SUMMARY!N1840</f>
        <v>12337</v>
      </c>
      <c r="K1839" s="23">
        <f t="shared" si="20"/>
        <v>0</v>
      </c>
      <c r="L1839" s="28">
        <f>SUM(K1834:K1839)</f>
        <v>0</v>
      </c>
      <c r="M1839" s="29" t="s">
        <v>100</v>
      </c>
    </row>
    <row r="1840" spans="1:13" x14ac:dyDescent="0.2">
      <c r="A1840" s="17" t="str">
        <f>[1]SUMMARY!A1841</f>
        <v>12</v>
      </c>
      <c r="B1840" s="17">
        <f>[1]SUMMARY!B1841</f>
        <v>0</v>
      </c>
      <c r="C1840" s="17">
        <f>[1]SUMMARY!C1841</f>
        <v>16.5</v>
      </c>
      <c r="D1840" s="25" t="str">
        <f>[1]SUMMARY!D1841</f>
        <v>CAMSO</v>
      </c>
      <c r="E1840" s="25" t="str">
        <f>[1]SUMMARY!E1841</f>
        <v>SKS532</v>
      </c>
      <c r="F1840" s="20"/>
      <c r="G1840" s="20"/>
      <c r="H1840" s="20"/>
      <c r="I1840" s="21">
        <f t="shared" si="19"/>
        <v>0</v>
      </c>
      <c r="J1840" s="22">
        <f>[1]SUMMARY!N1841</f>
        <v>13387.5</v>
      </c>
      <c r="K1840" s="23">
        <f t="shared" si="20"/>
        <v>0</v>
      </c>
      <c r="L1840" s="28">
        <f>SUM(K1840)</f>
        <v>0</v>
      </c>
      <c r="M1840" s="29" t="s">
        <v>101</v>
      </c>
    </row>
    <row r="1841" spans="1:13" x14ac:dyDescent="0.2">
      <c r="A1841" s="17" t="str">
        <f>[1]SUMMARY!A1842</f>
        <v>10.00</v>
      </c>
      <c r="B1841" s="17">
        <f>[1]SUMMARY!B1842</f>
        <v>0</v>
      </c>
      <c r="C1841" s="17" t="str">
        <f>[1]SUMMARY!C1842</f>
        <v>R20</v>
      </c>
      <c r="D1841" s="25" t="str">
        <f>[1]SUMMARY!D1842</f>
        <v>CENTARA</v>
      </c>
      <c r="E1841" s="25" t="str">
        <f>[1]SUMMARY!E1842</f>
        <v>18PR SD707 MIX</v>
      </c>
      <c r="F1841" s="20"/>
      <c r="G1841" s="20"/>
      <c r="H1841" s="20"/>
      <c r="I1841" s="21">
        <f t="shared" si="19"/>
        <v>0</v>
      </c>
      <c r="J1841" s="22">
        <f>[1]SUMMARY!N1842</f>
        <v>9975</v>
      </c>
      <c r="K1841" s="23">
        <f t="shared" si="20"/>
        <v>0</v>
      </c>
      <c r="L1841" s="8"/>
      <c r="M1841" s="8"/>
    </row>
    <row r="1842" spans="1:13" x14ac:dyDescent="0.2">
      <c r="A1842" s="17" t="str">
        <f>[1]SUMMARY!A1843</f>
        <v>11</v>
      </c>
      <c r="B1842" s="17">
        <f>[1]SUMMARY!B1843</f>
        <v>0</v>
      </c>
      <c r="C1842" s="17" t="str">
        <f>[1]SUMMARY!C1843</f>
        <v>R20</v>
      </c>
      <c r="D1842" s="25" t="str">
        <f>[1]SUMMARY!D1843</f>
        <v>CENTARA</v>
      </c>
      <c r="E1842" s="25" t="str">
        <f>[1]SUMMARY!E1843</f>
        <v>18PR SD707 MIX</v>
      </c>
      <c r="F1842" s="20"/>
      <c r="G1842" s="20"/>
      <c r="H1842" s="20"/>
      <c r="I1842" s="21">
        <f t="shared" si="19"/>
        <v>0</v>
      </c>
      <c r="J1842" s="22">
        <f>[1]SUMMARY!N1843</f>
        <v>9800</v>
      </c>
      <c r="K1842" s="23">
        <f t="shared" si="20"/>
        <v>0</v>
      </c>
      <c r="L1842" s="8"/>
      <c r="M1842" s="8"/>
    </row>
    <row r="1843" spans="1:13" x14ac:dyDescent="0.2">
      <c r="A1843" s="17" t="str">
        <f>[1]SUMMARY!A1844</f>
        <v>11</v>
      </c>
      <c r="B1843" s="17">
        <f>[1]SUMMARY!B1844</f>
        <v>0</v>
      </c>
      <c r="C1843" s="17">
        <f>[1]SUMMARY!C1844</f>
        <v>22.5</v>
      </c>
      <c r="D1843" s="25" t="str">
        <f>[1]SUMMARY!D1844</f>
        <v>CENTARA</v>
      </c>
      <c r="E1843" s="25" t="str">
        <f>[1]SUMMARY!E1844</f>
        <v>20PR SD707 MIX</v>
      </c>
      <c r="F1843" s="20"/>
      <c r="G1843" s="20">
        <v>8</v>
      </c>
      <c r="H1843" s="20">
        <v>8</v>
      </c>
      <c r="I1843" s="21">
        <f t="shared" si="19"/>
        <v>0</v>
      </c>
      <c r="J1843" s="22">
        <f>[1]SUMMARY!N1844</f>
        <v>7500</v>
      </c>
      <c r="K1843" s="23">
        <f t="shared" si="20"/>
        <v>0</v>
      </c>
      <c r="L1843" s="8"/>
      <c r="M1843" s="8"/>
    </row>
    <row r="1844" spans="1:13" x14ac:dyDescent="0.2">
      <c r="A1844" s="17" t="str">
        <f>[1]SUMMARY!A1845</f>
        <v>11</v>
      </c>
      <c r="B1844" s="17">
        <f>[1]SUMMARY!B1845</f>
        <v>0</v>
      </c>
      <c r="C1844" s="17">
        <f>[1]SUMMARY!C1845</f>
        <v>22.5</v>
      </c>
      <c r="D1844" s="25" t="str">
        <f>[1]SUMMARY!D1845</f>
        <v>CENTARA</v>
      </c>
      <c r="E1844" s="25" t="str">
        <f>[1]SUMMARY!E1845</f>
        <v>18PR SD701 RIB</v>
      </c>
      <c r="F1844" s="20"/>
      <c r="G1844" s="20">
        <v>4</v>
      </c>
      <c r="H1844" s="20">
        <v>4</v>
      </c>
      <c r="I1844" s="21">
        <f t="shared" si="19"/>
        <v>0</v>
      </c>
      <c r="J1844" s="22">
        <f>[1]SUMMARY!N1845</f>
        <v>7500</v>
      </c>
      <c r="K1844" s="23">
        <f t="shared" si="20"/>
        <v>0</v>
      </c>
      <c r="L1844" s="8"/>
      <c r="M1844" s="8"/>
    </row>
    <row r="1845" spans="1:13" x14ac:dyDescent="0.2">
      <c r="A1845" s="17" t="str">
        <f>[1]SUMMARY!A1846</f>
        <v>11</v>
      </c>
      <c r="B1845" s="17">
        <f>[1]SUMMARY!B1846</f>
        <v>0</v>
      </c>
      <c r="C1845" s="17">
        <f>[1]SUMMARY!C1846</f>
        <v>22.5</v>
      </c>
      <c r="D1845" s="25" t="str">
        <f>[1]SUMMARY!D1846</f>
        <v>CENTARA</v>
      </c>
      <c r="E1845" s="25" t="str">
        <f>[1]SUMMARY!E1846</f>
        <v>20PR SD701 RIB</v>
      </c>
      <c r="F1845" s="20"/>
      <c r="G1845" s="20">
        <v>2</v>
      </c>
      <c r="H1845" s="20">
        <v>2</v>
      </c>
      <c r="I1845" s="21">
        <f t="shared" si="19"/>
        <v>0</v>
      </c>
      <c r="J1845" s="22">
        <f>[1]SUMMARY!N1846</f>
        <v>7500</v>
      </c>
      <c r="K1845" s="23">
        <f t="shared" si="20"/>
        <v>0</v>
      </c>
      <c r="L1845" s="8"/>
      <c r="M1845" s="8"/>
    </row>
    <row r="1846" spans="1:13" x14ac:dyDescent="0.2">
      <c r="A1846" s="17" t="str">
        <f>[1]SUMMARY!A1847</f>
        <v>11</v>
      </c>
      <c r="B1846" s="17">
        <f>[1]SUMMARY!B1847</f>
        <v>0</v>
      </c>
      <c r="C1846" s="17">
        <f>[1]SUMMARY!C1847</f>
        <v>22.5</v>
      </c>
      <c r="D1846" s="25" t="str">
        <f>[1]SUMMARY!D1847</f>
        <v>CENTARA</v>
      </c>
      <c r="E1846" s="25" t="str">
        <f>[1]SUMMARY!E1847</f>
        <v>20PR SD690 LUG</v>
      </c>
      <c r="F1846" s="20"/>
      <c r="G1846" s="20">
        <v>4</v>
      </c>
      <c r="H1846" s="20">
        <v>4</v>
      </c>
      <c r="I1846" s="21">
        <f t="shared" si="19"/>
        <v>0</v>
      </c>
      <c r="J1846" s="22">
        <f>[1]SUMMARY!N1847</f>
        <v>8000</v>
      </c>
      <c r="K1846" s="23">
        <f t="shared" si="20"/>
        <v>0</v>
      </c>
      <c r="L1846" s="28">
        <f>SUM(K1841:K1846)</f>
        <v>0</v>
      </c>
      <c r="M1846" s="29" t="s">
        <v>102</v>
      </c>
    </row>
    <row r="1847" spans="1:13" x14ac:dyDescent="0.2">
      <c r="A1847" s="17" t="str">
        <f>[1]SUMMARY!A1848</f>
        <v>7.00</v>
      </c>
      <c r="B1847" s="17">
        <f>[1]SUMMARY!B1848</f>
        <v>0</v>
      </c>
      <c r="C1847" s="17">
        <f>[1]SUMMARY!C1848</f>
        <v>12</v>
      </c>
      <c r="D1847" s="25" t="str">
        <f>[1]SUMMARY!D1848</f>
        <v>DEESTONE</v>
      </c>
      <c r="E1847" s="25" t="str">
        <f>[1]SUMMARY!E1848</f>
        <v>D301 12PR</v>
      </c>
      <c r="F1847" s="20"/>
      <c r="G1847" s="20"/>
      <c r="H1847" s="20"/>
      <c r="I1847" s="21">
        <f t="shared" si="19"/>
        <v>0</v>
      </c>
      <c r="J1847" s="22">
        <f>[1]SUMMARY!N1848</f>
        <v>4900</v>
      </c>
      <c r="K1847" s="23">
        <f t="shared" si="20"/>
        <v>0</v>
      </c>
      <c r="L1847" s="8"/>
      <c r="M1847" s="8"/>
    </row>
    <row r="1848" spans="1:13" x14ac:dyDescent="0.2">
      <c r="A1848" s="17" t="str">
        <f>[1]SUMMARY!A1849</f>
        <v>6.40</v>
      </c>
      <c r="B1848" s="17">
        <f>[1]SUMMARY!B1849</f>
        <v>6.5</v>
      </c>
      <c r="C1848" s="17">
        <f>[1]SUMMARY!C1849</f>
        <v>13</v>
      </c>
      <c r="D1848" s="25" t="str">
        <f>[1]SUMMARY!D1849</f>
        <v>DEESTONE</v>
      </c>
      <c r="E1848" s="25" t="str">
        <f>[1]SUMMARY!E1849</f>
        <v>D502 MIX LUG 6PR</v>
      </c>
      <c r="F1848" s="20"/>
      <c r="G1848" s="20"/>
      <c r="H1848" s="20"/>
      <c r="I1848" s="21">
        <f t="shared" si="19"/>
        <v>0</v>
      </c>
      <c r="J1848" s="22">
        <f>[1]SUMMARY!N1849</f>
        <v>2676</v>
      </c>
      <c r="K1848" s="23">
        <f t="shared" si="20"/>
        <v>0</v>
      </c>
      <c r="L1848" s="8"/>
      <c r="M1848" s="8"/>
    </row>
    <row r="1849" spans="1:13" x14ac:dyDescent="0.2">
      <c r="A1849" s="17" t="str">
        <f>[1]SUMMARY!A1850</f>
        <v>6.50</v>
      </c>
      <c r="B1849" s="17">
        <f>[1]SUMMARY!B1850</f>
        <v>0</v>
      </c>
      <c r="C1849" s="17">
        <f>[1]SUMMARY!C1850</f>
        <v>10</v>
      </c>
      <c r="D1849" s="25" t="str">
        <f>[1]SUMMARY!D1850</f>
        <v>DEESTONE</v>
      </c>
      <c r="E1849" s="25" t="str">
        <f>[1]SUMMARY!E1850</f>
        <v>10PR D301 FORK LIFT LUG</v>
      </c>
      <c r="F1849" s="20"/>
      <c r="G1849" s="20"/>
      <c r="H1849" s="20"/>
      <c r="I1849" s="21">
        <f t="shared" si="19"/>
        <v>0</v>
      </c>
      <c r="J1849" s="22">
        <f>[1]SUMMARY!N1850</f>
        <v>3353.06</v>
      </c>
      <c r="K1849" s="23">
        <f t="shared" si="20"/>
        <v>0</v>
      </c>
      <c r="L1849" s="8"/>
      <c r="M1849" s="8"/>
    </row>
    <row r="1850" spans="1:13" x14ac:dyDescent="0.2">
      <c r="A1850" s="17" t="str">
        <f>[1]SUMMARY!A1851</f>
        <v>6.50</v>
      </c>
      <c r="B1850" s="17">
        <f>[1]SUMMARY!B1851</f>
        <v>0</v>
      </c>
      <c r="C1850" s="17">
        <f>[1]SUMMARY!C1851</f>
        <v>14</v>
      </c>
      <c r="D1850" s="25" t="str">
        <f>[1]SUMMARY!D1851</f>
        <v>DEESTONE</v>
      </c>
      <c r="E1850" s="25" t="str">
        <f>[1]SUMMARY!E1851</f>
        <v>D201</v>
      </c>
      <c r="F1850" s="20"/>
      <c r="G1850" s="20">
        <v>4</v>
      </c>
      <c r="H1850" s="20">
        <v>4</v>
      </c>
      <c r="I1850" s="21">
        <f t="shared" si="19"/>
        <v>0</v>
      </c>
      <c r="J1850" s="22">
        <f>[1]SUMMARY!N1851</f>
        <v>4250</v>
      </c>
      <c r="K1850" s="23">
        <f t="shared" si="20"/>
        <v>0</v>
      </c>
      <c r="L1850" s="8"/>
      <c r="M1850" s="8"/>
    </row>
    <row r="1851" spans="1:13" x14ac:dyDescent="0.2">
      <c r="A1851" s="17" t="str">
        <f>[1]SUMMARY!A1852</f>
        <v>3.00</v>
      </c>
      <c r="B1851" s="17">
        <f>[1]SUMMARY!B1852</f>
        <v>0</v>
      </c>
      <c r="C1851" s="17">
        <f>[1]SUMMARY!C1852</f>
        <v>15</v>
      </c>
      <c r="D1851" s="25" t="str">
        <f>[1]SUMMARY!D1852</f>
        <v>DEESTONE</v>
      </c>
      <c r="E1851" s="25" t="str">
        <f>[1]SUMMARY!E1852</f>
        <v>D301 20PR</v>
      </c>
      <c r="F1851" s="20"/>
      <c r="G1851" s="20"/>
      <c r="H1851" s="20"/>
      <c r="I1851" s="21">
        <f t="shared" si="19"/>
        <v>0</v>
      </c>
      <c r="J1851" s="22">
        <f>[1]SUMMARY!N1852</f>
        <v>13798</v>
      </c>
      <c r="K1851" s="23">
        <f t="shared" si="20"/>
        <v>0</v>
      </c>
      <c r="L1851" s="8"/>
      <c r="M1851" s="8"/>
    </row>
    <row r="1852" spans="1:13" x14ac:dyDescent="0.2">
      <c r="A1852" s="17" t="str">
        <f>[1]SUMMARY!A1853</f>
        <v>7.00</v>
      </c>
      <c r="B1852" s="17">
        <f>[1]SUMMARY!B1853</f>
        <v>0</v>
      </c>
      <c r="C1852" s="17">
        <f>[1]SUMMARY!C1853</f>
        <v>15</v>
      </c>
      <c r="D1852" s="25" t="str">
        <f>[1]SUMMARY!D1853</f>
        <v>DEESTONE</v>
      </c>
      <c r="E1852" s="25" t="str">
        <f>[1]SUMMARY!E1853</f>
        <v>D102 RIB 12PR</v>
      </c>
      <c r="F1852" s="85"/>
      <c r="G1852" s="85">
        <v>6</v>
      </c>
      <c r="H1852" s="85">
        <v>6</v>
      </c>
      <c r="I1852" s="21">
        <f t="shared" si="19"/>
        <v>0</v>
      </c>
      <c r="J1852" s="22">
        <f>[1]SUMMARY!N1853</f>
        <v>4376</v>
      </c>
      <c r="K1852" s="23">
        <f t="shared" si="20"/>
        <v>0</v>
      </c>
      <c r="L1852" s="8"/>
      <c r="M1852" s="8"/>
    </row>
    <row r="1853" spans="1:13" x14ac:dyDescent="0.2">
      <c r="A1853" s="17" t="str">
        <f>[1]SUMMARY!A1854</f>
        <v>7.00</v>
      </c>
      <c r="B1853" s="17">
        <f>[1]SUMMARY!B1854</f>
        <v>0</v>
      </c>
      <c r="C1853" s="17">
        <f>[1]SUMMARY!C1854</f>
        <v>15</v>
      </c>
      <c r="D1853" s="25" t="str">
        <f>[1]SUMMARY!D1854</f>
        <v>DEESTONE</v>
      </c>
      <c r="E1853" s="25" t="str">
        <f>[1]SUMMARY!E1854</f>
        <v>LUG 12PR</v>
      </c>
      <c r="F1853" s="85"/>
      <c r="G1853" s="85"/>
      <c r="H1853" s="85"/>
      <c r="I1853" s="21">
        <f t="shared" si="19"/>
        <v>0</v>
      </c>
      <c r="J1853" s="22">
        <f>[1]SUMMARY!N1854</f>
        <v>4638</v>
      </c>
      <c r="K1853" s="23">
        <f t="shared" si="20"/>
        <v>0</v>
      </c>
      <c r="L1853" s="8"/>
      <c r="M1853" s="8"/>
    </row>
    <row r="1854" spans="1:13" x14ac:dyDescent="0.2">
      <c r="A1854" s="17" t="str">
        <f>[1]SUMMARY!A1855</f>
        <v>7.50</v>
      </c>
      <c r="B1854" s="17">
        <f>[1]SUMMARY!B1855</f>
        <v>0</v>
      </c>
      <c r="C1854" s="17">
        <f>[1]SUMMARY!C1855</f>
        <v>15</v>
      </c>
      <c r="D1854" s="25" t="str">
        <f>[1]SUMMARY!D1855</f>
        <v>DEESTONE</v>
      </c>
      <c r="E1854" s="25" t="str">
        <f>[1]SUMMARY!E1855</f>
        <v>14PR RIB D102</v>
      </c>
      <c r="F1854" s="85"/>
      <c r="G1854" s="85">
        <v>8</v>
      </c>
      <c r="H1854" s="85">
        <v>8</v>
      </c>
      <c r="I1854" s="21">
        <f t="shared" si="19"/>
        <v>0</v>
      </c>
      <c r="J1854" s="22">
        <f>[1]SUMMARY!N1855</f>
        <v>5663</v>
      </c>
      <c r="K1854" s="23">
        <f t="shared" si="20"/>
        <v>0</v>
      </c>
      <c r="L1854" s="8"/>
      <c r="M1854" s="8"/>
    </row>
    <row r="1855" spans="1:13" x14ac:dyDescent="0.2">
      <c r="A1855" s="17" t="str">
        <f>[1]SUMMARY!A1856</f>
        <v>7.50</v>
      </c>
      <c r="B1855" s="17">
        <f>[1]SUMMARY!B1856</f>
        <v>0</v>
      </c>
      <c r="C1855" s="17">
        <f>[1]SUMMARY!C1856</f>
        <v>15</v>
      </c>
      <c r="D1855" s="25" t="str">
        <f>[1]SUMMARY!D1856</f>
        <v>DEESTONE</v>
      </c>
      <c r="E1855" s="25" t="str">
        <f>[1]SUMMARY!E1856</f>
        <v>14pr LUG</v>
      </c>
      <c r="F1855" s="85"/>
      <c r="G1855" s="85"/>
      <c r="H1855" s="85"/>
      <c r="I1855" s="21">
        <f t="shared" si="19"/>
        <v>0</v>
      </c>
      <c r="J1855" s="22">
        <f>[1]SUMMARY!N1856</f>
        <v>5421</v>
      </c>
      <c r="K1855" s="23">
        <f t="shared" si="20"/>
        <v>0</v>
      </c>
      <c r="L1855" s="8"/>
      <c r="M1855" s="8"/>
    </row>
    <row r="1856" spans="1:13" x14ac:dyDescent="0.2">
      <c r="A1856" s="17" t="str">
        <f>[1]SUMMARY!A1857</f>
        <v>7.00</v>
      </c>
      <c r="B1856" s="17">
        <f>[1]SUMMARY!B1857</f>
        <v>0</v>
      </c>
      <c r="C1856" s="17">
        <f>[1]SUMMARY!C1857</f>
        <v>16</v>
      </c>
      <c r="D1856" s="25" t="str">
        <f>[1]SUMMARY!D1857</f>
        <v>DEESTONE</v>
      </c>
      <c r="E1856" s="25" t="str">
        <f>[1]SUMMARY!E1857</f>
        <v xml:space="preserve"> 12PR RIB D102</v>
      </c>
      <c r="F1856" s="86"/>
      <c r="G1856" s="87">
        <v>2</v>
      </c>
      <c r="H1856" s="87">
        <v>2</v>
      </c>
      <c r="I1856" s="21">
        <f t="shared" si="19"/>
        <v>0</v>
      </c>
      <c r="J1856" s="22">
        <f>[1]SUMMARY!N1857</f>
        <v>4697</v>
      </c>
      <c r="K1856" s="23">
        <f t="shared" si="20"/>
        <v>0</v>
      </c>
      <c r="L1856" s="8"/>
      <c r="M1856" s="8"/>
    </row>
    <row r="1857" spans="1:13" x14ac:dyDescent="0.2">
      <c r="A1857" s="17" t="str">
        <f>[1]SUMMARY!A1858</f>
        <v>7.50</v>
      </c>
      <c r="B1857" s="17">
        <f>[1]SUMMARY!B1858</f>
        <v>0</v>
      </c>
      <c r="C1857" s="17">
        <f>[1]SUMMARY!C1858</f>
        <v>16</v>
      </c>
      <c r="D1857" s="25" t="str">
        <f>[1]SUMMARY!D1858</f>
        <v>DEESTONE</v>
      </c>
      <c r="E1857" s="25" t="str">
        <f>[1]SUMMARY!E1858</f>
        <v>14PR RIB D102</v>
      </c>
      <c r="F1857" s="86"/>
      <c r="G1857" s="87">
        <v>2</v>
      </c>
      <c r="H1857" s="87">
        <v>2</v>
      </c>
      <c r="I1857" s="21">
        <f t="shared" si="19"/>
        <v>0</v>
      </c>
      <c r="J1857" s="22">
        <f>[1]SUMMARY!N1858</f>
        <v>5819</v>
      </c>
      <c r="K1857" s="23">
        <f t="shared" si="20"/>
        <v>0</v>
      </c>
      <c r="L1857" s="8"/>
      <c r="M1857" s="8"/>
    </row>
    <row r="1858" spans="1:13" x14ac:dyDescent="0.2">
      <c r="A1858" s="17" t="str">
        <f>[1]SUMMARY!A1859</f>
        <v>10.00</v>
      </c>
      <c r="B1858" s="17">
        <f>[1]SUMMARY!B1859</f>
        <v>0</v>
      </c>
      <c r="C1858" s="17" t="str">
        <f>[1]SUMMARY!C1859</f>
        <v>16.50</v>
      </c>
      <c r="D1858" s="25" t="str">
        <f>[1]SUMMARY!D1859</f>
        <v>DEESTONE</v>
      </c>
      <c r="E1858" s="25" t="str">
        <f>[1]SUMMARY!E1859</f>
        <v>D304  10PR</v>
      </c>
      <c r="F1858" s="86"/>
      <c r="G1858" s="86"/>
      <c r="H1858" s="86"/>
      <c r="I1858" s="21">
        <f t="shared" si="19"/>
        <v>0</v>
      </c>
      <c r="J1858" s="22">
        <f>[1]SUMMARY!N1859</f>
        <v>6301</v>
      </c>
      <c r="K1858" s="23">
        <f t="shared" si="20"/>
        <v>0</v>
      </c>
      <c r="L1858" s="8"/>
      <c r="M1858" s="8"/>
    </row>
    <row r="1859" spans="1:13" x14ac:dyDescent="0.2">
      <c r="A1859" s="17" t="str">
        <f>[1]SUMMARY!A1860</f>
        <v>12</v>
      </c>
      <c r="B1859" s="17">
        <f>[1]SUMMARY!B1860</f>
        <v>0</v>
      </c>
      <c r="C1859" s="17" t="str">
        <f>[1]SUMMARY!C1860</f>
        <v>16.5</v>
      </c>
      <c r="D1859" s="25" t="str">
        <f>[1]SUMMARY!D1860</f>
        <v>DEESTONE</v>
      </c>
      <c r="E1859" s="25" t="str">
        <f>[1]SUMMARY!E1860</f>
        <v>D304</v>
      </c>
      <c r="F1859" s="86"/>
      <c r="G1859" s="86"/>
      <c r="H1859" s="86"/>
      <c r="I1859" s="21">
        <f t="shared" si="19"/>
        <v>0</v>
      </c>
      <c r="J1859" s="22">
        <f>[1]SUMMARY!N1860</f>
        <v>8976</v>
      </c>
      <c r="K1859" s="23">
        <f t="shared" si="20"/>
        <v>0</v>
      </c>
      <c r="L1859" s="8"/>
      <c r="M1859" s="8"/>
    </row>
    <row r="1860" spans="1:13" x14ac:dyDescent="0.2">
      <c r="A1860" s="17" t="str">
        <f>[1]SUMMARY!A1861</f>
        <v>11</v>
      </c>
      <c r="B1860" s="17">
        <f>[1]SUMMARY!B1861</f>
        <v>0</v>
      </c>
      <c r="C1860" s="17" t="str">
        <f>[1]SUMMARY!C1861</f>
        <v>R22.5</v>
      </c>
      <c r="D1860" s="25" t="str">
        <f>[1]SUMMARY!D1861</f>
        <v>DEESTONE</v>
      </c>
      <c r="E1860" s="25" t="str">
        <f>[1]SUMMARY!E1861</f>
        <v xml:space="preserve">16PR RIB </v>
      </c>
      <c r="F1860" s="86"/>
      <c r="G1860" s="86"/>
      <c r="H1860" s="86"/>
      <c r="I1860" s="21">
        <f t="shared" si="19"/>
        <v>0</v>
      </c>
      <c r="J1860" s="22">
        <f>[1]SUMMARY!N1861</f>
        <v>12954</v>
      </c>
      <c r="K1860" s="23">
        <f t="shared" si="20"/>
        <v>0</v>
      </c>
      <c r="L1860" s="8"/>
      <c r="M1860" s="8"/>
    </row>
    <row r="1861" spans="1:13" x14ac:dyDescent="0.2">
      <c r="A1861" s="17" t="str">
        <f>[1]SUMMARY!A1862</f>
        <v>11</v>
      </c>
      <c r="B1861" s="17">
        <f>[1]SUMMARY!B1862</f>
        <v>0</v>
      </c>
      <c r="C1861" s="17" t="str">
        <f>[1]SUMMARY!C1862</f>
        <v>R22.5</v>
      </c>
      <c r="D1861" s="25" t="str">
        <f>[1]SUMMARY!D1862</f>
        <v>DEESTONE</v>
      </c>
      <c r="E1861" s="25" t="str">
        <f>[1]SUMMARY!E1862</f>
        <v>16PR BLOCKMIX SK421</v>
      </c>
      <c r="F1861" s="86"/>
      <c r="G1861" s="87">
        <v>4</v>
      </c>
      <c r="H1861" s="87">
        <v>4</v>
      </c>
      <c r="I1861" s="21">
        <f t="shared" si="19"/>
        <v>0</v>
      </c>
      <c r="J1861" s="22">
        <f>[1]SUMMARY!N1862</f>
        <v>13235</v>
      </c>
      <c r="K1861" s="23">
        <f t="shared" si="20"/>
        <v>0</v>
      </c>
      <c r="L1861" s="8"/>
      <c r="M1861" s="8"/>
    </row>
    <row r="1862" spans="1:13" x14ac:dyDescent="0.2">
      <c r="A1862" s="17" t="str">
        <f>[1]SUMMARY!A1863</f>
        <v>11</v>
      </c>
      <c r="B1862" s="17">
        <f>[1]SUMMARY!B1863</f>
        <v>0</v>
      </c>
      <c r="C1862" s="17" t="str">
        <f>[1]SUMMARY!C1863</f>
        <v>R22.5</v>
      </c>
      <c r="D1862" s="25" t="str">
        <f>[1]SUMMARY!D1863</f>
        <v>DEESTONE</v>
      </c>
      <c r="E1862" s="25" t="str">
        <f>[1]SUMMARY!E1863</f>
        <v>16PR LUG SK422</v>
      </c>
      <c r="F1862" s="86"/>
      <c r="G1862" s="87">
        <v>4</v>
      </c>
      <c r="H1862" s="87">
        <v>4</v>
      </c>
      <c r="I1862" s="21">
        <f t="shared" si="19"/>
        <v>0</v>
      </c>
      <c r="J1862" s="22">
        <f>[1]SUMMARY!N1863</f>
        <v>13235</v>
      </c>
      <c r="K1862" s="23">
        <f t="shared" si="20"/>
        <v>0</v>
      </c>
      <c r="L1862" s="8"/>
      <c r="M1862" s="8"/>
    </row>
    <row r="1863" spans="1:13" x14ac:dyDescent="0.2">
      <c r="A1863" s="17" t="str">
        <f>[1]SUMMARY!A1864</f>
        <v>12.00</v>
      </c>
      <c r="B1863" s="17">
        <f>[1]SUMMARY!B1864</f>
        <v>0</v>
      </c>
      <c r="C1863" s="17" t="str">
        <f>[1]SUMMARY!C1864</f>
        <v>16.5</v>
      </c>
      <c r="D1863" s="25" t="str">
        <f>[1]SUMMARY!D1864</f>
        <v>DEESTONE</v>
      </c>
      <c r="E1863" s="25" t="str">
        <f>[1]SUMMARY!E1864</f>
        <v>12PR D304</v>
      </c>
      <c r="F1863" s="86"/>
      <c r="G1863" s="86"/>
      <c r="H1863" s="86"/>
      <c r="I1863" s="21">
        <f t="shared" si="19"/>
        <v>0</v>
      </c>
      <c r="J1863" s="22">
        <f>[1]SUMMARY!N1864</f>
        <v>8554</v>
      </c>
      <c r="K1863" s="23">
        <f t="shared" si="20"/>
        <v>0</v>
      </c>
      <c r="L1863" s="28">
        <f>SUM(K1847:K1863)</f>
        <v>0</v>
      </c>
      <c r="M1863" s="29" t="s">
        <v>26</v>
      </c>
    </row>
    <row r="1864" spans="1:13" x14ac:dyDescent="0.2">
      <c r="A1864" s="17" t="str">
        <f>[1]SUMMARY!A1865</f>
        <v>11</v>
      </c>
      <c r="B1864" s="17">
        <f>[1]SUMMARY!B1865</f>
        <v>0</v>
      </c>
      <c r="C1864" s="17" t="str">
        <f>[1]SUMMARY!C1865</f>
        <v>R22.5</v>
      </c>
      <c r="D1864" s="25" t="str">
        <f>[1]SUMMARY!D1865</f>
        <v>DOUBLE COIN</v>
      </c>
      <c r="E1864" s="25" t="str">
        <f>[1]SUMMARY!E1865</f>
        <v>16PR RR680</v>
      </c>
      <c r="F1864" s="20"/>
      <c r="G1864" s="20"/>
      <c r="H1864" s="20"/>
      <c r="I1864" s="21">
        <f t="shared" si="19"/>
        <v>0</v>
      </c>
      <c r="J1864" s="22">
        <f>[1]SUMMARY!N1865</f>
        <v>9270</v>
      </c>
      <c r="K1864" s="23">
        <f t="shared" si="20"/>
        <v>0</v>
      </c>
      <c r="L1864" s="28">
        <f t="shared" ref="L1864:L1865" si="21">SUM(K1864)</f>
        <v>0</v>
      </c>
      <c r="M1864" s="29" t="s">
        <v>28</v>
      </c>
    </row>
    <row r="1865" spans="1:13" x14ac:dyDescent="0.2">
      <c r="A1865" s="17" t="str">
        <f>[1]SUMMARY!A1866</f>
        <v>12.00</v>
      </c>
      <c r="B1865" s="17">
        <f>[1]SUMMARY!B1866</f>
        <v>0</v>
      </c>
      <c r="C1865" s="17" t="str">
        <f>[1]SUMMARY!C1866</f>
        <v>R20</v>
      </c>
      <c r="D1865" s="25" t="str">
        <f>[1]SUMMARY!D1866</f>
        <v>DOUPRO</v>
      </c>
      <c r="E1865" s="25" t="str">
        <f>[1]SUMMARY!E1866</f>
        <v>20 PR LUG</v>
      </c>
      <c r="F1865" s="20"/>
      <c r="G1865" s="20"/>
      <c r="H1865" s="20"/>
      <c r="I1865" s="21">
        <f t="shared" si="19"/>
        <v>0</v>
      </c>
      <c r="J1865" s="22">
        <f>[1]SUMMARY!N1866</f>
        <v>14500</v>
      </c>
      <c r="K1865" s="23">
        <f t="shared" si="20"/>
        <v>0</v>
      </c>
      <c r="L1865" s="28">
        <f t="shared" si="21"/>
        <v>0</v>
      </c>
      <c r="M1865" s="29" t="s">
        <v>103</v>
      </c>
    </row>
    <row r="1866" spans="1:13" x14ac:dyDescent="0.2">
      <c r="A1866" s="17" t="str">
        <f>[1]SUMMARY!A1867</f>
        <v>6.50</v>
      </c>
      <c r="B1866" s="17">
        <f>[1]SUMMARY!B1867</f>
        <v>0</v>
      </c>
      <c r="C1866" s="17" t="str">
        <f>[1]SUMMARY!C1867</f>
        <v>R16</v>
      </c>
      <c r="D1866" s="25" t="str">
        <f>[1]SUMMARY!D1867</f>
        <v>DURATURN</v>
      </c>
      <c r="E1866" s="25" t="str">
        <f>[1]SUMMARY!E1867</f>
        <v>Y226 RIB</v>
      </c>
      <c r="F1866" s="20"/>
      <c r="G1866" s="20">
        <v>8</v>
      </c>
      <c r="H1866" s="20">
        <v>8</v>
      </c>
      <c r="I1866" s="30">
        <f t="shared" si="19"/>
        <v>0</v>
      </c>
      <c r="J1866" s="22">
        <f>[1]SUMMARY!N1867</f>
        <v>4125</v>
      </c>
      <c r="K1866" s="23">
        <f t="shared" si="20"/>
        <v>0</v>
      </c>
      <c r="L1866" s="8"/>
      <c r="M1866" s="8"/>
    </row>
    <row r="1867" spans="1:13" x14ac:dyDescent="0.2">
      <c r="A1867" s="17" t="str">
        <f>[1]SUMMARY!A1868</f>
        <v>7.00</v>
      </c>
      <c r="B1867" s="17">
        <f>[1]SUMMARY!B1868</f>
        <v>0</v>
      </c>
      <c r="C1867" s="17" t="str">
        <f>[1]SUMMARY!C1868</f>
        <v>R16</v>
      </c>
      <c r="D1867" s="25" t="str">
        <f>[1]SUMMARY!D1868</f>
        <v>DURATURN</v>
      </c>
      <c r="E1867" s="25" t="str">
        <f>[1]SUMMARY!E1868</f>
        <v>14PR Y226 (SET)</v>
      </c>
      <c r="F1867" s="20"/>
      <c r="G1867" s="20">
        <v>14</v>
      </c>
      <c r="H1867" s="20">
        <v>12</v>
      </c>
      <c r="I1867" s="45">
        <f t="shared" si="19"/>
        <v>2</v>
      </c>
      <c r="J1867" s="22">
        <f>[1]SUMMARY!N1868</f>
        <v>4845</v>
      </c>
      <c r="K1867" s="23">
        <f t="shared" si="20"/>
        <v>9690</v>
      </c>
      <c r="L1867" s="8"/>
      <c r="M1867" s="8"/>
    </row>
    <row r="1868" spans="1:13" x14ac:dyDescent="0.2">
      <c r="A1868" s="17" t="str">
        <f>[1]SUMMARY!A1869</f>
        <v>7.00</v>
      </c>
      <c r="B1868" s="17">
        <f>[1]SUMMARY!B1869</f>
        <v>0</v>
      </c>
      <c r="C1868" s="17" t="str">
        <f>[1]SUMMARY!C1869</f>
        <v>R16</v>
      </c>
      <c r="D1868" s="25" t="str">
        <f>[1]SUMMARY!D1869</f>
        <v>DURATURN</v>
      </c>
      <c r="E1868" s="25" t="str">
        <f>[1]SUMMARY!E1869</f>
        <v>Y601 MIX</v>
      </c>
      <c r="F1868" s="20"/>
      <c r="G1868" s="20">
        <v>13</v>
      </c>
      <c r="H1868" s="20">
        <v>13</v>
      </c>
      <c r="I1868" s="30">
        <f t="shared" si="19"/>
        <v>0</v>
      </c>
      <c r="J1868" s="22">
        <f>[1]SUMMARY!N1869</f>
        <v>4675</v>
      </c>
      <c r="K1868" s="23">
        <f t="shared" si="20"/>
        <v>0</v>
      </c>
      <c r="L1868" s="8"/>
      <c r="M1868" s="8"/>
    </row>
    <row r="1869" spans="1:13" x14ac:dyDescent="0.2">
      <c r="A1869" s="17" t="s">
        <v>104</v>
      </c>
      <c r="B1869" s="88">
        <v>75</v>
      </c>
      <c r="C1869" s="88" t="s">
        <v>105</v>
      </c>
      <c r="D1869" s="89" t="s">
        <v>31</v>
      </c>
      <c r="E1869" s="89" t="s">
        <v>106</v>
      </c>
      <c r="F1869" s="20"/>
      <c r="G1869" s="20"/>
      <c r="H1869" s="20"/>
      <c r="I1869" s="30">
        <f t="shared" si="19"/>
        <v>0</v>
      </c>
      <c r="J1869" s="22">
        <f>[1]SUMMARY!N1870</f>
        <v>5434</v>
      </c>
      <c r="K1869" s="23">
        <f t="shared" si="20"/>
        <v>0</v>
      </c>
      <c r="L1869" s="8"/>
      <c r="M1869" s="8"/>
    </row>
    <row r="1870" spans="1:13" x14ac:dyDescent="0.2">
      <c r="A1870" s="17" t="str">
        <f>[1]SUMMARY!A1871</f>
        <v>245</v>
      </c>
      <c r="B1870" s="17">
        <f>[1]SUMMARY!B1871</f>
        <v>70</v>
      </c>
      <c r="C1870" s="17">
        <f>[1]SUMMARY!C1871</f>
        <v>19.5</v>
      </c>
      <c r="D1870" s="25" t="str">
        <f>[1]SUMMARY!D1871</f>
        <v>DURATURN</v>
      </c>
      <c r="E1870" s="25" t="str">
        <f>[1]SUMMARY!E1871</f>
        <v>16PR7201</v>
      </c>
      <c r="F1870" s="20"/>
      <c r="G1870" s="20"/>
      <c r="H1870" s="20"/>
      <c r="I1870" s="30">
        <f t="shared" si="19"/>
        <v>0</v>
      </c>
      <c r="J1870" s="22">
        <f>[1]SUMMARY!N1871</f>
        <v>6380</v>
      </c>
      <c r="K1870" s="23">
        <f t="shared" si="20"/>
        <v>0</v>
      </c>
      <c r="L1870" s="8"/>
      <c r="M1870" s="8"/>
    </row>
    <row r="1871" spans="1:13" x14ac:dyDescent="0.2">
      <c r="A1871" s="17" t="str">
        <f>[1]SUMMARY!A1872</f>
        <v>10.00</v>
      </c>
      <c r="B1871" s="17">
        <f>[1]SUMMARY!B1872</f>
        <v>0</v>
      </c>
      <c r="C1871" s="17" t="str">
        <f>[1]SUMMARY!C1872</f>
        <v>R20</v>
      </c>
      <c r="D1871" s="25" t="str">
        <f>[1]SUMMARY!D1872</f>
        <v>DURATURN</v>
      </c>
      <c r="E1871" s="25" t="str">
        <f>[1]SUMMARY!E1872</f>
        <v>18PR Y866 LUG</v>
      </c>
      <c r="F1871" s="20"/>
      <c r="G1871" s="20"/>
      <c r="H1871" s="20"/>
      <c r="I1871" s="30">
        <f t="shared" si="19"/>
        <v>0</v>
      </c>
      <c r="J1871" s="22">
        <f>[1]SUMMARY!N1872</f>
        <v>11495</v>
      </c>
      <c r="K1871" s="23">
        <f t="shared" si="20"/>
        <v>0</v>
      </c>
      <c r="L1871" s="8"/>
      <c r="M1871" s="8"/>
    </row>
    <row r="1872" spans="1:13" x14ac:dyDescent="0.2">
      <c r="A1872" s="17" t="str">
        <f>[1]SUMMARY!A1873</f>
        <v>12.00</v>
      </c>
      <c r="B1872" s="17">
        <f>[1]SUMMARY!B1873</f>
        <v>0</v>
      </c>
      <c r="C1872" s="17" t="str">
        <f>[1]SUMMARY!C1873</f>
        <v>R20</v>
      </c>
      <c r="D1872" s="25" t="str">
        <f>[1]SUMMARY!D1873</f>
        <v>DURATURN</v>
      </c>
      <c r="E1872" s="25" t="str">
        <f>[1]SUMMARY!E1873</f>
        <v>20PR Y509 LUG</v>
      </c>
      <c r="F1872" s="20"/>
      <c r="G1872" s="20"/>
      <c r="H1872" s="20"/>
      <c r="I1872" s="30">
        <f t="shared" si="19"/>
        <v>0</v>
      </c>
      <c r="J1872" s="22">
        <f>[1]SUMMARY!N1873</f>
        <v>15400</v>
      </c>
      <c r="K1872" s="23">
        <f t="shared" si="20"/>
        <v>0</v>
      </c>
      <c r="L1872" s="8"/>
      <c r="M1872" s="8"/>
    </row>
    <row r="1873" spans="1:13" x14ac:dyDescent="0.2">
      <c r="A1873" s="17" t="str">
        <f>[1]SUMMARY!A1874</f>
        <v>12.00</v>
      </c>
      <c r="B1873" s="17">
        <f>[1]SUMMARY!B1874</f>
        <v>0</v>
      </c>
      <c r="C1873" s="17" t="str">
        <f>[1]SUMMARY!C1874</f>
        <v>R20</v>
      </c>
      <c r="D1873" s="25" t="str">
        <f>[1]SUMMARY!D1874</f>
        <v>DURATURN</v>
      </c>
      <c r="E1873" s="25" t="str">
        <f>[1]SUMMARY!E1874</f>
        <v>20PR Y258 MIX</v>
      </c>
      <c r="F1873" s="20"/>
      <c r="G1873" s="20"/>
      <c r="H1873" s="20"/>
      <c r="I1873" s="30">
        <f t="shared" si="19"/>
        <v>0</v>
      </c>
      <c r="J1873" s="22">
        <f>[1]SUMMARY!N1874</f>
        <v>15400</v>
      </c>
      <c r="K1873" s="23">
        <f t="shared" si="20"/>
        <v>0</v>
      </c>
      <c r="L1873" s="8"/>
      <c r="M1873" s="8"/>
    </row>
    <row r="1874" spans="1:13" x14ac:dyDescent="0.2">
      <c r="A1874" s="17" t="str">
        <f>[1]SUMMARY!A1875</f>
        <v>12.00</v>
      </c>
      <c r="B1874" s="17">
        <f>[1]SUMMARY!B1875</f>
        <v>0</v>
      </c>
      <c r="C1874" s="17" t="str">
        <f>[1]SUMMARY!C1875</f>
        <v>R20</v>
      </c>
      <c r="D1874" s="25" t="str">
        <f>[1]SUMMARY!D1875</f>
        <v>DURATURN</v>
      </c>
      <c r="E1874" s="25" t="str">
        <f>[1]SUMMARY!E1875</f>
        <v>18PR Y868 MINING LUG</v>
      </c>
      <c r="F1874" s="20"/>
      <c r="G1874" s="20"/>
      <c r="H1874" s="20"/>
      <c r="I1874" s="30">
        <f t="shared" si="19"/>
        <v>0</v>
      </c>
      <c r="J1874" s="22">
        <f>[1]SUMMARY!N1875</f>
        <v>16445</v>
      </c>
      <c r="K1874" s="23">
        <f t="shared" si="20"/>
        <v>0</v>
      </c>
      <c r="L1874" s="8"/>
      <c r="M1874" s="8"/>
    </row>
    <row r="1875" spans="1:13" x14ac:dyDescent="0.2">
      <c r="A1875" s="17" t="str">
        <f>[1]SUMMARY!A1876</f>
        <v>12</v>
      </c>
      <c r="B1875" s="17">
        <f>[1]SUMMARY!B1876</f>
        <v>0</v>
      </c>
      <c r="C1875" s="17" t="str">
        <f>[1]SUMMARY!C1876</f>
        <v>R22.5</v>
      </c>
      <c r="D1875" s="25" t="str">
        <f>[1]SUMMARY!D1876</f>
        <v>DURATURN</v>
      </c>
      <c r="E1875" s="25" t="str">
        <f>[1]SUMMARY!E1876</f>
        <v>18PR Y501 LUG</v>
      </c>
      <c r="F1875" s="20"/>
      <c r="G1875" s="20"/>
      <c r="H1875" s="20"/>
      <c r="I1875" s="30">
        <f t="shared" si="19"/>
        <v>0</v>
      </c>
      <c r="J1875" s="22">
        <f>[1]SUMMARY!N1876</f>
        <v>11696.4</v>
      </c>
      <c r="K1875" s="23">
        <f t="shared" si="20"/>
        <v>0</v>
      </c>
      <c r="L1875" s="8"/>
      <c r="M1875" s="8"/>
    </row>
    <row r="1876" spans="1:13" x14ac:dyDescent="0.2">
      <c r="A1876" s="17" t="str">
        <f>[1]SUMMARY!A1877</f>
        <v>275</v>
      </c>
      <c r="B1876" s="17">
        <f>[1]SUMMARY!B1877</f>
        <v>80</v>
      </c>
      <c r="C1876" s="17">
        <f>[1]SUMMARY!C1877</f>
        <v>22.5</v>
      </c>
      <c r="D1876" s="25" t="str">
        <f>[1]SUMMARY!D1877</f>
        <v>DURATURN</v>
      </c>
      <c r="E1876" s="25" t="str">
        <f>[1]SUMMARY!E1877</f>
        <v>16PR Y237 RIB</v>
      </c>
      <c r="F1876" s="20"/>
      <c r="G1876" s="20"/>
      <c r="H1876" s="20"/>
      <c r="I1876" s="30">
        <f t="shared" si="19"/>
        <v>0</v>
      </c>
      <c r="J1876" s="22">
        <f>[1]SUMMARY!N1877</f>
        <v>10146</v>
      </c>
      <c r="K1876" s="23">
        <f t="shared" si="20"/>
        <v>0</v>
      </c>
      <c r="L1876" s="8"/>
      <c r="M1876" s="8"/>
    </row>
    <row r="1877" spans="1:13" x14ac:dyDescent="0.2">
      <c r="A1877" s="17" t="str">
        <f>[1]SUMMARY!A1878</f>
        <v>315</v>
      </c>
      <c r="B1877" s="17">
        <f>[1]SUMMARY!B1878</f>
        <v>80</v>
      </c>
      <c r="C1877" s="17">
        <f>[1]SUMMARY!C1878</f>
        <v>22.5</v>
      </c>
      <c r="D1877" s="25" t="str">
        <f>[1]SUMMARY!D1878</f>
        <v>DURATURN</v>
      </c>
      <c r="E1877" s="25" t="str">
        <f>[1]SUMMARY!E1878</f>
        <v>20PR Y601 MIX</v>
      </c>
      <c r="F1877" s="20"/>
      <c r="G1877" s="20"/>
      <c r="H1877" s="20"/>
      <c r="I1877" s="30">
        <f t="shared" si="19"/>
        <v>0</v>
      </c>
      <c r="J1877" s="22">
        <f>[1]SUMMARY!N1878</f>
        <v>11990</v>
      </c>
      <c r="K1877" s="23">
        <f t="shared" si="20"/>
        <v>0</v>
      </c>
      <c r="L1877" s="8"/>
      <c r="M1877" s="8"/>
    </row>
    <row r="1878" spans="1:13" x14ac:dyDescent="0.2">
      <c r="A1878" s="17" t="str">
        <f>[1]SUMMARY!A1879</f>
        <v>315</v>
      </c>
      <c r="B1878" s="17">
        <f>[1]SUMMARY!B1879</f>
        <v>80</v>
      </c>
      <c r="C1878" s="17">
        <f>[1]SUMMARY!C1879</f>
        <v>22.5</v>
      </c>
      <c r="D1878" s="25" t="str">
        <f>[1]SUMMARY!D1879</f>
        <v>DURATURN</v>
      </c>
      <c r="E1878" s="25" t="str">
        <f>[1]SUMMARY!E1879</f>
        <v>Y209 RIB</v>
      </c>
      <c r="F1878" s="20"/>
      <c r="G1878" s="20"/>
      <c r="H1878" s="20"/>
      <c r="I1878" s="30">
        <f t="shared" si="19"/>
        <v>0</v>
      </c>
      <c r="J1878" s="22">
        <f>[1]SUMMARY!N1879</f>
        <v>11390.5</v>
      </c>
      <c r="K1878" s="23">
        <f t="shared" si="20"/>
        <v>0</v>
      </c>
      <c r="L1878" s="8"/>
      <c r="M1878" s="8"/>
    </row>
    <row r="1879" spans="1:13" x14ac:dyDescent="0.2">
      <c r="A1879" s="17" t="str">
        <f>[1]SUMMARY!A1880</f>
        <v>315</v>
      </c>
      <c r="B1879" s="17">
        <f>[1]SUMMARY!B1880</f>
        <v>80</v>
      </c>
      <c r="C1879" s="17">
        <f>[1]SUMMARY!C1880</f>
        <v>22.5</v>
      </c>
      <c r="D1879" s="25" t="str">
        <f>[1]SUMMARY!D1880</f>
        <v>DURATURN</v>
      </c>
      <c r="E1879" s="25" t="str">
        <f>[1]SUMMARY!E1880</f>
        <v>Y516 LUG</v>
      </c>
      <c r="F1879" s="20"/>
      <c r="G1879" s="20">
        <v>6</v>
      </c>
      <c r="H1879" s="20">
        <v>6</v>
      </c>
      <c r="I1879" s="30">
        <f t="shared" si="19"/>
        <v>0</v>
      </c>
      <c r="J1879" s="22">
        <f>[1]SUMMARY!N1880</f>
        <v>11599.5</v>
      </c>
      <c r="K1879" s="23">
        <f t="shared" si="20"/>
        <v>0</v>
      </c>
      <c r="L1879" s="8"/>
      <c r="M1879" s="8"/>
    </row>
    <row r="1880" spans="1:13" x14ac:dyDescent="0.2">
      <c r="A1880" s="17" t="str">
        <f>[1]SUMMARY!A1881</f>
        <v>385</v>
      </c>
      <c r="B1880" s="17">
        <f>[1]SUMMARY!B1881</f>
        <v>65</v>
      </c>
      <c r="C1880" s="17">
        <f>[1]SUMMARY!C1881</f>
        <v>22.5</v>
      </c>
      <c r="D1880" s="25" t="str">
        <f>[1]SUMMARY!D1881</f>
        <v>DURATURN</v>
      </c>
      <c r="E1880" s="25" t="str">
        <f>[1]SUMMARY!E1881</f>
        <v>22PR Y603 RIB</v>
      </c>
      <c r="F1880" s="20"/>
      <c r="G1880" s="20"/>
      <c r="H1880" s="20"/>
      <c r="I1880" s="30">
        <f t="shared" si="19"/>
        <v>0</v>
      </c>
      <c r="J1880" s="22">
        <f>[1]SUMMARY!N1881</f>
        <v>13862.4</v>
      </c>
      <c r="K1880" s="23">
        <f t="shared" si="20"/>
        <v>0</v>
      </c>
      <c r="L1880" s="28">
        <f>SUM(K1867:K1880)</f>
        <v>9690</v>
      </c>
      <c r="M1880" s="29" t="s">
        <v>31</v>
      </c>
    </row>
    <row r="1881" spans="1:13" x14ac:dyDescent="0.2">
      <c r="A1881" s="17" t="str">
        <f>[1]SUMMARY!A1882</f>
        <v>7.00</v>
      </c>
      <c r="B1881" s="17">
        <f>[1]SUMMARY!B1882</f>
        <v>0</v>
      </c>
      <c r="C1881" s="17">
        <f>[1]SUMMARY!C1882</f>
        <v>12</v>
      </c>
      <c r="D1881" s="25" t="str">
        <f>[1]SUMMARY!D1882</f>
        <v>EUROGRIP</v>
      </c>
      <c r="E1881" s="25" t="str">
        <f>[1]SUMMARY!E1882</f>
        <v>14PR IT45</v>
      </c>
      <c r="F1881" s="20"/>
      <c r="G1881" s="20"/>
      <c r="H1881" s="20"/>
      <c r="I1881" s="21">
        <f t="shared" si="19"/>
        <v>0</v>
      </c>
      <c r="J1881" s="22">
        <f>[1]SUMMARY!N1882</f>
        <v>15888.6</v>
      </c>
      <c r="K1881" s="23">
        <f t="shared" si="20"/>
        <v>0</v>
      </c>
      <c r="L1881" s="82"/>
      <c r="M1881" s="82"/>
    </row>
    <row r="1882" spans="1:13" x14ac:dyDescent="0.2">
      <c r="A1882" s="17" t="str">
        <f>[1]SUMMARY!A1883</f>
        <v>7.00</v>
      </c>
      <c r="B1882" s="17">
        <f>[1]SUMMARY!B1883</f>
        <v>0</v>
      </c>
      <c r="C1882" s="17">
        <f>[1]SUMMARY!C1883</f>
        <v>12</v>
      </c>
      <c r="D1882" s="25" t="str">
        <f>[1]SUMMARY!D1883</f>
        <v>EUROGRIP</v>
      </c>
      <c r="E1882" s="25" t="str">
        <f>[1]SUMMARY!E1883</f>
        <v>16PR IT30</v>
      </c>
      <c r="F1882" s="20"/>
      <c r="G1882" s="20"/>
      <c r="H1882" s="20"/>
      <c r="I1882" s="21">
        <f t="shared" si="19"/>
        <v>0</v>
      </c>
      <c r="J1882" s="22">
        <f>[1]SUMMARY!N1883</f>
        <v>7153.5</v>
      </c>
      <c r="K1882" s="23">
        <f t="shared" si="20"/>
        <v>0</v>
      </c>
      <c r="L1882" s="33"/>
      <c r="M1882" s="33"/>
    </row>
    <row r="1883" spans="1:13" x14ac:dyDescent="0.2">
      <c r="A1883" s="17" t="str">
        <f>[1]SUMMARY!A1884</f>
        <v>3.00</v>
      </c>
      <c r="B1883" s="17">
        <f>[1]SUMMARY!B1884</f>
        <v>0</v>
      </c>
      <c r="C1883" s="17">
        <f>[1]SUMMARY!C1884</f>
        <v>15</v>
      </c>
      <c r="D1883" s="25" t="str">
        <f>[1]SUMMARY!D1884</f>
        <v>EUROGRIP</v>
      </c>
      <c r="E1883" s="25" t="str">
        <f>[1]SUMMARY!E1884</f>
        <v>20PR IT30</v>
      </c>
      <c r="F1883" s="20"/>
      <c r="G1883" s="20"/>
      <c r="H1883" s="20"/>
      <c r="I1883" s="21">
        <f t="shared" si="19"/>
        <v>0</v>
      </c>
      <c r="J1883" s="22">
        <f>[1]SUMMARY!N1884</f>
        <v>5606.6</v>
      </c>
      <c r="K1883" s="23">
        <f t="shared" si="20"/>
        <v>0</v>
      </c>
      <c r="L1883" s="28">
        <f>SUM(K1881:K1883)</f>
        <v>0</v>
      </c>
      <c r="M1883" s="29" t="s">
        <v>107</v>
      </c>
    </row>
    <row r="1884" spans="1:13" x14ac:dyDescent="0.2">
      <c r="A1884" s="17" t="str">
        <f>[1]SUMMARY!A1885</f>
        <v>225</v>
      </c>
      <c r="B1884" s="17">
        <f>[1]SUMMARY!B1885</f>
        <v>80</v>
      </c>
      <c r="C1884" s="17">
        <f>[1]SUMMARY!C1885</f>
        <v>17.5</v>
      </c>
      <c r="D1884" s="25" t="str">
        <f>[1]SUMMARY!D1885</f>
        <v>FALKEN</v>
      </c>
      <c r="E1884" s="25" t="str">
        <f>[1]SUMMARY!E1885</f>
        <v>G1388</v>
      </c>
      <c r="F1884" s="20"/>
      <c r="G1884" s="20"/>
      <c r="H1884" s="20"/>
      <c r="I1884" s="21">
        <f t="shared" si="19"/>
        <v>0</v>
      </c>
      <c r="J1884" s="22">
        <f>[1]SUMMARY!N1885</f>
        <v>12500</v>
      </c>
      <c r="K1884" s="23">
        <f t="shared" si="20"/>
        <v>0</v>
      </c>
      <c r="L1884" s="28">
        <f>SUM(K1884)</f>
        <v>0</v>
      </c>
      <c r="M1884" s="29" t="s">
        <v>32</v>
      </c>
    </row>
    <row r="1885" spans="1:13" x14ac:dyDescent="0.2">
      <c r="A1885" s="17" t="str">
        <f>[1]SUMMARY!A1886</f>
        <v>5.00</v>
      </c>
      <c r="B1885" s="17">
        <f>[1]SUMMARY!B1886</f>
        <v>0</v>
      </c>
      <c r="C1885" s="17">
        <f>[1]SUMMARY!C1886</f>
        <v>12</v>
      </c>
      <c r="D1885" s="25" t="str">
        <f>[1]SUMMARY!D1886</f>
        <v xml:space="preserve">GAJAH TUNGGAL </v>
      </c>
      <c r="E1885" s="25" t="str">
        <f>[1]SUMMARY!E1886</f>
        <v>8PR MILER</v>
      </c>
      <c r="F1885" s="20"/>
      <c r="G1885" s="20"/>
      <c r="H1885" s="20"/>
      <c r="I1885" s="21">
        <f t="shared" si="19"/>
        <v>0</v>
      </c>
      <c r="J1885" s="22">
        <f>[1]SUMMARY!N1886</f>
        <v>2185</v>
      </c>
      <c r="K1885" s="23">
        <f t="shared" si="20"/>
        <v>0</v>
      </c>
      <c r="L1885" s="8"/>
      <c r="M1885" s="8"/>
    </row>
    <row r="1886" spans="1:13" x14ac:dyDescent="0.2">
      <c r="A1886" s="17" t="str">
        <f>[1]SUMMARY!A1887</f>
        <v>6.40</v>
      </c>
      <c r="B1886" s="17">
        <f>[1]SUMMARY!B1887</f>
        <v>0</v>
      </c>
      <c r="C1886" s="17">
        <f>[1]SUMMARY!C1887</f>
        <v>13</v>
      </c>
      <c r="D1886" s="25" t="str">
        <f>[1]SUMMARY!D1887</f>
        <v xml:space="preserve">GAJAH TUNGGAL </v>
      </c>
      <c r="E1886" s="25" t="str">
        <f>[1]SUMMARY!E1887</f>
        <v>8PR RIB</v>
      </c>
      <c r="F1886" s="20"/>
      <c r="G1886" s="20">
        <v>2</v>
      </c>
      <c r="H1886" s="20">
        <v>2</v>
      </c>
      <c r="I1886" s="21">
        <f t="shared" si="19"/>
        <v>0</v>
      </c>
      <c r="J1886" s="22">
        <f>[1]SUMMARY!N1887</f>
        <v>2688</v>
      </c>
      <c r="K1886" s="23">
        <f t="shared" si="20"/>
        <v>0</v>
      </c>
      <c r="L1886" s="8"/>
      <c r="M1886" s="8"/>
    </row>
    <row r="1887" spans="1:13" x14ac:dyDescent="0.2">
      <c r="A1887" s="17" t="str">
        <f>[1]SUMMARY!A1888</f>
        <v>6.00</v>
      </c>
      <c r="B1887" s="17">
        <f>[1]SUMMARY!B1888</f>
        <v>0</v>
      </c>
      <c r="C1887" s="17">
        <f>[1]SUMMARY!C1888</f>
        <v>14</v>
      </c>
      <c r="D1887" s="25" t="str">
        <f>[1]SUMMARY!D1888</f>
        <v xml:space="preserve">GAJAH TUNGGAL </v>
      </c>
      <c r="E1887" s="25" t="str">
        <f>[1]SUMMARY!E1888</f>
        <v>8PR MILER</v>
      </c>
      <c r="F1887" s="20"/>
      <c r="G1887" s="20">
        <v>2</v>
      </c>
      <c r="H1887" s="20">
        <v>2</v>
      </c>
      <c r="I1887" s="21">
        <f t="shared" si="19"/>
        <v>0</v>
      </c>
      <c r="J1887" s="22">
        <f>[1]SUMMARY!N1888</f>
        <v>3222</v>
      </c>
      <c r="K1887" s="23">
        <f t="shared" si="20"/>
        <v>0</v>
      </c>
      <c r="L1887" s="8"/>
      <c r="M1887" s="8"/>
    </row>
    <row r="1888" spans="1:13" x14ac:dyDescent="0.2">
      <c r="A1888" s="17" t="str">
        <f>[1]SUMMARY!A1889</f>
        <v>6.50</v>
      </c>
      <c r="B1888" s="17">
        <f>[1]SUMMARY!B1889</f>
        <v>0</v>
      </c>
      <c r="C1888" s="17">
        <f>[1]SUMMARY!C1889</f>
        <v>14</v>
      </c>
      <c r="D1888" s="25" t="str">
        <f>[1]SUMMARY!D1889</f>
        <v xml:space="preserve">GAJAH TUNGGAL </v>
      </c>
      <c r="E1888" s="25" t="str">
        <f>[1]SUMMARY!E1889</f>
        <v>8PR RIB</v>
      </c>
      <c r="F1888" s="20"/>
      <c r="G1888" s="20">
        <v>2</v>
      </c>
      <c r="H1888" s="20">
        <v>2</v>
      </c>
      <c r="I1888" s="21">
        <f t="shared" si="19"/>
        <v>0</v>
      </c>
      <c r="J1888" s="22">
        <f>[1]SUMMARY!N1889</f>
        <v>3534</v>
      </c>
      <c r="K1888" s="23">
        <f t="shared" si="20"/>
        <v>0</v>
      </c>
      <c r="L1888" s="8"/>
      <c r="M1888" s="8"/>
    </row>
    <row r="1889" spans="1:13" x14ac:dyDescent="0.2">
      <c r="A1889" s="17" t="str">
        <f>[1]SUMMARY!A1890</f>
        <v>6.50</v>
      </c>
      <c r="B1889" s="17">
        <f>[1]SUMMARY!B1890</f>
        <v>0</v>
      </c>
      <c r="C1889" s="17">
        <f>[1]SUMMARY!C1890</f>
        <v>15</v>
      </c>
      <c r="D1889" s="25" t="str">
        <f>[1]SUMMARY!D1890</f>
        <v xml:space="preserve">GAJAH TUNGGAL </v>
      </c>
      <c r="E1889" s="25" t="str">
        <f>[1]SUMMARY!E1890</f>
        <v>8PR RIB</v>
      </c>
      <c r="F1889" s="20"/>
      <c r="G1889" s="20">
        <v>4</v>
      </c>
      <c r="H1889" s="20">
        <v>4</v>
      </c>
      <c r="I1889" s="21">
        <f t="shared" si="19"/>
        <v>0</v>
      </c>
      <c r="J1889" s="22">
        <f>[1]SUMMARY!N1890</f>
        <v>4560</v>
      </c>
      <c r="K1889" s="23">
        <f t="shared" si="20"/>
        <v>0</v>
      </c>
      <c r="L1889" s="8"/>
      <c r="M1889" s="8"/>
    </row>
    <row r="1890" spans="1:13" x14ac:dyDescent="0.2">
      <c r="A1890" s="17" t="str">
        <f>[1]SUMMARY!A1891</f>
        <v>7.00</v>
      </c>
      <c r="B1890" s="17" t="s">
        <v>108</v>
      </c>
      <c r="C1890" s="17">
        <f>[1]SUMMARY!C1891</f>
        <v>15</v>
      </c>
      <c r="D1890" s="25" t="str">
        <f>[1]SUMMARY!D1891</f>
        <v xml:space="preserve">GAJAH TUNGGAL </v>
      </c>
      <c r="E1890" s="25" t="str">
        <f>[1]SUMMARY!E1891</f>
        <v>10PR RIB</v>
      </c>
      <c r="F1890" s="20"/>
      <c r="G1890" s="20"/>
      <c r="H1890" s="20"/>
      <c r="I1890" s="21">
        <f t="shared" si="19"/>
        <v>0</v>
      </c>
      <c r="J1890" s="22">
        <f>[1]SUMMARY!N1891</f>
        <v>7100</v>
      </c>
      <c r="K1890" s="23">
        <f t="shared" si="20"/>
        <v>0</v>
      </c>
      <c r="L1890" s="8"/>
      <c r="M1890" s="8"/>
    </row>
    <row r="1891" spans="1:13" x14ac:dyDescent="0.2">
      <c r="A1891" s="27" t="str">
        <f>[1]SUMMARY!A1892</f>
        <v>7.00</v>
      </c>
      <c r="B1891" s="17">
        <f>[1]SUMMARY!B1892</f>
        <v>0</v>
      </c>
      <c r="C1891" s="17">
        <f>[1]SUMMARY!C1892</f>
        <v>15</v>
      </c>
      <c r="D1891" s="25" t="str">
        <f>[1]SUMMARY!D1892</f>
        <v xml:space="preserve">GAJAH TUNGGAL </v>
      </c>
      <c r="E1891" s="25" t="str">
        <f>[1]SUMMARY!E1892</f>
        <v>12PR LUG</v>
      </c>
      <c r="F1891" s="20"/>
      <c r="G1891" s="20">
        <v>43</v>
      </c>
      <c r="H1891" s="20">
        <v>43</v>
      </c>
      <c r="I1891" s="21">
        <f t="shared" si="19"/>
        <v>0</v>
      </c>
      <c r="J1891" s="22">
        <f>[1]SUMMARY!N1892</f>
        <v>5760</v>
      </c>
      <c r="K1891" s="23">
        <f t="shared" si="20"/>
        <v>0</v>
      </c>
      <c r="L1891" s="8"/>
      <c r="M1891" s="8"/>
    </row>
    <row r="1892" spans="1:13" x14ac:dyDescent="0.2">
      <c r="A1892" s="17" t="str">
        <f>[1]SUMMARY!A1893</f>
        <v>7.00</v>
      </c>
      <c r="B1892" s="17">
        <f>[1]SUMMARY!B1893</f>
        <v>0</v>
      </c>
      <c r="C1892" s="17">
        <f>[1]SUMMARY!C1893</f>
        <v>15</v>
      </c>
      <c r="D1892" s="25" t="str">
        <f>[1]SUMMARY!D1893</f>
        <v xml:space="preserve">GAJAH TUNGGAL </v>
      </c>
      <c r="E1892" s="25" t="str">
        <f>[1]SUMMARY!E1893</f>
        <v>12PR RIB</v>
      </c>
      <c r="F1892" s="20"/>
      <c r="G1892" s="20">
        <v>117</v>
      </c>
      <c r="H1892" s="20">
        <v>117</v>
      </c>
      <c r="I1892" s="21">
        <f t="shared" si="19"/>
        <v>0</v>
      </c>
      <c r="J1892" s="22">
        <f>[1]SUMMARY!N1893</f>
        <v>5580</v>
      </c>
      <c r="K1892" s="23">
        <f t="shared" si="20"/>
        <v>0</v>
      </c>
      <c r="L1892" s="8"/>
      <c r="M1892" s="8"/>
    </row>
    <row r="1893" spans="1:13" x14ac:dyDescent="0.2">
      <c r="A1893" s="27" t="str">
        <f>[1]SUMMARY!A1894</f>
        <v>7.50</v>
      </c>
      <c r="B1893" s="17">
        <f>[1]SUMMARY!B1894</f>
        <v>0</v>
      </c>
      <c r="C1893" s="17">
        <f>[1]SUMMARY!C1894</f>
        <v>15</v>
      </c>
      <c r="D1893" s="25" t="str">
        <f>[1]SUMMARY!D1894</f>
        <v xml:space="preserve">GAJAH TUNGGAL </v>
      </c>
      <c r="E1893" s="25" t="str">
        <f>[1]SUMMARY!E1894</f>
        <v>12PR LUG</v>
      </c>
      <c r="F1893" s="20"/>
      <c r="G1893" s="20">
        <v>14</v>
      </c>
      <c r="H1893" s="20">
        <v>14</v>
      </c>
      <c r="I1893" s="21">
        <f t="shared" si="19"/>
        <v>0</v>
      </c>
      <c r="J1893" s="22">
        <f>[1]SUMMARY!N1894</f>
        <v>6510</v>
      </c>
      <c r="K1893" s="23">
        <f t="shared" si="20"/>
        <v>0</v>
      </c>
      <c r="L1893" s="8"/>
      <c r="M1893" s="8"/>
    </row>
    <row r="1894" spans="1:13" x14ac:dyDescent="0.2">
      <c r="A1894" s="17" t="str">
        <f>[1]SUMMARY!A1895</f>
        <v>7.50</v>
      </c>
      <c r="B1894" s="17">
        <f>[1]SUMMARY!B1895</f>
        <v>0</v>
      </c>
      <c r="C1894" s="17">
        <f>[1]SUMMARY!C1895</f>
        <v>15</v>
      </c>
      <c r="D1894" s="25" t="str">
        <f>[1]SUMMARY!D1895</f>
        <v xml:space="preserve">GAJAH TUNGGAL </v>
      </c>
      <c r="E1894" s="25" t="str">
        <f>[1]SUMMARY!E1895</f>
        <v xml:space="preserve">12PR MILER </v>
      </c>
      <c r="F1894" s="20"/>
      <c r="G1894" s="20">
        <v>25</v>
      </c>
      <c r="H1894" s="20">
        <v>25</v>
      </c>
      <c r="I1894" s="21">
        <f t="shared" si="19"/>
        <v>0</v>
      </c>
      <c r="J1894" s="22">
        <f>[1]SUMMARY!N1895</f>
        <v>6510</v>
      </c>
      <c r="K1894" s="23">
        <f t="shared" si="20"/>
        <v>0</v>
      </c>
      <c r="L1894" s="8"/>
      <c r="M1894" s="8"/>
    </row>
    <row r="1895" spans="1:13" x14ac:dyDescent="0.2">
      <c r="A1895" s="17" t="str">
        <f>[1]SUMMARY!A1896</f>
        <v>6.50</v>
      </c>
      <c r="B1895" s="17">
        <f>[1]SUMMARY!B1896</f>
        <v>0</v>
      </c>
      <c r="C1895" s="17">
        <f>[1]SUMMARY!C1896</f>
        <v>16</v>
      </c>
      <c r="D1895" s="25" t="str">
        <f>[1]SUMMARY!D1896</f>
        <v xml:space="preserve">GAJAH TUNGGAL </v>
      </c>
      <c r="E1895" s="25" t="str">
        <f>[1]SUMMARY!E1896</f>
        <v>10PR RIB MILER</v>
      </c>
      <c r="F1895" s="20"/>
      <c r="G1895" s="20"/>
      <c r="H1895" s="20"/>
      <c r="I1895" s="21">
        <f t="shared" si="19"/>
        <v>0</v>
      </c>
      <c r="J1895" s="22">
        <f>[1]SUMMARY!N1896</f>
        <v>5320</v>
      </c>
      <c r="K1895" s="23">
        <f t="shared" si="20"/>
        <v>0</v>
      </c>
      <c r="L1895" s="8"/>
      <c r="M1895" s="8"/>
    </row>
    <row r="1896" spans="1:13" x14ac:dyDescent="0.2">
      <c r="A1896" s="17" t="str">
        <f>[1]SUMMARY!A1897</f>
        <v>7.00</v>
      </c>
      <c r="B1896" s="17">
        <f>[1]SUMMARY!B1897</f>
        <v>0</v>
      </c>
      <c r="C1896" s="17">
        <f>[1]SUMMARY!C1897</f>
        <v>16</v>
      </c>
      <c r="D1896" s="25" t="str">
        <f>[1]SUMMARY!D1897</f>
        <v xml:space="preserve">GAJAH TUNGGAL </v>
      </c>
      <c r="E1896" s="25" t="str">
        <f>[1]SUMMARY!E1897</f>
        <v>12PR MILER</v>
      </c>
      <c r="F1896" s="20"/>
      <c r="G1896" s="20">
        <v>32</v>
      </c>
      <c r="H1896" s="20">
        <v>32</v>
      </c>
      <c r="I1896" s="21">
        <f t="shared" si="19"/>
        <v>0</v>
      </c>
      <c r="J1896" s="22">
        <f>[1]SUMMARY!N1897</f>
        <v>6045</v>
      </c>
      <c r="K1896" s="23">
        <f t="shared" si="20"/>
        <v>0</v>
      </c>
      <c r="L1896" s="8"/>
      <c r="M1896" s="8"/>
    </row>
    <row r="1897" spans="1:13" x14ac:dyDescent="0.2">
      <c r="A1897" s="17" t="str">
        <f>[1]SUMMARY!A1898</f>
        <v>7.00</v>
      </c>
      <c r="B1897" s="17">
        <f>[1]SUMMARY!B1898</f>
        <v>0</v>
      </c>
      <c r="C1897" s="17">
        <f>[1]SUMMARY!C1898</f>
        <v>16</v>
      </c>
      <c r="D1897" s="25" t="str">
        <f>[1]SUMMARY!D1898</f>
        <v xml:space="preserve">GAJAH TUNGGAL </v>
      </c>
      <c r="E1897" s="25" t="str">
        <f>[1]SUMMARY!E1898</f>
        <v>12PR LUG</v>
      </c>
      <c r="F1897" s="20"/>
      <c r="G1897" s="20">
        <v>26</v>
      </c>
      <c r="H1897" s="20">
        <v>26</v>
      </c>
      <c r="I1897" s="21">
        <f t="shared" si="19"/>
        <v>0</v>
      </c>
      <c r="J1897" s="22">
        <f>[1]SUMMARY!N1898</f>
        <v>6175</v>
      </c>
      <c r="K1897" s="23">
        <f t="shared" si="20"/>
        <v>0</v>
      </c>
      <c r="L1897" s="8"/>
      <c r="M1897" s="8"/>
    </row>
    <row r="1898" spans="1:13" x14ac:dyDescent="0.2">
      <c r="A1898" s="27" t="str">
        <f>[1]SUMMARY!A1899</f>
        <v>7.50</v>
      </c>
      <c r="B1898" s="17">
        <f>[1]SUMMARY!B1899</f>
        <v>0</v>
      </c>
      <c r="C1898" s="17">
        <f>[1]SUMMARY!C1899</f>
        <v>16</v>
      </c>
      <c r="D1898" s="25" t="str">
        <f>[1]SUMMARY!D1899</f>
        <v xml:space="preserve">GAJAH TUNGGAL </v>
      </c>
      <c r="E1898" s="25" t="str">
        <f>[1]SUMMARY!E1899</f>
        <v>12PR RIB</v>
      </c>
      <c r="F1898" s="20"/>
      <c r="G1898" s="20">
        <v>28</v>
      </c>
      <c r="H1898" s="20">
        <v>28</v>
      </c>
      <c r="I1898" s="21">
        <f t="shared" si="19"/>
        <v>0</v>
      </c>
      <c r="J1898" s="22">
        <f>[1]SUMMARY!N1899</f>
        <v>6840</v>
      </c>
      <c r="K1898" s="23">
        <f t="shared" si="20"/>
        <v>0</v>
      </c>
      <c r="L1898" s="8"/>
      <c r="M1898" s="8"/>
    </row>
    <row r="1899" spans="1:13" x14ac:dyDescent="0.2">
      <c r="A1899" s="27" t="str">
        <f>[1]SUMMARY!A1900</f>
        <v>7.50</v>
      </c>
      <c r="B1899" s="17">
        <f>[1]SUMMARY!B1900</f>
        <v>0</v>
      </c>
      <c r="C1899" s="17">
        <f>[1]SUMMARY!C1900</f>
        <v>16</v>
      </c>
      <c r="D1899" s="25" t="str">
        <f>[1]SUMMARY!D1900</f>
        <v xml:space="preserve">GAJAH TUNGGAL </v>
      </c>
      <c r="E1899" s="25" t="str">
        <f>[1]SUMMARY!E1900</f>
        <v>12PR LUG</v>
      </c>
      <c r="F1899" s="20"/>
      <c r="G1899" s="20"/>
      <c r="H1899" s="20"/>
      <c r="I1899" s="21">
        <f t="shared" si="19"/>
        <v>0</v>
      </c>
      <c r="J1899" s="22">
        <f>[1]SUMMARY!N1900</f>
        <v>5112.5</v>
      </c>
      <c r="K1899" s="23">
        <f t="shared" si="20"/>
        <v>0</v>
      </c>
      <c r="L1899" s="8"/>
      <c r="M1899" s="8"/>
    </row>
    <row r="1900" spans="1:13" x14ac:dyDescent="0.2">
      <c r="A1900" s="17" t="str">
        <f>[1]SUMMARY!A1901</f>
        <v>7.50</v>
      </c>
      <c r="B1900" s="17">
        <f>[1]SUMMARY!B1901</f>
        <v>0</v>
      </c>
      <c r="C1900" s="17">
        <f>[1]SUMMARY!C1901</f>
        <v>16</v>
      </c>
      <c r="D1900" s="25" t="str">
        <f>[1]SUMMARY!D1901</f>
        <v xml:space="preserve">GAJAH TUNGGAL </v>
      </c>
      <c r="E1900" s="25" t="str">
        <f>[1]SUMMARY!E1901</f>
        <v>14PR MILER</v>
      </c>
      <c r="F1900" s="20"/>
      <c r="G1900" s="20">
        <v>10</v>
      </c>
      <c r="H1900" s="20">
        <v>10</v>
      </c>
      <c r="I1900" s="21">
        <f t="shared" si="19"/>
        <v>0</v>
      </c>
      <c r="J1900" s="22">
        <f>[1]SUMMARY!N1901</f>
        <v>6882</v>
      </c>
      <c r="K1900" s="23">
        <f t="shared" si="20"/>
        <v>0</v>
      </c>
      <c r="L1900" s="8"/>
      <c r="M1900" s="8"/>
    </row>
    <row r="1901" spans="1:13" x14ac:dyDescent="0.2">
      <c r="A1901" s="17" t="str">
        <f>[1]SUMMARY!A1902</f>
        <v>7.50</v>
      </c>
      <c r="B1901" s="17">
        <f>[1]SUMMARY!B1902</f>
        <v>0</v>
      </c>
      <c r="C1901" s="17">
        <f>[1]SUMMARY!C1902</f>
        <v>16</v>
      </c>
      <c r="D1901" s="25" t="str">
        <f>[1]SUMMARY!D1902</f>
        <v xml:space="preserve">GAJAH TUNGGAL </v>
      </c>
      <c r="E1901" s="25" t="str">
        <f>[1]SUMMARY!E1902</f>
        <v>14PR LUG</v>
      </c>
      <c r="F1901" s="20"/>
      <c r="G1901" s="20">
        <v>4</v>
      </c>
      <c r="H1901" s="20">
        <v>4</v>
      </c>
      <c r="I1901" s="21">
        <f t="shared" si="19"/>
        <v>0</v>
      </c>
      <c r="J1901" s="22">
        <f>[1]SUMMARY!N1902</f>
        <v>6882</v>
      </c>
      <c r="K1901" s="23">
        <f t="shared" si="20"/>
        <v>0</v>
      </c>
      <c r="L1901" s="8"/>
      <c r="M1901" s="8"/>
    </row>
    <row r="1902" spans="1:13" x14ac:dyDescent="0.2">
      <c r="A1902" s="17" t="str">
        <f>[1]SUMMARY!A1903</f>
        <v>8.25</v>
      </c>
      <c r="B1902" s="17">
        <f>[1]SUMMARY!B1903</f>
        <v>0</v>
      </c>
      <c r="C1902" s="17">
        <f>[1]SUMMARY!C1903</f>
        <v>16</v>
      </c>
      <c r="D1902" s="25" t="str">
        <f>[1]SUMMARY!D1903</f>
        <v xml:space="preserve">GAJAH TUNGGAL </v>
      </c>
      <c r="E1902" s="25" t="str">
        <f>[1]SUMMARY!E1903</f>
        <v>12P LUG</v>
      </c>
      <c r="F1902" s="20"/>
      <c r="G1902" s="20"/>
      <c r="H1902" s="20"/>
      <c r="I1902" s="21">
        <f t="shared" si="19"/>
        <v>0</v>
      </c>
      <c r="J1902" s="22">
        <f>[1]SUMMARY!N1903</f>
        <v>9120</v>
      </c>
      <c r="K1902" s="23">
        <f t="shared" si="20"/>
        <v>0</v>
      </c>
      <c r="L1902" s="8"/>
      <c r="M1902" s="8"/>
    </row>
    <row r="1903" spans="1:13" x14ac:dyDescent="0.2">
      <c r="A1903" s="17" t="str">
        <f>[1]SUMMARY!A1904</f>
        <v>8.25</v>
      </c>
      <c r="B1903" s="17">
        <f>[1]SUMMARY!B1904</f>
        <v>0</v>
      </c>
      <c r="C1903" s="17">
        <f>[1]SUMMARY!C1904</f>
        <v>16</v>
      </c>
      <c r="D1903" s="25" t="str">
        <f>[1]SUMMARY!D1904</f>
        <v xml:space="preserve">GAJAH TUNGGAL </v>
      </c>
      <c r="E1903" s="25" t="str">
        <f>[1]SUMMARY!E1904</f>
        <v>14PR RIB</v>
      </c>
      <c r="F1903" s="20"/>
      <c r="G1903" s="20"/>
      <c r="H1903" s="20"/>
      <c r="I1903" s="21">
        <f t="shared" si="19"/>
        <v>0</v>
      </c>
      <c r="J1903" s="22">
        <f>[1]SUMMARY!N1904</f>
        <v>8500</v>
      </c>
      <c r="K1903" s="23">
        <f t="shared" si="20"/>
        <v>0</v>
      </c>
      <c r="L1903" s="8"/>
      <c r="M1903" s="8"/>
    </row>
    <row r="1904" spans="1:13" x14ac:dyDescent="0.2">
      <c r="A1904" s="17" t="str">
        <f>[1]SUMMARY!A1905</f>
        <v>8.25</v>
      </c>
      <c r="B1904" s="17">
        <f>[1]SUMMARY!B1905</f>
        <v>0</v>
      </c>
      <c r="C1904" s="17">
        <f>[1]SUMMARY!C1905</f>
        <v>16</v>
      </c>
      <c r="D1904" s="25" t="str">
        <f>[1]SUMMARY!D1905</f>
        <v xml:space="preserve">GAJAH TUNGGAL </v>
      </c>
      <c r="E1904" s="25" t="str">
        <f>[1]SUMMARY!E1905</f>
        <v>14PR LUG</v>
      </c>
      <c r="F1904" s="20"/>
      <c r="G1904" s="20"/>
      <c r="H1904" s="20"/>
      <c r="I1904" s="21">
        <f t="shared" si="19"/>
        <v>0</v>
      </c>
      <c r="J1904" s="22">
        <f>[1]SUMMARY!N1905</f>
        <v>8500</v>
      </c>
      <c r="K1904" s="23">
        <f t="shared" si="20"/>
        <v>0</v>
      </c>
      <c r="L1904" s="8"/>
      <c r="M1904" s="8"/>
    </row>
    <row r="1905" spans="1:13" x14ac:dyDescent="0.2">
      <c r="A1905" s="17" t="str">
        <f>[1]SUMMARY!A1906</f>
        <v>8.25</v>
      </c>
      <c r="B1905" s="17">
        <f>[1]SUMMARY!B1906</f>
        <v>0</v>
      </c>
      <c r="C1905" s="17">
        <f>[1]SUMMARY!C1906</f>
        <v>20</v>
      </c>
      <c r="D1905" s="25" t="str">
        <f>[1]SUMMARY!D1906</f>
        <v xml:space="preserve">GAJAH TUNGGAL </v>
      </c>
      <c r="E1905" s="25" t="str">
        <f>[1]SUMMARY!E1906</f>
        <v>14PR RIB</v>
      </c>
      <c r="F1905" s="20"/>
      <c r="G1905" s="20"/>
      <c r="H1905" s="20"/>
      <c r="I1905" s="21">
        <f t="shared" si="19"/>
        <v>0</v>
      </c>
      <c r="J1905" s="22">
        <f>[1]SUMMARY!N1906</f>
        <v>10755</v>
      </c>
      <c r="K1905" s="23">
        <f t="shared" si="20"/>
        <v>0</v>
      </c>
      <c r="L1905" s="8"/>
      <c r="M1905" s="8"/>
    </row>
    <row r="1906" spans="1:13" x14ac:dyDescent="0.2">
      <c r="A1906" s="17" t="str">
        <f>[1]SUMMARY!A1907</f>
        <v>8.25</v>
      </c>
      <c r="B1906" s="17">
        <f>[1]SUMMARY!B1907</f>
        <v>0</v>
      </c>
      <c r="C1906" s="17">
        <f>[1]SUMMARY!C1907</f>
        <v>20</v>
      </c>
      <c r="D1906" s="25" t="str">
        <f>[1]SUMMARY!D1907</f>
        <v xml:space="preserve">GAJAH TUNGGAL </v>
      </c>
      <c r="E1906" s="25" t="str">
        <f>[1]SUMMARY!E1907</f>
        <v>14PR LUG</v>
      </c>
      <c r="F1906" s="20"/>
      <c r="G1906" s="20"/>
      <c r="H1906" s="20"/>
      <c r="I1906" s="21">
        <f t="shared" si="19"/>
        <v>0</v>
      </c>
      <c r="J1906" s="22">
        <f>[1]SUMMARY!N1907</f>
        <v>10200</v>
      </c>
      <c r="K1906" s="23">
        <f t="shared" si="20"/>
        <v>0</v>
      </c>
      <c r="L1906" s="8"/>
      <c r="M1906" s="8"/>
    </row>
    <row r="1907" spans="1:13" x14ac:dyDescent="0.2">
      <c r="A1907" s="17" t="str">
        <f>[1]SUMMARY!A1908</f>
        <v>9.00</v>
      </c>
      <c r="B1907" s="17">
        <f>[1]SUMMARY!B1908</f>
        <v>0</v>
      </c>
      <c r="C1907" s="17">
        <f>[1]SUMMARY!C1908</f>
        <v>20</v>
      </c>
      <c r="D1907" s="25" t="str">
        <f>[1]SUMMARY!D1908</f>
        <v xml:space="preserve">GAJAH TUNGGAL </v>
      </c>
      <c r="E1907" s="25" t="str">
        <f>[1]SUMMARY!E1908</f>
        <v>14PR RIB</v>
      </c>
      <c r="F1907" s="20"/>
      <c r="G1907" s="20">
        <v>10</v>
      </c>
      <c r="H1907" s="20">
        <v>10</v>
      </c>
      <c r="I1907" s="21">
        <f t="shared" si="19"/>
        <v>0</v>
      </c>
      <c r="J1907" s="22">
        <f>[1]SUMMARY!N1908</f>
        <v>10857</v>
      </c>
      <c r="K1907" s="23">
        <f t="shared" si="20"/>
        <v>0</v>
      </c>
      <c r="L1907" s="8"/>
      <c r="M1907" s="8"/>
    </row>
    <row r="1908" spans="1:13" x14ac:dyDescent="0.2">
      <c r="A1908" s="17" t="str">
        <f>[1]SUMMARY!A1909</f>
        <v>9.00</v>
      </c>
      <c r="B1908" s="17">
        <f>[1]SUMMARY!B1909</f>
        <v>0</v>
      </c>
      <c r="C1908" s="17">
        <f>[1]SUMMARY!C1909</f>
        <v>20</v>
      </c>
      <c r="D1908" s="25" t="str">
        <f>[1]SUMMARY!D1909</f>
        <v xml:space="preserve">GAJAH TUNGGAL </v>
      </c>
      <c r="E1908" s="25" t="str">
        <f>[1]SUMMARY!E1909</f>
        <v>14PR LUG</v>
      </c>
      <c r="F1908" s="20"/>
      <c r="G1908" s="20">
        <v>10</v>
      </c>
      <c r="H1908" s="20">
        <v>10</v>
      </c>
      <c r="I1908" s="21">
        <f t="shared" si="19"/>
        <v>0</v>
      </c>
      <c r="J1908" s="22">
        <f>[1]SUMMARY!N1909</f>
        <v>11902</v>
      </c>
      <c r="K1908" s="23">
        <f t="shared" si="20"/>
        <v>0</v>
      </c>
      <c r="L1908" s="8"/>
      <c r="M1908" s="8"/>
    </row>
    <row r="1909" spans="1:13" x14ac:dyDescent="0.2">
      <c r="A1909" s="17" t="str">
        <f>[1]SUMMARY!A1910</f>
        <v>10.00</v>
      </c>
      <c r="B1909" s="17">
        <f>[1]SUMMARY!B1910</f>
        <v>0</v>
      </c>
      <c r="C1909" s="17">
        <f>[1]SUMMARY!C1910</f>
        <v>20</v>
      </c>
      <c r="D1909" s="25" t="str">
        <f>[1]SUMMARY!D1910</f>
        <v xml:space="preserve">GAJAH TUNGGAL </v>
      </c>
      <c r="E1909" s="25" t="str">
        <f>[1]SUMMARY!E1910</f>
        <v>16PR RIB</v>
      </c>
      <c r="F1909" s="20"/>
      <c r="G1909" s="20">
        <v>4</v>
      </c>
      <c r="H1909" s="20">
        <v>4</v>
      </c>
      <c r="I1909" s="21">
        <f t="shared" si="19"/>
        <v>0</v>
      </c>
      <c r="J1909" s="22">
        <f>[1]SUMMARY!N1910</f>
        <v>12173</v>
      </c>
      <c r="K1909" s="23">
        <f t="shared" si="20"/>
        <v>0</v>
      </c>
      <c r="L1909" s="8"/>
      <c r="M1909" s="8"/>
    </row>
    <row r="1910" spans="1:13" x14ac:dyDescent="0.2">
      <c r="A1910" s="17" t="str">
        <f>[1]SUMMARY!A1911</f>
        <v>10.00</v>
      </c>
      <c r="B1910" s="17">
        <f>[1]SUMMARY!B1911</f>
        <v>0</v>
      </c>
      <c r="C1910" s="17">
        <f>[1]SUMMARY!C1911</f>
        <v>20</v>
      </c>
      <c r="D1910" s="25" t="str">
        <f>[1]SUMMARY!D1911</f>
        <v xml:space="preserve">GAJAH TUNGGAL </v>
      </c>
      <c r="E1910" s="25" t="str">
        <f>[1]SUMMARY!E1911</f>
        <v>16PR LUG</v>
      </c>
      <c r="F1910" s="20"/>
      <c r="G1910" s="20">
        <v>4</v>
      </c>
      <c r="H1910" s="20">
        <v>4</v>
      </c>
      <c r="I1910" s="21">
        <f t="shared" si="19"/>
        <v>0</v>
      </c>
      <c r="J1910" s="22">
        <f>[1]SUMMARY!N1911</f>
        <v>12314</v>
      </c>
      <c r="K1910" s="23">
        <f t="shared" si="20"/>
        <v>0</v>
      </c>
      <c r="L1910" s="8"/>
      <c r="M1910" s="8"/>
    </row>
    <row r="1911" spans="1:13" x14ac:dyDescent="0.2">
      <c r="A1911" s="17" t="str">
        <f>[1]SUMMARY!A1912</f>
        <v>11.00</v>
      </c>
      <c r="B1911" s="17">
        <f>[1]SUMMARY!B1912</f>
        <v>0</v>
      </c>
      <c r="C1911" s="17">
        <f>[1]SUMMARY!C1912</f>
        <v>20</v>
      </c>
      <c r="D1911" s="25" t="str">
        <f>[1]SUMMARY!D1912</f>
        <v xml:space="preserve">GAJAH TUNGGAL </v>
      </c>
      <c r="E1911" s="25" t="str">
        <f>[1]SUMMARY!E1912</f>
        <v>16P LUG</v>
      </c>
      <c r="F1911" s="20"/>
      <c r="G1911" s="20"/>
      <c r="H1911" s="20"/>
      <c r="I1911" s="21">
        <f t="shared" si="19"/>
        <v>0</v>
      </c>
      <c r="J1911" s="22">
        <f>[1]SUMMARY!N1912</f>
        <v>18816</v>
      </c>
      <c r="K1911" s="23">
        <f t="shared" si="20"/>
        <v>0</v>
      </c>
      <c r="L1911" s="28">
        <f>SUM(K1885:K1911)</f>
        <v>0</v>
      </c>
      <c r="M1911" s="29" t="s">
        <v>36</v>
      </c>
    </row>
    <row r="1912" spans="1:13" x14ac:dyDescent="0.2">
      <c r="A1912" s="17" t="str">
        <f>[1]SUMMARY!A1913</f>
        <v>7.00</v>
      </c>
      <c r="B1912" s="17">
        <f>[1]SUMMARY!B1913</f>
        <v>0</v>
      </c>
      <c r="C1912" s="17">
        <f>[1]SUMMARY!C1913</f>
        <v>15</v>
      </c>
      <c r="D1912" s="25" t="str">
        <f>[1]SUMMARY!D1913</f>
        <v xml:space="preserve">GT RADIAL </v>
      </c>
      <c r="E1912" s="25" t="str">
        <f>[1]SUMMARY!E1913</f>
        <v>10PR RIB</v>
      </c>
      <c r="F1912" s="20"/>
      <c r="G1912" s="20"/>
      <c r="H1912" s="20"/>
      <c r="I1912" s="21">
        <f t="shared" si="19"/>
        <v>0</v>
      </c>
      <c r="J1912" s="22">
        <f>[1]SUMMARY!N1913</f>
        <v>7100</v>
      </c>
      <c r="K1912" s="23">
        <f t="shared" si="20"/>
        <v>0</v>
      </c>
      <c r="L1912" s="8"/>
      <c r="M1912" s="8"/>
    </row>
    <row r="1913" spans="1:13" x14ac:dyDescent="0.2">
      <c r="A1913" s="17" t="str">
        <f>[1]SUMMARY!A1914</f>
        <v>245</v>
      </c>
      <c r="B1913" s="17">
        <f>[1]SUMMARY!B1914</f>
        <v>70</v>
      </c>
      <c r="C1913" s="17">
        <f>[1]SUMMARY!C1914</f>
        <v>19.5</v>
      </c>
      <c r="D1913" s="25" t="str">
        <f>[1]SUMMARY!D1914</f>
        <v xml:space="preserve">GT RADIAL </v>
      </c>
      <c r="E1913" s="25" t="str">
        <f>[1]SUMMARY!E1914</f>
        <v>GSR225</v>
      </c>
      <c r="F1913" s="20"/>
      <c r="G1913" s="20"/>
      <c r="H1913" s="20"/>
      <c r="I1913" s="21">
        <f t="shared" si="19"/>
        <v>0</v>
      </c>
      <c r="J1913" s="22">
        <f>[1]SUMMARY!N1914</f>
        <v>10656</v>
      </c>
      <c r="K1913" s="23">
        <f t="shared" si="20"/>
        <v>0</v>
      </c>
      <c r="L1913" s="28">
        <f>SUM(K1912:K1913)</f>
        <v>0</v>
      </c>
      <c r="M1913" s="29" t="s">
        <v>109</v>
      </c>
    </row>
    <row r="1914" spans="1:13" x14ac:dyDescent="0.2">
      <c r="A1914" s="17" t="str">
        <f>[1]SUMMARY!A1915</f>
        <v>205</v>
      </c>
      <c r="B1914" s="17">
        <f>[1]SUMMARY!B1915</f>
        <v>85</v>
      </c>
      <c r="C1914" s="17">
        <f>[1]SUMMARY!C1915</f>
        <v>16</v>
      </c>
      <c r="D1914" s="25" t="str">
        <f>[1]SUMMARY!D1915</f>
        <v>GITI</v>
      </c>
      <c r="E1914" s="25" t="str">
        <f>[1]SUMMARY!E1915</f>
        <v>GSR 235</v>
      </c>
      <c r="F1914" s="20"/>
      <c r="G1914" s="20"/>
      <c r="H1914" s="20"/>
      <c r="I1914" s="21">
        <f t="shared" si="19"/>
        <v>0</v>
      </c>
      <c r="J1914" s="22">
        <f>[1]SUMMARY!N1915</f>
        <v>6095</v>
      </c>
      <c r="K1914" s="23">
        <f t="shared" si="20"/>
        <v>0</v>
      </c>
      <c r="L1914" s="8"/>
      <c r="M1914" s="8"/>
    </row>
    <row r="1915" spans="1:13" x14ac:dyDescent="0.2">
      <c r="A1915" s="17" t="str">
        <f>[1]SUMMARY!A1916</f>
        <v>235</v>
      </c>
      <c r="B1915" s="17">
        <f>[1]SUMMARY!B1916</f>
        <v>75</v>
      </c>
      <c r="C1915" s="17">
        <f>[1]SUMMARY!C1916</f>
        <v>17.5</v>
      </c>
      <c r="D1915" s="25" t="str">
        <f>[1]SUMMARY!D1916</f>
        <v>GITI</v>
      </c>
      <c r="E1915" s="25" t="str">
        <f>[1]SUMMARY!E1916</f>
        <v>GAR820</v>
      </c>
      <c r="F1915" s="20"/>
      <c r="G1915" s="20"/>
      <c r="H1915" s="20"/>
      <c r="I1915" s="21">
        <f t="shared" si="19"/>
        <v>0</v>
      </c>
      <c r="J1915" s="22">
        <f>[1]SUMMARY!N1916</f>
        <v>8900</v>
      </c>
      <c r="K1915" s="23">
        <f t="shared" si="20"/>
        <v>0</v>
      </c>
      <c r="L1915" s="8"/>
      <c r="M1915" s="8"/>
    </row>
    <row r="1916" spans="1:13" x14ac:dyDescent="0.2">
      <c r="A1916" s="17" t="str">
        <f>[1]SUMMARY!A1917</f>
        <v>255</v>
      </c>
      <c r="B1916" s="17">
        <f>[1]SUMMARY!B1917</f>
        <v>70</v>
      </c>
      <c r="C1916" s="17" t="str">
        <f>[1]SUMMARY!C1917</f>
        <v>R22.5</v>
      </c>
      <c r="D1916" s="25" t="str">
        <f>[1]SUMMARY!D1917</f>
        <v>GITI</v>
      </c>
      <c r="E1916" s="25" t="str">
        <f>[1]SUMMARY!E1917</f>
        <v>GAL817</v>
      </c>
      <c r="F1916" s="20"/>
      <c r="G1916" s="20"/>
      <c r="H1916" s="20"/>
      <c r="I1916" s="21">
        <f t="shared" si="19"/>
        <v>0</v>
      </c>
      <c r="J1916" s="22">
        <f>[1]SUMMARY!N1917</f>
        <v>12500</v>
      </c>
      <c r="K1916" s="23">
        <f t="shared" si="20"/>
        <v>0</v>
      </c>
      <c r="L1916" s="28">
        <f>SUM(K1915:K1916)</f>
        <v>0</v>
      </c>
      <c r="M1916" s="29" t="s">
        <v>110</v>
      </c>
    </row>
    <row r="1917" spans="1:13" x14ac:dyDescent="0.2">
      <c r="A1917" s="17" t="str">
        <f>[1]SUMMARY!A1918</f>
        <v>9</v>
      </c>
      <c r="B1917" s="17">
        <f>[1]SUMMARY!B1918</f>
        <v>0</v>
      </c>
      <c r="C1917" s="17">
        <f>[1]SUMMARY!C1918</f>
        <v>14.5</v>
      </c>
      <c r="D1917" s="25" t="str">
        <f>[1]SUMMARY!D1918</f>
        <v>GALAXY (INDIA)</v>
      </c>
      <c r="E1917" s="25" t="str">
        <f>[1]SUMMARY!E1918</f>
        <v>TRAILER SPECIAL</v>
      </c>
      <c r="F1917" s="20"/>
      <c r="G1917" s="20"/>
      <c r="H1917" s="20"/>
      <c r="I1917" s="21">
        <f t="shared" si="19"/>
        <v>0</v>
      </c>
      <c r="J1917" s="22">
        <f>[1]SUMMARY!N1918</f>
        <v>8506.9</v>
      </c>
      <c r="K1917" s="23">
        <f t="shared" si="20"/>
        <v>0</v>
      </c>
      <c r="L1917" s="28">
        <f>SUM(K1917)</f>
        <v>0</v>
      </c>
      <c r="M1917" s="29" t="s">
        <v>111</v>
      </c>
    </row>
    <row r="1918" spans="1:13" x14ac:dyDescent="0.2">
      <c r="A1918" s="17" t="str">
        <f>[1]SUMMARY!A1919</f>
        <v>7.00</v>
      </c>
      <c r="B1918" s="17">
        <f>[1]SUMMARY!B1919</f>
        <v>0</v>
      </c>
      <c r="C1918" s="17">
        <f>[1]SUMMARY!C1919</f>
        <v>16</v>
      </c>
      <c r="D1918" s="25" t="str">
        <f>[1]SUMMARY!D1919</f>
        <v>GOODTYRE</v>
      </c>
      <c r="E1918" s="25" t="str">
        <f>[1]SUMMARY!E1919</f>
        <v>YB268 MIX 14PR</v>
      </c>
      <c r="F1918" s="20"/>
      <c r="G1918" s="20"/>
      <c r="H1918" s="20"/>
      <c r="I1918" s="21">
        <f t="shared" si="19"/>
        <v>0</v>
      </c>
      <c r="J1918" s="22">
        <f>[1]SUMMARY!N1919</f>
        <v>4754</v>
      </c>
      <c r="K1918" s="23">
        <f t="shared" si="20"/>
        <v>0</v>
      </c>
      <c r="L1918" s="8"/>
      <c r="M1918" s="8"/>
    </row>
    <row r="1919" spans="1:13" x14ac:dyDescent="0.2">
      <c r="A1919" s="17" t="str">
        <f>[1]SUMMARY!A1920</f>
        <v>10.00</v>
      </c>
      <c r="B1919" s="17">
        <f>[1]SUMMARY!B1920</f>
        <v>0</v>
      </c>
      <c r="C1919" s="17" t="str">
        <f>[1]SUMMARY!C1920</f>
        <v>R20</v>
      </c>
      <c r="D1919" s="25" t="str">
        <f>[1]SUMMARY!D1920</f>
        <v>GOODTYRE</v>
      </c>
      <c r="E1919" s="25" t="str">
        <f>[1]SUMMARY!E1920</f>
        <v>YB268 MIX 18PR</v>
      </c>
      <c r="F1919" s="20"/>
      <c r="G1919" s="20">
        <v>4</v>
      </c>
      <c r="H1919" s="20">
        <v>4</v>
      </c>
      <c r="I1919" s="21">
        <f t="shared" si="19"/>
        <v>0</v>
      </c>
      <c r="J1919" s="22">
        <f>[1]SUMMARY!N1920</f>
        <v>10693</v>
      </c>
      <c r="K1919" s="23">
        <f t="shared" si="20"/>
        <v>0</v>
      </c>
      <c r="L1919" s="8"/>
      <c r="M1919" s="8"/>
    </row>
    <row r="1920" spans="1:13" x14ac:dyDescent="0.2">
      <c r="A1920" s="17" t="str">
        <f>[1]SUMMARY!A1921</f>
        <v>11</v>
      </c>
      <c r="B1920" s="17">
        <f>[1]SUMMARY!B1921</f>
        <v>0</v>
      </c>
      <c r="C1920" s="17" t="str">
        <f>[1]SUMMARY!C1921</f>
        <v>R22.5</v>
      </c>
      <c r="D1920" s="25" t="str">
        <f>[1]SUMMARY!D1921</f>
        <v>GOODTYRE</v>
      </c>
      <c r="E1920" s="25" t="str">
        <f>[1]SUMMARY!E1921</f>
        <v>16PR GT298 RIB</v>
      </c>
      <c r="F1920" s="20"/>
      <c r="G1920" s="20">
        <v>6</v>
      </c>
      <c r="H1920" s="20">
        <v>6</v>
      </c>
      <c r="I1920" s="21">
        <f t="shared" si="19"/>
        <v>0</v>
      </c>
      <c r="J1920" s="22">
        <f>[1]SUMMARY!N1921</f>
        <v>9900</v>
      </c>
      <c r="K1920" s="23">
        <f t="shared" si="20"/>
        <v>0</v>
      </c>
      <c r="L1920" s="28">
        <f>SUM(K1918:K1920)</f>
        <v>0</v>
      </c>
      <c r="M1920" s="29" t="s">
        <v>112</v>
      </c>
    </row>
    <row r="1921" spans="1:13" x14ac:dyDescent="0.2">
      <c r="A1921" s="27" t="str">
        <f>[1]SUMMARY!A1922</f>
        <v>7.50</v>
      </c>
      <c r="B1921" s="17">
        <f>[1]SUMMARY!B1922</f>
        <v>0</v>
      </c>
      <c r="C1921" s="17">
        <f>[1]SUMMARY!C1922</f>
        <v>14</v>
      </c>
      <c r="D1921" s="25" t="str">
        <f>[1]SUMMARY!D1922</f>
        <v>GOODYEAR</v>
      </c>
      <c r="E1921" s="25" t="str">
        <f>[1]SUMMARY!E1922</f>
        <v>8PR G2020 RIB</v>
      </c>
      <c r="F1921" s="20"/>
      <c r="G1921" s="20">
        <v>6</v>
      </c>
      <c r="H1921" s="20">
        <v>6</v>
      </c>
      <c r="I1921" s="30">
        <f t="shared" si="19"/>
        <v>0</v>
      </c>
      <c r="J1921" s="22">
        <f>[1]SUMMARY!N1922</f>
        <v>4029</v>
      </c>
      <c r="K1921" s="23">
        <f t="shared" si="20"/>
        <v>0</v>
      </c>
      <c r="L1921" s="8"/>
      <c r="M1921" s="8"/>
    </row>
    <row r="1922" spans="1:13" x14ac:dyDescent="0.2">
      <c r="A1922" s="17" t="str">
        <f>[1]SUMMARY!A1923</f>
        <v>7.00</v>
      </c>
      <c r="B1922" s="17">
        <f>[1]SUMMARY!B1923</f>
        <v>0</v>
      </c>
      <c r="C1922" s="17">
        <f>[1]SUMMARY!C1923</f>
        <v>15</v>
      </c>
      <c r="D1922" s="25" t="str">
        <f>[1]SUMMARY!D1923</f>
        <v>GOODYEAR</v>
      </c>
      <c r="E1922" s="25" t="str">
        <f>[1]SUMMARY!E1923</f>
        <v>12PR HMG2020 RIB</v>
      </c>
      <c r="F1922" s="20"/>
      <c r="G1922" s="20">
        <v>19</v>
      </c>
      <c r="H1922" s="20">
        <v>19</v>
      </c>
      <c r="I1922" s="30">
        <f t="shared" si="19"/>
        <v>0</v>
      </c>
      <c r="J1922" s="22">
        <f>[1]SUMMARY!N1923</f>
        <v>7061</v>
      </c>
      <c r="K1922" s="23">
        <f t="shared" si="20"/>
        <v>0</v>
      </c>
      <c r="L1922" s="8"/>
      <c r="M1922" s="8"/>
    </row>
    <row r="1923" spans="1:13" x14ac:dyDescent="0.2">
      <c r="A1923" s="17" t="str">
        <f>[1]SUMMARY!A1924</f>
        <v>7.50</v>
      </c>
      <c r="B1923" s="17">
        <f>[1]SUMMARY!B1924</f>
        <v>0</v>
      </c>
      <c r="C1923" s="17">
        <f>[1]SUMMARY!C1924</f>
        <v>15</v>
      </c>
      <c r="D1923" s="25" t="str">
        <f>[1]SUMMARY!D1924</f>
        <v>GOODYEAR</v>
      </c>
      <c r="E1923" s="25" t="str">
        <f>[1]SUMMARY!E1924</f>
        <v>12PR HMG2020 RIB</v>
      </c>
      <c r="F1923" s="20"/>
      <c r="G1923" s="20">
        <v>9</v>
      </c>
      <c r="H1923" s="20">
        <v>9</v>
      </c>
      <c r="I1923" s="30">
        <f t="shared" si="19"/>
        <v>0</v>
      </c>
      <c r="J1923" s="22">
        <f>[1]SUMMARY!N1924</f>
        <v>8195</v>
      </c>
      <c r="K1923" s="23">
        <f t="shared" si="20"/>
        <v>0</v>
      </c>
      <c r="L1923" s="8"/>
      <c r="M1923" s="8"/>
    </row>
    <row r="1924" spans="1:13" x14ac:dyDescent="0.2">
      <c r="A1924" s="17" t="str">
        <f>[1]SUMMARY!A1925</f>
        <v>7.50</v>
      </c>
      <c r="B1924" s="17">
        <f>[1]SUMMARY!B1925</f>
        <v>0</v>
      </c>
      <c r="C1924" s="17">
        <f>[1]SUMMARY!C1925</f>
        <v>15</v>
      </c>
      <c r="D1924" s="25" t="str">
        <f>[1]SUMMARY!D1925</f>
        <v>GOODYEAR</v>
      </c>
      <c r="E1924" s="25" t="str">
        <f>[1]SUMMARY!E1925</f>
        <v>14PR HMG2020</v>
      </c>
      <c r="F1924" s="20"/>
      <c r="G1924" s="20">
        <v>16</v>
      </c>
      <c r="H1924" s="20">
        <v>16</v>
      </c>
      <c r="I1924" s="30">
        <f t="shared" si="19"/>
        <v>0</v>
      </c>
      <c r="J1924" s="22">
        <f>[1]SUMMARY!N1925</f>
        <v>8645.49</v>
      </c>
      <c r="K1924" s="23">
        <f t="shared" si="20"/>
        <v>0</v>
      </c>
      <c r="L1924" s="8"/>
      <c r="M1924" s="8"/>
    </row>
    <row r="1925" spans="1:13" x14ac:dyDescent="0.2">
      <c r="A1925" s="17" t="str">
        <f>[1]SUMMARY!A1926</f>
        <v>7.00</v>
      </c>
      <c r="B1925" s="17">
        <f>[1]SUMMARY!B1926</f>
        <v>0</v>
      </c>
      <c r="C1925" s="17">
        <f>[1]SUMMARY!C1926</f>
        <v>16</v>
      </c>
      <c r="D1925" s="25" t="str">
        <f>[1]SUMMARY!D1926</f>
        <v>GOODYEAR</v>
      </c>
      <c r="E1925" s="25" t="str">
        <f>[1]SUMMARY!E1926</f>
        <v>12PR HG2020</v>
      </c>
      <c r="F1925" s="20"/>
      <c r="G1925" s="20">
        <v>2</v>
      </c>
      <c r="H1925" s="20">
        <v>2</v>
      </c>
      <c r="I1925" s="30">
        <f t="shared" si="19"/>
        <v>0</v>
      </c>
      <c r="J1925" s="22">
        <f>[1]SUMMARY!N1926</f>
        <v>8349</v>
      </c>
      <c r="K1925" s="23">
        <f t="shared" si="20"/>
        <v>0</v>
      </c>
      <c r="L1925" s="8"/>
      <c r="M1925" s="8"/>
    </row>
    <row r="1926" spans="1:13" x14ac:dyDescent="0.2">
      <c r="A1926" s="17" t="str">
        <f>[1]SUMMARY!A1927</f>
        <v>7.00</v>
      </c>
      <c r="B1926" s="17">
        <f>[1]SUMMARY!B1927</f>
        <v>0</v>
      </c>
      <c r="C1926" s="17">
        <f>[1]SUMMARY!C1927</f>
        <v>16</v>
      </c>
      <c r="D1926" s="25" t="str">
        <f>[1]SUMMARY!D1927</f>
        <v>GOODYEAR</v>
      </c>
      <c r="E1926" s="25" t="str">
        <f>[1]SUMMARY!E1927</f>
        <v>14PR HMG2020</v>
      </c>
      <c r="F1926" s="20"/>
      <c r="G1926" s="20">
        <v>4</v>
      </c>
      <c r="H1926" s="20">
        <v>4</v>
      </c>
      <c r="I1926" s="30">
        <f t="shared" si="19"/>
        <v>0</v>
      </c>
      <c r="J1926" s="22">
        <f>[1]SUMMARY!N1927</f>
        <v>8349</v>
      </c>
      <c r="K1926" s="23">
        <f t="shared" si="20"/>
        <v>0</v>
      </c>
      <c r="L1926" s="8"/>
      <c r="M1926" s="8"/>
    </row>
    <row r="1927" spans="1:13" x14ac:dyDescent="0.2">
      <c r="A1927" s="17" t="str">
        <f>[1]SUMMARY!A1928</f>
        <v>7.50</v>
      </c>
      <c r="B1927" s="17">
        <f>[1]SUMMARY!B1928</f>
        <v>0</v>
      </c>
      <c r="C1927" s="17">
        <f>[1]SUMMARY!C1928</f>
        <v>16</v>
      </c>
      <c r="D1927" s="25" t="str">
        <f>[1]SUMMARY!D1928</f>
        <v>GOODYEAR</v>
      </c>
      <c r="E1927" s="25" t="str">
        <f>[1]SUMMARY!E1928</f>
        <v>12PR HMG2020</v>
      </c>
      <c r="F1927" s="20"/>
      <c r="G1927" s="20"/>
      <c r="H1927" s="20"/>
      <c r="I1927" s="30">
        <f t="shared" si="19"/>
        <v>0</v>
      </c>
      <c r="J1927" s="22">
        <f>[1]SUMMARY!N1928</f>
        <v>9045</v>
      </c>
      <c r="K1927" s="23">
        <f t="shared" si="20"/>
        <v>0</v>
      </c>
      <c r="L1927" s="8"/>
      <c r="M1927" s="8"/>
    </row>
    <row r="1928" spans="1:13" x14ac:dyDescent="0.2">
      <c r="A1928" s="17" t="str">
        <f>[1]SUMMARY!A1929</f>
        <v>7.50</v>
      </c>
      <c r="B1928" s="17">
        <f>[1]SUMMARY!B1929</f>
        <v>0</v>
      </c>
      <c r="C1928" s="17">
        <f>[1]SUMMARY!C1929</f>
        <v>16</v>
      </c>
      <c r="D1928" s="25" t="str">
        <f>[1]SUMMARY!D1929</f>
        <v>GOODYEAR</v>
      </c>
      <c r="E1928" s="25" t="str">
        <f>[1]SUMMARY!E1929</f>
        <v>14PR CT163 MIX</v>
      </c>
      <c r="F1928" s="20"/>
      <c r="G1928" s="20"/>
      <c r="H1928" s="20"/>
      <c r="I1928" s="30">
        <f t="shared" si="19"/>
        <v>0</v>
      </c>
      <c r="J1928" s="22">
        <f>[1]SUMMARY!N1929</f>
        <v>9086.9</v>
      </c>
      <c r="K1928" s="23">
        <f t="shared" si="20"/>
        <v>0</v>
      </c>
      <c r="L1928" s="8"/>
      <c r="M1928" s="8"/>
    </row>
    <row r="1929" spans="1:13" x14ac:dyDescent="0.2">
      <c r="A1929" s="17" t="str">
        <f>[1]SUMMARY!A1930</f>
        <v>7.50</v>
      </c>
      <c r="B1929" s="17">
        <f>[1]SUMMARY!B1930</f>
        <v>0</v>
      </c>
      <c r="C1929" s="17">
        <f>[1]SUMMARY!C1930</f>
        <v>16</v>
      </c>
      <c r="D1929" s="25" t="str">
        <f>[1]SUMMARY!D1930</f>
        <v>GOODYEAR</v>
      </c>
      <c r="E1929" s="25" t="str">
        <f>[1]SUMMARY!E1930</f>
        <v>14PR HMG2020</v>
      </c>
      <c r="F1929" s="20"/>
      <c r="G1929" s="20">
        <v>10</v>
      </c>
      <c r="H1929" s="20">
        <v>10</v>
      </c>
      <c r="I1929" s="30">
        <f t="shared" si="19"/>
        <v>0</v>
      </c>
      <c r="J1929" s="22">
        <f>[1]SUMMARY!N1930</f>
        <v>9367.99</v>
      </c>
      <c r="K1929" s="23">
        <f t="shared" si="20"/>
        <v>0</v>
      </c>
      <c r="L1929" s="8"/>
      <c r="M1929" s="8"/>
    </row>
    <row r="1930" spans="1:13" x14ac:dyDescent="0.2">
      <c r="A1930" s="17" t="str">
        <f>[1]SUMMARY!A1931</f>
        <v>11</v>
      </c>
      <c r="B1930" s="17">
        <f>[1]SUMMARY!B1931</f>
        <v>0</v>
      </c>
      <c r="C1930" s="17" t="str">
        <f>[1]SUMMARY!C1931</f>
        <v>R22.5</v>
      </c>
      <c r="D1930" s="25" t="str">
        <f>[1]SUMMARY!D1931</f>
        <v>GOODYEAR</v>
      </c>
      <c r="E1930" s="25" t="str">
        <f>[1]SUMMARY!E1931</f>
        <v xml:space="preserve">S200+ </v>
      </c>
      <c r="F1930" s="20"/>
      <c r="G1930" s="20"/>
      <c r="H1930" s="20"/>
      <c r="I1930" s="30">
        <f t="shared" si="19"/>
        <v>0</v>
      </c>
      <c r="J1930" s="22">
        <f>[1]SUMMARY!N1931</f>
        <v>15300</v>
      </c>
      <c r="K1930" s="23">
        <f t="shared" si="20"/>
        <v>0</v>
      </c>
      <c r="L1930" s="8"/>
      <c r="M1930" s="8"/>
    </row>
    <row r="1931" spans="1:13" x14ac:dyDescent="0.2">
      <c r="A1931" s="17" t="str">
        <f>[1]SUMMARY!A1932</f>
        <v>9.5</v>
      </c>
      <c r="B1931" s="17">
        <f>[1]SUMMARY!B1932</f>
        <v>0</v>
      </c>
      <c r="C1931" s="17" t="str">
        <f>[1]SUMMARY!C1932</f>
        <v>R17.5</v>
      </c>
      <c r="D1931" s="25" t="str">
        <f>[1]SUMMARY!D1932</f>
        <v>GOODYEAR</v>
      </c>
      <c r="E1931" s="25" t="str">
        <f>[1]SUMMARY!E1932</f>
        <v>S200 14PR</v>
      </c>
      <c r="F1931" s="20"/>
      <c r="G1931" s="20"/>
      <c r="H1931" s="20"/>
      <c r="I1931" s="30">
        <f t="shared" si="19"/>
        <v>0</v>
      </c>
      <c r="J1931" s="22">
        <f>[1]SUMMARY!N1932</f>
        <v>12894.5</v>
      </c>
      <c r="K1931" s="23">
        <f t="shared" si="20"/>
        <v>0</v>
      </c>
      <c r="L1931" s="8"/>
      <c r="M1931" s="8"/>
    </row>
    <row r="1932" spans="1:13" x14ac:dyDescent="0.2">
      <c r="A1932" s="27" t="str">
        <f>[1]SUMMARY!A1933</f>
        <v>8.25</v>
      </c>
      <c r="B1932" s="17">
        <f>[1]SUMMARY!B1933</f>
        <v>0</v>
      </c>
      <c r="C1932" s="17">
        <f>[1]SUMMARY!C1933</f>
        <v>16</v>
      </c>
      <c r="D1932" s="25" t="str">
        <f>[1]SUMMARY!D1933</f>
        <v>GOODYEAR</v>
      </c>
      <c r="E1932" s="25" t="str">
        <f>[1]SUMMARY!E1933</f>
        <v>14PR HMG2020 RIB</v>
      </c>
      <c r="F1932" s="20"/>
      <c r="G1932" s="20">
        <v>1</v>
      </c>
      <c r="H1932" s="20">
        <v>1</v>
      </c>
      <c r="I1932" s="30">
        <f t="shared" si="19"/>
        <v>0</v>
      </c>
      <c r="J1932" s="22">
        <f>[1]SUMMARY!N1933</f>
        <v>12340</v>
      </c>
      <c r="K1932" s="23">
        <f t="shared" si="20"/>
        <v>0</v>
      </c>
      <c r="L1932" s="8"/>
      <c r="M1932" s="8"/>
    </row>
    <row r="1933" spans="1:13" x14ac:dyDescent="0.2">
      <c r="A1933" s="17" t="str">
        <f>[1]SUMMARY!A1934</f>
        <v>8.25</v>
      </c>
      <c r="B1933" s="17">
        <f>[1]SUMMARY!B1934</f>
        <v>0</v>
      </c>
      <c r="C1933" s="17">
        <f>[1]SUMMARY!C1934</f>
        <v>20</v>
      </c>
      <c r="D1933" s="25" t="str">
        <f>[1]SUMMARY!D1934</f>
        <v>GOODYEAR</v>
      </c>
      <c r="E1933" s="25" t="str">
        <f>[1]SUMMARY!E1934</f>
        <v>136/132J HM G141 14 RIB</v>
      </c>
      <c r="F1933" s="20"/>
      <c r="G1933" s="20"/>
      <c r="H1933" s="20"/>
      <c r="I1933" s="30">
        <f t="shared" si="19"/>
        <v>0</v>
      </c>
      <c r="J1933" s="22">
        <f>[1]SUMMARY!N1934</f>
        <v>12750</v>
      </c>
      <c r="K1933" s="23">
        <f t="shared" si="20"/>
        <v>0</v>
      </c>
      <c r="L1933" s="8"/>
      <c r="M1933" s="8"/>
    </row>
    <row r="1934" spans="1:13" x14ac:dyDescent="0.2">
      <c r="A1934" s="17" t="str">
        <f>[1]SUMMARY!A1935</f>
        <v>9.00</v>
      </c>
      <c r="B1934" s="17">
        <f>[1]SUMMARY!B1935</f>
        <v>0</v>
      </c>
      <c r="C1934" s="17">
        <f>[1]SUMMARY!C1935</f>
        <v>20</v>
      </c>
      <c r="D1934" s="25" t="str">
        <f>[1]SUMMARY!D1935</f>
        <v>GOODYEAR</v>
      </c>
      <c r="E1934" s="25" t="str">
        <f>[1]SUMMARY!E1935</f>
        <v>HM G2020 14PR</v>
      </c>
      <c r="F1934" s="20"/>
      <c r="G1934" s="20">
        <v>4</v>
      </c>
      <c r="H1934" s="20">
        <v>4</v>
      </c>
      <c r="I1934" s="30">
        <f t="shared" si="19"/>
        <v>0</v>
      </c>
      <c r="J1934" s="22">
        <f>[1]SUMMARY!N1935</f>
        <v>15400</v>
      </c>
      <c r="K1934" s="23">
        <f t="shared" si="20"/>
        <v>0</v>
      </c>
      <c r="L1934" s="8"/>
      <c r="M1934" s="8"/>
    </row>
    <row r="1935" spans="1:13" x14ac:dyDescent="0.2">
      <c r="A1935" s="17" t="str">
        <f>[1]SUMMARY!A1936</f>
        <v>215</v>
      </c>
      <c r="B1935" s="17">
        <f>[1]SUMMARY!B1936</f>
        <v>75</v>
      </c>
      <c r="C1935" s="17">
        <f>[1]SUMMARY!C1936</f>
        <v>17.5</v>
      </c>
      <c r="D1935" s="25" t="str">
        <f>[1]SUMMARY!D1936</f>
        <v xml:space="preserve">GOODYEAR </v>
      </c>
      <c r="E1935" s="25" t="str">
        <f>[1]SUMMARY!E1936</f>
        <v>S200+RIB</v>
      </c>
      <c r="F1935" s="20"/>
      <c r="G1935" s="20"/>
      <c r="H1935" s="20"/>
      <c r="I1935" s="30">
        <f t="shared" si="19"/>
        <v>0</v>
      </c>
      <c r="J1935" s="22">
        <f>[1]SUMMARY!N1936</f>
        <v>9190</v>
      </c>
      <c r="K1935" s="23">
        <f t="shared" si="20"/>
        <v>0</v>
      </c>
      <c r="L1935" s="28">
        <f>SUM(K1921:K1935)</f>
        <v>0</v>
      </c>
      <c r="M1935" s="29" t="s">
        <v>39</v>
      </c>
    </row>
    <row r="1936" spans="1:13" x14ac:dyDescent="0.2">
      <c r="A1936" s="17" t="str">
        <f>[1]SUMMARY!A1937</f>
        <v>245</v>
      </c>
      <c r="B1936" s="17">
        <f>[1]SUMMARY!B1937</f>
        <v>70</v>
      </c>
      <c r="C1936" s="17">
        <f>[1]SUMMARY!C1937</f>
        <v>19.5</v>
      </c>
      <c r="D1936" s="25" t="str">
        <f>[1]SUMMARY!D1937</f>
        <v>GREFORCE</v>
      </c>
      <c r="E1936" s="25" t="str">
        <f>[1]SUMMARY!E1937</f>
        <v>TL GR612</v>
      </c>
      <c r="F1936" s="20"/>
      <c r="G1936" s="20"/>
      <c r="H1936" s="20"/>
      <c r="I1936" s="21">
        <f t="shared" si="19"/>
        <v>0</v>
      </c>
      <c r="J1936" s="22">
        <f>[1]SUMMARY!N1937</f>
        <v>6880</v>
      </c>
      <c r="K1936" s="23">
        <f t="shared" si="20"/>
        <v>0</v>
      </c>
      <c r="L1936" s="8"/>
      <c r="M1936" s="8"/>
    </row>
    <row r="1937" spans="1:13" x14ac:dyDescent="0.2">
      <c r="A1937" s="17" t="str">
        <f>[1]SUMMARY!A1938</f>
        <v>11</v>
      </c>
      <c r="B1937" s="17">
        <f>[1]SUMMARY!B1938</f>
        <v>0</v>
      </c>
      <c r="C1937" s="17" t="str">
        <f>[1]SUMMARY!C1938</f>
        <v>R22.5</v>
      </c>
      <c r="D1937" s="25" t="str">
        <f>[1]SUMMARY!D1938</f>
        <v>GREFORCE</v>
      </c>
      <c r="E1937" s="25" t="str">
        <f>[1]SUMMARY!E1938</f>
        <v>GR612 RIB</v>
      </c>
      <c r="F1937" s="20"/>
      <c r="G1937" s="20"/>
      <c r="H1937" s="20"/>
      <c r="I1937" s="21">
        <f t="shared" si="19"/>
        <v>0</v>
      </c>
      <c r="J1937" s="22">
        <f>[1]SUMMARY!N1938</f>
        <v>9000</v>
      </c>
      <c r="K1937" s="23">
        <f t="shared" si="20"/>
        <v>0</v>
      </c>
      <c r="L1937" s="8"/>
      <c r="M1937" s="8"/>
    </row>
    <row r="1938" spans="1:13" x14ac:dyDescent="0.2">
      <c r="A1938" s="17" t="str">
        <f>[1]SUMMARY!A1939</f>
        <v>11</v>
      </c>
      <c r="B1938" s="17">
        <f>[1]SUMMARY!B1939</f>
        <v>0</v>
      </c>
      <c r="C1938" s="17" t="str">
        <f>[1]SUMMARY!C1939</f>
        <v>R22.5</v>
      </c>
      <c r="D1938" s="25" t="str">
        <f>[1]SUMMARY!D1939</f>
        <v>GREFORCE</v>
      </c>
      <c r="E1938" s="25" t="str">
        <f>[1]SUMMARY!E1939</f>
        <v>GR881 MIX</v>
      </c>
      <c r="F1938" s="20"/>
      <c r="G1938" s="20"/>
      <c r="H1938" s="20"/>
      <c r="I1938" s="21">
        <f t="shared" si="19"/>
        <v>0</v>
      </c>
      <c r="J1938" s="22">
        <f>[1]SUMMARY!N1939</f>
        <v>9200</v>
      </c>
      <c r="K1938" s="23">
        <f t="shared" si="20"/>
        <v>0</v>
      </c>
      <c r="L1938" s="28">
        <f>SUM(K1936:K1938)</f>
        <v>0</v>
      </c>
      <c r="M1938" s="29" t="s">
        <v>113</v>
      </c>
    </row>
    <row r="1939" spans="1:13" x14ac:dyDescent="0.2">
      <c r="A1939" s="17" t="str">
        <f>[1]SUMMARY!A1940</f>
        <v>7.00</v>
      </c>
      <c r="B1939" s="17">
        <f>[1]SUMMARY!B1940</f>
        <v>0</v>
      </c>
      <c r="C1939" s="17">
        <f>[1]SUMMARY!C1940</f>
        <v>15</v>
      </c>
      <c r="D1939" s="25" t="str">
        <f>[1]SUMMARY!D1940</f>
        <v>GREENTOUR</v>
      </c>
      <c r="E1939" s="25" t="str">
        <f>[1]SUMMARY!E1940</f>
        <v>12PR RIB</v>
      </c>
      <c r="F1939" s="20"/>
      <c r="G1939" s="20"/>
      <c r="H1939" s="20"/>
      <c r="I1939" s="21">
        <f t="shared" si="19"/>
        <v>0</v>
      </c>
      <c r="J1939" s="22">
        <f>[1]SUMMARY!N1940</f>
        <v>3190</v>
      </c>
      <c r="K1939" s="23">
        <f t="shared" si="20"/>
        <v>0</v>
      </c>
      <c r="L1939" s="8"/>
      <c r="M1939" s="8"/>
    </row>
    <row r="1940" spans="1:13" x14ac:dyDescent="0.2">
      <c r="A1940" s="17" t="str">
        <f>[1]SUMMARY!A1941</f>
        <v>7.00</v>
      </c>
      <c r="B1940" s="17">
        <f>[1]SUMMARY!B1941</f>
        <v>0</v>
      </c>
      <c r="C1940" s="17">
        <f>[1]SUMMARY!C1941</f>
        <v>15</v>
      </c>
      <c r="D1940" s="25" t="str">
        <f>[1]SUMMARY!D1941</f>
        <v>GREENTOUR</v>
      </c>
      <c r="E1940" s="25" t="str">
        <f>[1]SUMMARY!E1941</f>
        <v>12PR LUG</v>
      </c>
      <c r="F1940" s="20"/>
      <c r="G1940" s="20"/>
      <c r="H1940" s="20"/>
      <c r="I1940" s="21">
        <f t="shared" si="19"/>
        <v>0</v>
      </c>
      <c r="J1940" s="22">
        <f>[1]SUMMARY!N1941</f>
        <v>3190</v>
      </c>
      <c r="K1940" s="23">
        <f t="shared" si="20"/>
        <v>0</v>
      </c>
      <c r="L1940" s="8"/>
      <c r="M1940" s="8"/>
    </row>
    <row r="1941" spans="1:13" x14ac:dyDescent="0.2">
      <c r="A1941" s="17" t="str">
        <f>[1]SUMMARY!A1942</f>
        <v>7.00</v>
      </c>
      <c r="B1941" s="17">
        <f>[1]SUMMARY!B1942</f>
        <v>0</v>
      </c>
      <c r="C1941" s="17">
        <f>[1]SUMMARY!C1942</f>
        <v>16</v>
      </c>
      <c r="D1941" s="25" t="str">
        <f>[1]SUMMARY!D1942</f>
        <v>GREENTOUR</v>
      </c>
      <c r="E1941" s="25" t="str">
        <f>[1]SUMMARY!E1942</f>
        <v>14PR RIB</v>
      </c>
      <c r="F1941" s="20"/>
      <c r="G1941" s="20"/>
      <c r="H1941" s="20"/>
      <c r="I1941" s="21">
        <f t="shared" si="19"/>
        <v>0</v>
      </c>
      <c r="J1941" s="22">
        <f>[1]SUMMARY!N1942</f>
        <v>3665</v>
      </c>
      <c r="K1941" s="23">
        <f t="shared" si="20"/>
        <v>0</v>
      </c>
      <c r="L1941" s="28">
        <f>SUM(K1939:K1941)</f>
        <v>0</v>
      </c>
      <c r="M1941" s="29" t="s">
        <v>114</v>
      </c>
    </row>
    <row r="1942" spans="1:13" x14ac:dyDescent="0.2">
      <c r="A1942" s="17" t="str">
        <f>[1]SUMMARY!A1943</f>
        <v>7.00</v>
      </c>
      <c r="B1942" s="17">
        <f>[1]SUMMARY!B1943</f>
        <v>0</v>
      </c>
      <c r="C1942" s="17">
        <f>[1]SUMMARY!C1943</f>
        <v>15</v>
      </c>
      <c r="D1942" s="25" t="str">
        <f>[1]SUMMARY!D1943</f>
        <v>KINTO</v>
      </c>
      <c r="E1942" s="25" t="str">
        <f>[1]SUMMARY!E1943</f>
        <v>12PR RIB EXTRA MILER(SET)</v>
      </c>
      <c r="F1942" s="20"/>
      <c r="G1942" s="20">
        <v>44</v>
      </c>
      <c r="H1942" s="20">
        <v>40</v>
      </c>
      <c r="I1942" s="45">
        <f t="shared" si="19"/>
        <v>4</v>
      </c>
      <c r="J1942" s="22">
        <f>[1]SUMMARY!N1943</f>
        <v>3575</v>
      </c>
      <c r="K1942" s="23">
        <f t="shared" si="20"/>
        <v>14300</v>
      </c>
      <c r="L1942" s="8"/>
      <c r="M1942" s="8"/>
    </row>
    <row r="1943" spans="1:13" x14ac:dyDescent="0.2">
      <c r="A1943" s="17" t="str">
        <f>[1]SUMMARY!A1944</f>
        <v>7.50</v>
      </c>
      <c r="B1943" s="17">
        <f>[1]SUMMARY!B1944</f>
        <v>0</v>
      </c>
      <c r="C1943" s="17">
        <f>[1]SUMMARY!C1944</f>
        <v>15</v>
      </c>
      <c r="D1943" s="25" t="str">
        <f>[1]SUMMARY!D1944</f>
        <v>KINTO</v>
      </c>
      <c r="E1943" s="25" t="str">
        <f>[1]SUMMARY!E1944</f>
        <v>16PR RIB EXTRA MILER(SET)</v>
      </c>
      <c r="F1943" s="20"/>
      <c r="G1943" s="20">
        <v>57</v>
      </c>
      <c r="H1943" s="20">
        <v>54</v>
      </c>
      <c r="I1943" s="45">
        <f t="shared" si="19"/>
        <v>3</v>
      </c>
      <c r="J1943" s="22">
        <f>[1]SUMMARY!N1944</f>
        <v>4730</v>
      </c>
      <c r="K1943" s="23">
        <f t="shared" si="20"/>
        <v>14190</v>
      </c>
      <c r="L1943" s="8"/>
      <c r="M1943" s="8"/>
    </row>
    <row r="1944" spans="1:13" x14ac:dyDescent="0.2">
      <c r="A1944" s="17" t="str">
        <f>[1]SUMMARY!A1945</f>
        <v>7.50</v>
      </c>
      <c r="B1944" s="17">
        <f>[1]SUMMARY!B1945</f>
        <v>0</v>
      </c>
      <c r="C1944" s="17">
        <f>[1]SUMMARY!C1945</f>
        <v>15</v>
      </c>
      <c r="D1944" s="25" t="str">
        <f>[1]SUMMARY!D1945</f>
        <v>KINTO</v>
      </c>
      <c r="E1944" s="25" t="str">
        <f>[1]SUMMARY!E1945</f>
        <v>16PR RIB LT EXTRA MILER(SET)</v>
      </c>
      <c r="F1944" s="20"/>
      <c r="G1944" s="20"/>
      <c r="H1944" s="20"/>
      <c r="I1944" s="30">
        <f t="shared" si="19"/>
        <v>0</v>
      </c>
      <c r="J1944" s="22">
        <f>[1]SUMMARY!N1945</f>
        <v>4730</v>
      </c>
      <c r="K1944" s="23">
        <f t="shared" si="20"/>
        <v>0</v>
      </c>
      <c r="L1944" s="8"/>
      <c r="M1944" s="8"/>
    </row>
    <row r="1945" spans="1:13" x14ac:dyDescent="0.2">
      <c r="A1945" s="17" t="str">
        <f>[1]SUMMARY!A1946</f>
        <v>7.50</v>
      </c>
      <c r="B1945" s="17">
        <f>[1]SUMMARY!B1946</f>
        <v>0</v>
      </c>
      <c r="C1945" s="17">
        <f>[1]SUMMARY!C1946</f>
        <v>15</v>
      </c>
      <c r="D1945" s="25" t="str">
        <f>[1]SUMMARY!D1946</f>
        <v>KINTO</v>
      </c>
      <c r="E1945" s="25" t="str">
        <f>[1]SUMMARY!E1946</f>
        <v>16PR SUPER LUG XF-126(SET)</v>
      </c>
      <c r="F1945" s="20"/>
      <c r="G1945" s="20">
        <v>12</v>
      </c>
      <c r="H1945" s="20">
        <v>10</v>
      </c>
      <c r="I1945" s="45">
        <f t="shared" si="19"/>
        <v>2</v>
      </c>
      <c r="J1945" s="22">
        <f>[1]SUMMARY!N1946</f>
        <v>5390</v>
      </c>
      <c r="K1945" s="23">
        <f t="shared" si="20"/>
        <v>10780</v>
      </c>
      <c r="L1945" s="8"/>
      <c r="M1945" s="8"/>
    </row>
    <row r="1946" spans="1:13" x14ac:dyDescent="0.2">
      <c r="A1946" s="17" t="str">
        <f>[1]SUMMARY!A1947</f>
        <v>7.50</v>
      </c>
      <c r="B1946" s="17">
        <f>[1]SUMMARY!B1947</f>
        <v>0</v>
      </c>
      <c r="C1946" s="17">
        <f>[1]SUMMARY!C1947</f>
        <v>16</v>
      </c>
      <c r="D1946" s="25" t="str">
        <f>[1]SUMMARY!D1947</f>
        <v>KINTO</v>
      </c>
      <c r="E1946" s="25" t="str">
        <f>[1]SUMMARY!E1947</f>
        <v>16PR SUPER LUG XF-126(SET)</v>
      </c>
      <c r="F1946" s="20"/>
      <c r="G1946" s="20">
        <v>12</v>
      </c>
      <c r="H1946" s="20">
        <v>8</v>
      </c>
      <c r="I1946" s="45">
        <f t="shared" si="19"/>
        <v>4</v>
      </c>
      <c r="J1946" s="22">
        <f>[1]SUMMARY!N1947</f>
        <v>5830</v>
      </c>
      <c r="K1946" s="23">
        <f t="shared" si="20"/>
        <v>23320</v>
      </c>
      <c r="L1946" s="8"/>
      <c r="M1946" s="8"/>
    </row>
    <row r="1947" spans="1:13" x14ac:dyDescent="0.2">
      <c r="A1947" s="17" t="str">
        <f>[1]SUMMARY!A1948</f>
        <v>10</v>
      </c>
      <c r="B1947" s="17">
        <f>[1]SUMMARY!B1948</f>
        <v>0</v>
      </c>
      <c r="C1947" s="17">
        <f>[1]SUMMARY!C1948</f>
        <v>16.5</v>
      </c>
      <c r="D1947" s="25" t="str">
        <f>[1]SUMMARY!D1948</f>
        <v>KINTO</v>
      </c>
      <c r="E1947" s="25" t="str">
        <f>[1]SUMMARY!E1948</f>
        <v>12PR SKS-1</v>
      </c>
      <c r="F1947" s="20"/>
      <c r="G1947" s="20">
        <v>4</v>
      </c>
      <c r="H1947" s="20">
        <v>4</v>
      </c>
      <c r="I1947" s="30">
        <f t="shared" si="19"/>
        <v>0</v>
      </c>
      <c r="J1947" s="22">
        <f>[1]SUMMARY!N1948</f>
        <v>5016</v>
      </c>
      <c r="K1947" s="23">
        <f t="shared" si="20"/>
        <v>0</v>
      </c>
      <c r="L1947" s="8"/>
      <c r="M1947" s="8"/>
    </row>
    <row r="1948" spans="1:13" x14ac:dyDescent="0.2">
      <c r="A1948" s="17" t="str">
        <f>[1]SUMMARY!A1949</f>
        <v>23.5</v>
      </c>
      <c r="B1948" s="17">
        <f>[1]SUMMARY!B1949</f>
        <v>70</v>
      </c>
      <c r="C1948" s="17">
        <f>[1]SUMMARY!C1949</f>
        <v>16</v>
      </c>
      <c r="D1948" s="25" t="str">
        <f>[1]SUMMARY!D1949</f>
        <v>KINTO</v>
      </c>
      <c r="E1948" s="25" t="str">
        <f>[1]SUMMARY!E1949</f>
        <v>E3/L3 16PR SET</v>
      </c>
      <c r="F1948" s="20"/>
      <c r="G1948" s="20">
        <v>2</v>
      </c>
      <c r="H1948" s="20">
        <v>2</v>
      </c>
      <c r="I1948" s="30">
        <f t="shared" si="19"/>
        <v>0</v>
      </c>
      <c r="J1948" s="22">
        <f>[1]SUMMARY!N1949</f>
        <v>9625</v>
      </c>
      <c r="K1948" s="23">
        <f t="shared" si="20"/>
        <v>0</v>
      </c>
      <c r="L1948" s="8"/>
      <c r="M1948" s="8"/>
    </row>
    <row r="1949" spans="1:13" x14ac:dyDescent="0.2">
      <c r="A1949" s="17" t="str">
        <f>[1]SUMMARY!A1950</f>
        <v>8.3</v>
      </c>
      <c r="B1949" s="17">
        <f>[1]SUMMARY!B1950</f>
        <v>0</v>
      </c>
      <c r="C1949" s="17">
        <f>[1]SUMMARY!C1950</f>
        <v>20</v>
      </c>
      <c r="D1949" s="25" t="str">
        <f>[1]SUMMARY!D1950</f>
        <v>KINTO</v>
      </c>
      <c r="E1949" s="25" t="str">
        <f>[1]SUMMARY!E1950</f>
        <v>10PR R1-1</v>
      </c>
      <c r="F1949" s="20"/>
      <c r="G1949" s="20"/>
      <c r="H1949" s="20"/>
      <c r="I1949" s="30">
        <f t="shared" si="19"/>
        <v>0</v>
      </c>
      <c r="J1949" s="22">
        <f>[1]SUMMARY!N1950</f>
        <v>4510</v>
      </c>
      <c r="K1949" s="23">
        <f t="shared" si="20"/>
        <v>0</v>
      </c>
      <c r="L1949" s="33"/>
      <c r="M1949" s="33"/>
    </row>
    <row r="1950" spans="1:13" x14ac:dyDescent="0.2">
      <c r="A1950" s="17" t="str">
        <f>[1]SUMMARY!A1951</f>
        <v>9.00</v>
      </c>
      <c r="B1950" s="17">
        <f>[1]SUMMARY!B1951</f>
        <v>0</v>
      </c>
      <c r="C1950" s="17">
        <f>[1]SUMMARY!C1951</f>
        <v>20</v>
      </c>
      <c r="D1950" s="25" t="str">
        <f>[1]SUMMARY!D1951</f>
        <v>KINTO</v>
      </c>
      <c r="E1950" s="25" t="str">
        <f>[1]SUMMARY!E1951</f>
        <v>20PR XF007A EXCAVATOR</v>
      </c>
      <c r="F1950" s="20"/>
      <c r="G1950" s="20">
        <v>10</v>
      </c>
      <c r="H1950" s="20">
        <v>10</v>
      </c>
      <c r="I1950" s="30">
        <f t="shared" si="19"/>
        <v>0</v>
      </c>
      <c r="J1950" s="22">
        <f>[1]SUMMARY!N1951</f>
        <v>9900</v>
      </c>
      <c r="K1950" s="23">
        <f t="shared" si="20"/>
        <v>0</v>
      </c>
      <c r="L1950" s="33"/>
      <c r="M1950" s="33"/>
    </row>
    <row r="1951" spans="1:13" x14ac:dyDescent="0.2">
      <c r="A1951" s="17" t="str">
        <f>[1]SUMMARY!A1952</f>
        <v>14.9</v>
      </c>
      <c r="B1951" s="17">
        <f>[1]SUMMARY!B1952</f>
        <v>0</v>
      </c>
      <c r="C1951" s="17">
        <f>[1]SUMMARY!C1952</f>
        <v>24</v>
      </c>
      <c r="D1951" s="25" t="str">
        <f>[1]SUMMARY!D1952</f>
        <v>KINTO</v>
      </c>
      <c r="E1951" s="25" t="str">
        <f>[1]SUMMARY!E1952</f>
        <v>12PR R1-3</v>
      </c>
      <c r="F1951" s="20"/>
      <c r="G1951" s="20">
        <v>2</v>
      </c>
      <c r="H1951" s="20">
        <v>2</v>
      </c>
      <c r="I1951" s="30">
        <f t="shared" si="19"/>
        <v>0</v>
      </c>
      <c r="J1951" s="22">
        <f>[1]SUMMARY!N1952</f>
        <v>13640</v>
      </c>
      <c r="K1951" s="23">
        <f t="shared" si="20"/>
        <v>0</v>
      </c>
    </row>
    <row r="1952" spans="1:13" x14ac:dyDescent="0.2">
      <c r="A1952" s="17" t="str">
        <f>[1]SUMMARY!A1953</f>
        <v>20.5</v>
      </c>
      <c r="B1952" s="17">
        <f>[1]SUMMARY!B1953</f>
        <v>0</v>
      </c>
      <c r="C1952" s="17">
        <f>[1]SUMMARY!C1953</f>
        <v>25</v>
      </c>
      <c r="D1952" s="25" t="str">
        <f>[1]SUMMARY!D1953</f>
        <v>KINTO</v>
      </c>
      <c r="E1952" s="25" t="str">
        <f>[1]SUMMARY!E1953</f>
        <v>E3/L3 24PR SET</v>
      </c>
      <c r="F1952" s="20"/>
      <c r="G1952" s="20"/>
      <c r="H1952" s="20"/>
      <c r="I1952" s="30">
        <f t="shared" si="19"/>
        <v>0</v>
      </c>
      <c r="J1952" s="22">
        <f>[1]SUMMARY!N1953</f>
        <v>32890</v>
      </c>
      <c r="K1952" s="23">
        <f t="shared" si="20"/>
        <v>0</v>
      </c>
    </row>
    <row r="1953" spans="1:13" x14ac:dyDescent="0.2">
      <c r="A1953" s="17" t="str">
        <f>[1]SUMMARY!A1954</f>
        <v>13.6</v>
      </c>
      <c r="B1953" s="17">
        <f>[1]SUMMARY!B1954</f>
        <v>0</v>
      </c>
      <c r="C1953" s="17">
        <f>[1]SUMMARY!C1954</f>
        <v>38</v>
      </c>
      <c r="D1953" s="25" t="str">
        <f>[1]SUMMARY!D1954</f>
        <v>KINTO</v>
      </c>
      <c r="E1953" s="25" t="str">
        <f>[1]SUMMARY!E1954</f>
        <v>R1-4 10PR W/ TUBE</v>
      </c>
      <c r="F1953" s="20"/>
      <c r="G1953" s="20">
        <v>2</v>
      </c>
      <c r="H1953" s="20">
        <v>2</v>
      </c>
      <c r="I1953" s="30">
        <f t="shared" si="19"/>
        <v>0</v>
      </c>
      <c r="J1953" s="22">
        <f>[1]SUMMARY!N1954</f>
        <v>18425</v>
      </c>
      <c r="K1953" s="23">
        <f t="shared" si="20"/>
        <v>0</v>
      </c>
      <c r="L1953" s="28">
        <f>SUM(K1942:K1953)</f>
        <v>62590</v>
      </c>
      <c r="M1953" s="29" t="s">
        <v>43</v>
      </c>
    </row>
    <row r="1954" spans="1:13" x14ac:dyDescent="0.2">
      <c r="A1954" s="17" t="str">
        <f>[1]SUMMARY!A1955</f>
        <v>7.00</v>
      </c>
      <c r="B1954" s="17">
        <f>[1]SUMMARY!B1955</f>
        <v>0</v>
      </c>
      <c r="C1954" s="17">
        <f>[1]SUMMARY!C1955</f>
        <v>16</v>
      </c>
      <c r="D1954" s="25" t="str">
        <f>[1]SUMMARY!D1955</f>
        <v>KELCEA</v>
      </c>
      <c r="E1954" s="25" t="str">
        <f>[1]SUMMARY!E1955</f>
        <v>14PR RIB (SET)</v>
      </c>
      <c r="F1954" s="20"/>
      <c r="G1954" s="20"/>
      <c r="H1954" s="20"/>
      <c r="I1954" s="21">
        <f t="shared" si="19"/>
        <v>0</v>
      </c>
      <c r="J1954" s="22">
        <f>[1]SUMMARY!N1955</f>
        <v>5200</v>
      </c>
      <c r="K1954" s="23">
        <f t="shared" si="20"/>
        <v>0</v>
      </c>
      <c r="L1954" s="28">
        <f>SUM(K1954)</f>
        <v>0</v>
      </c>
      <c r="M1954" s="29" t="s">
        <v>115</v>
      </c>
    </row>
    <row r="1955" spans="1:13" x14ac:dyDescent="0.2">
      <c r="A1955" s="17" t="str">
        <f>[1]SUMMARY!A1956</f>
        <v>205</v>
      </c>
      <c r="B1955" s="17">
        <f>[1]SUMMARY!B1956</f>
        <v>85</v>
      </c>
      <c r="C1955" s="17">
        <f>[1]SUMMARY!C1956</f>
        <v>16</v>
      </c>
      <c r="D1955" s="25" t="str">
        <f>[1]SUMMARY!D1956</f>
        <v>HAWKWAY</v>
      </c>
      <c r="E1955" s="25" t="str">
        <f>[1]SUMMARY!E1956</f>
        <v>14PR HK802</v>
      </c>
      <c r="F1955" s="20"/>
      <c r="G1955" s="20"/>
      <c r="H1955" s="20"/>
      <c r="I1955" s="21">
        <f t="shared" si="19"/>
        <v>0</v>
      </c>
      <c r="J1955" s="22">
        <f>[1]SUMMARY!N1956</f>
        <v>5000</v>
      </c>
      <c r="K1955" s="23">
        <f t="shared" si="20"/>
        <v>0</v>
      </c>
      <c r="L1955" s="8"/>
      <c r="M1955" s="8"/>
    </row>
    <row r="1956" spans="1:13" x14ac:dyDescent="0.2">
      <c r="A1956" s="17" t="str">
        <f>[1]SUMMARY!A1957</f>
        <v>11</v>
      </c>
      <c r="B1956" s="17">
        <f>[1]SUMMARY!B1957</f>
        <v>0</v>
      </c>
      <c r="C1956" s="17" t="str">
        <f>[1]SUMMARY!C1957</f>
        <v>R22.5</v>
      </c>
      <c r="D1956" s="25" t="str">
        <f>[1]SUMMARY!D1957</f>
        <v>HAWKWAY</v>
      </c>
      <c r="E1956" s="25" t="str">
        <f>[1]SUMMARY!E1957</f>
        <v>16PR HK85 MIX</v>
      </c>
      <c r="F1956" s="20"/>
      <c r="G1956" s="20"/>
      <c r="H1956" s="20"/>
      <c r="I1956" s="21">
        <f t="shared" si="19"/>
        <v>0</v>
      </c>
      <c r="J1956" s="22">
        <f>[1]SUMMARY!N1957</f>
        <v>9900</v>
      </c>
      <c r="K1956" s="23">
        <f t="shared" si="20"/>
        <v>0</v>
      </c>
      <c r="L1956" s="8"/>
      <c r="M1956" s="8"/>
    </row>
    <row r="1957" spans="1:13" x14ac:dyDescent="0.2">
      <c r="A1957" s="17" t="str">
        <f>[1]SUMMARY!A1958</f>
        <v>235</v>
      </c>
      <c r="B1957" s="17">
        <f>[1]SUMMARY!B1958</f>
        <v>75</v>
      </c>
      <c r="C1957" s="17" t="str">
        <f>[1]SUMMARY!C1958</f>
        <v>R17.5</v>
      </c>
      <c r="D1957" s="25" t="str">
        <f>[1]SUMMARY!D1958</f>
        <v>HAWKWAY</v>
      </c>
      <c r="E1957" s="25" t="str">
        <f>[1]SUMMARY!E1958</f>
        <v>HK867 RIB 16PR</v>
      </c>
      <c r="F1957" s="20"/>
      <c r="G1957" s="20"/>
      <c r="H1957" s="20"/>
      <c r="I1957" s="21">
        <f t="shared" si="19"/>
        <v>0</v>
      </c>
      <c r="J1957" s="22">
        <f>[1]SUMMARY!N1958</f>
        <v>6033</v>
      </c>
      <c r="K1957" s="23">
        <f t="shared" si="20"/>
        <v>0</v>
      </c>
      <c r="L1957" s="8"/>
      <c r="M1957" s="8"/>
    </row>
    <row r="1958" spans="1:13" x14ac:dyDescent="0.2">
      <c r="A1958" s="17" t="str">
        <f>[1]SUMMARY!A1959</f>
        <v>245</v>
      </c>
      <c r="B1958" s="17">
        <f>[1]SUMMARY!B1959</f>
        <v>70</v>
      </c>
      <c r="C1958" s="17">
        <f>[1]SUMMARY!C1959</f>
        <v>19.5</v>
      </c>
      <c r="D1958" s="25" t="str">
        <f>[1]SUMMARY!D1959</f>
        <v>HAWKWAY</v>
      </c>
      <c r="E1958" s="25" t="str">
        <f>[1]SUMMARY!E1959</f>
        <v>HK867 RIB 16PR</v>
      </c>
      <c r="F1958" s="20"/>
      <c r="G1958" s="20"/>
      <c r="H1958" s="20"/>
      <c r="I1958" s="21">
        <f t="shared" si="19"/>
        <v>0</v>
      </c>
      <c r="J1958" s="22">
        <f>[1]SUMMARY!N1959</f>
        <v>6792</v>
      </c>
      <c r="K1958" s="23">
        <f t="shared" si="20"/>
        <v>0</v>
      </c>
      <c r="L1958" s="28">
        <f>SUM(K1956:K1958)</f>
        <v>0</v>
      </c>
      <c r="M1958" s="29" t="s">
        <v>116</v>
      </c>
    </row>
    <row r="1959" spans="1:13" x14ac:dyDescent="0.2">
      <c r="A1959" s="17" t="str">
        <f>[1]SUMMARY!A1960</f>
        <v>7.00</v>
      </c>
      <c r="B1959" s="17">
        <f>[1]SUMMARY!B1960</f>
        <v>0</v>
      </c>
      <c r="C1959" s="17">
        <f>[1]SUMMARY!C1960</f>
        <v>15</v>
      </c>
      <c r="D1959" s="25" t="str">
        <f>[1]SUMMARY!D1960</f>
        <v>HUT</v>
      </c>
      <c r="E1959" s="25" t="str">
        <f>[1]SUMMARY!E1960</f>
        <v>12PR LUG</v>
      </c>
      <c r="F1959" s="20"/>
      <c r="G1959" s="20"/>
      <c r="H1959" s="20"/>
      <c r="I1959" s="21">
        <f t="shared" si="19"/>
        <v>0</v>
      </c>
      <c r="J1959" s="22">
        <f>[1]SUMMARY!N1960</f>
        <v>3500</v>
      </c>
      <c r="K1959" s="23">
        <f t="shared" si="20"/>
        <v>0</v>
      </c>
      <c r="L1959" s="28">
        <f>SUM(K1959)</f>
        <v>0</v>
      </c>
      <c r="M1959" s="29" t="s">
        <v>117</v>
      </c>
    </row>
    <row r="1960" spans="1:13" x14ac:dyDescent="0.2">
      <c r="A1960" s="17" t="str">
        <f>[1]SUMMARY!A1961</f>
        <v>7.00</v>
      </c>
      <c r="B1960" s="17">
        <f>[1]SUMMARY!B1961</f>
        <v>0</v>
      </c>
      <c r="C1960" s="17">
        <f>[1]SUMMARY!C1961</f>
        <v>15</v>
      </c>
      <c r="D1960" s="25" t="str">
        <f>[1]SUMMARY!D1961</f>
        <v>INDEL</v>
      </c>
      <c r="E1960" s="25" t="str">
        <f>[1]SUMMARY!E1961</f>
        <v>12PR RIB</v>
      </c>
      <c r="F1960" s="20"/>
      <c r="G1960" s="20">
        <v>10</v>
      </c>
      <c r="H1960" s="20">
        <v>8</v>
      </c>
      <c r="I1960" s="21">
        <f t="shared" si="19"/>
        <v>2</v>
      </c>
      <c r="J1960" s="22">
        <f>[1]SUMMARY!N1961</f>
        <v>4169.55</v>
      </c>
      <c r="K1960" s="23">
        <f t="shared" si="20"/>
        <v>8339.1</v>
      </c>
      <c r="L1960" s="8"/>
      <c r="M1960" s="8"/>
    </row>
    <row r="1961" spans="1:13" x14ac:dyDescent="0.2">
      <c r="A1961" s="17" t="str">
        <f>[1]SUMMARY!A1962</f>
        <v>7.50</v>
      </c>
      <c r="B1961" s="17">
        <f>[1]SUMMARY!B1962</f>
        <v>0</v>
      </c>
      <c r="C1961" s="17">
        <f>[1]SUMMARY!C1962</f>
        <v>15</v>
      </c>
      <c r="D1961" s="25" t="str">
        <f>[1]SUMMARY!D1962</f>
        <v>INDEL</v>
      </c>
      <c r="E1961" s="25" t="str">
        <f>[1]SUMMARY!E1962</f>
        <v>14PR RIB</v>
      </c>
      <c r="F1961" s="20"/>
      <c r="G1961" s="20">
        <v>6</v>
      </c>
      <c r="H1961" s="20">
        <v>4</v>
      </c>
      <c r="I1961" s="30">
        <f t="shared" si="19"/>
        <v>2</v>
      </c>
      <c r="J1961" s="22">
        <f>[1]SUMMARY!N1962</f>
        <v>5600</v>
      </c>
      <c r="K1961" s="23">
        <f t="shared" si="20"/>
        <v>11200</v>
      </c>
      <c r="L1961" s="8"/>
      <c r="M1961" s="8"/>
    </row>
    <row r="1962" spans="1:13" x14ac:dyDescent="0.2">
      <c r="A1962" s="17" t="str">
        <f>[1]SUMMARY!A1963</f>
        <v>7.00</v>
      </c>
      <c r="B1962" s="17">
        <f>[1]SUMMARY!B1963</f>
        <v>0</v>
      </c>
      <c r="C1962" s="17">
        <f>[1]SUMMARY!C1963</f>
        <v>16</v>
      </c>
      <c r="D1962" s="25" t="str">
        <f>[1]SUMMARY!D1963</f>
        <v>INDEL</v>
      </c>
      <c r="E1962" s="25" t="str">
        <f>[1]SUMMARY!E1963</f>
        <v>14PR RIB</v>
      </c>
      <c r="F1962" s="20"/>
      <c r="G1962" s="20">
        <v>18</v>
      </c>
      <c r="H1962" s="20">
        <v>15</v>
      </c>
      <c r="I1962" s="21">
        <f t="shared" si="19"/>
        <v>3</v>
      </c>
      <c r="J1962" s="22">
        <f>[1]SUMMARY!N1963</f>
        <v>5120.5</v>
      </c>
      <c r="K1962" s="23">
        <f t="shared" si="20"/>
        <v>15361.5</v>
      </c>
      <c r="L1962" s="8"/>
      <c r="M1962" s="8"/>
    </row>
    <row r="1963" spans="1:13" x14ac:dyDescent="0.2">
      <c r="A1963" s="17" t="str">
        <f>[1]SUMMARY!A1964</f>
        <v>7.00</v>
      </c>
      <c r="B1963" s="17">
        <f>[1]SUMMARY!B1964</f>
        <v>0</v>
      </c>
      <c r="C1963" s="17">
        <f>[1]SUMMARY!C1964</f>
        <v>16</v>
      </c>
      <c r="D1963" s="25" t="str">
        <f>[1]SUMMARY!D1964</f>
        <v>INDEL</v>
      </c>
      <c r="E1963" s="25" t="str">
        <f>[1]SUMMARY!E1964</f>
        <v>14PR LUG</v>
      </c>
      <c r="F1963" s="20"/>
      <c r="G1963" s="20">
        <v>8</v>
      </c>
      <c r="H1963" s="20">
        <v>4</v>
      </c>
      <c r="I1963" s="21">
        <f t="shared" si="19"/>
        <v>4</v>
      </c>
      <c r="J1963" s="22">
        <f>[1]SUMMARY!N1964</f>
        <v>5486.54</v>
      </c>
      <c r="K1963" s="23">
        <f t="shared" si="20"/>
        <v>21946.16</v>
      </c>
      <c r="L1963" s="8"/>
      <c r="M1963" s="8"/>
    </row>
    <row r="1964" spans="1:13" x14ac:dyDescent="0.2">
      <c r="A1964" s="17" t="str">
        <f>[1]SUMMARY!A1965</f>
        <v>7.50</v>
      </c>
      <c r="B1964" s="17">
        <f>[1]SUMMARY!B1965</f>
        <v>0</v>
      </c>
      <c r="C1964" s="17">
        <f>[1]SUMMARY!C1965</f>
        <v>16</v>
      </c>
      <c r="D1964" s="25" t="str">
        <f>[1]SUMMARY!D1965</f>
        <v>INDEL</v>
      </c>
      <c r="E1964" s="25" t="str">
        <f>[1]SUMMARY!E1965</f>
        <v>16PR RIB</v>
      </c>
      <c r="F1964" s="20"/>
      <c r="G1964" s="20">
        <v>8</v>
      </c>
      <c r="H1964" s="20">
        <v>6</v>
      </c>
      <c r="I1964" s="21">
        <f t="shared" si="19"/>
        <v>2</v>
      </c>
      <c r="J1964" s="22">
        <f>[1]SUMMARY!N1965</f>
        <v>5323.44</v>
      </c>
      <c r="K1964" s="23">
        <f t="shared" si="20"/>
        <v>10646.88</v>
      </c>
      <c r="L1964" s="8"/>
      <c r="M1964" s="8"/>
    </row>
    <row r="1965" spans="1:13" x14ac:dyDescent="0.2">
      <c r="A1965" s="17" t="str">
        <f>[1]SUMMARY!A1966</f>
        <v>7.50</v>
      </c>
      <c r="B1965" s="17">
        <f>[1]SUMMARY!B1966</f>
        <v>0</v>
      </c>
      <c r="C1965" s="17">
        <f>[1]SUMMARY!C1966</f>
        <v>16</v>
      </c>
      <c r="D1965" s="25" t="str">
        <f>[1]SUMMARY!D1966</f>
        <v>INDEL</v>
      </c>
      <c r="E1965" s="25" t="str">
        <f>[1]SUMMARY!E1966</f>
        <v>16PR LUG JT</v>
      </c>
      <c r="F1965" s="20"/>
      <c r="G1965" s="20">
        <v>4</v>
      </c>
      <c r="H1965" s="20">
        <v>4</v>
      </c>
      <c r="I1965" s="21">
        <f t="shared" si="19"/>
        <v>0</v>
      </c>
      <c r="J1965" s="22">
        <f>[1]SUMMARY!N1966</f>
        <v>6042</v>
      </c>
      <c r="K1965" s="23">
        <f t="shared" si="20"/>
        <v>0</v>
      </c>
      <c r="L1965" s="8"/>
      <c r="M1965" s="8"/>
    </row>
    <row r="1966" spans="1:13" x14ac:dyDescent="0.2">
      <c r="A1966" s="17" t="str">
        <f>[1]SUMMARY!A1967</f>
        <v>8.25</v>
      </c>
      <c r="B1966" s="17">
        <f>[1]SUMMARY!B1967</f>
        <v>0</v>
      </c>
      <c r="C1966" s="17">
        <f>[1]SUMMARY!C1967</f>
        <v>20</v>
      </c>
      <c r="D1966" s="25" t="str">
        <f>[1]SUMMARY!D1967</f>
        <v>INDEL</v>
      </c>
      <c r="E1966" s="25" t="str">
        <f>[1]SUMMARY!E1967</f>
        <v>16PR RIB</v>
      </c>
      <c r="F1966" s="20"/>
      <c r="G1966" s="20">
        <v>6</v>
      </c>
      <c r="H1966" s="20">
        <v>6</v>
      </c>
      <c r="I1966" s="21">
        <f t="shared" si="19"/>
        <v>0</v>
      </c>
      <c r="J1966" s="22">
        <f>[1]SUMMARY!N1967</f>
        <v>8745.2199999999993</v>
      </c>
      <c r="K1966" s="23">
        <f t="shared" si="20"/>
        <v>0</v>
      </c>
      <c r="L1966" s="8"/>
      <c r="M1966" s="8"/>
    </row>
    <row r="1967" spans="1:13" x14ac:dyDescent="0.2">
      <c r="A1967" s="17" t="str">
        <f>[1]SUMMARY!A1968</f>
        <v>9.00</v>
      </c>
      <c r="B1967" s="17">
        <f>[1]SUMMARY!B1968</f>
        <v>0</v>
      </c>
      <c r="C1967" s="17">
        <f>[1]SUMMARY!C1968</f>
        <v>20</v>
      </c>
      <c r="D1967" s="25" t="str">
        <f>[1]SUMMARY!D1968</f>
        <v>INDEL</v>
      </c>
      <c r="E1967" s="25" t="str">
        <f>[1]SUMMARY!E1968</f>
        <v>16PR RIB</v>
      </c>
      <c r="F1967" s="20"/>
      <c r="G1967" s="90"/>
      <c r="H1967" s="90"/>
      <c r="I1967" s="21">
        <f t="shared" si="19"/>
        <v>0</v>
      </c>
      <c r="J1967" s="22">
        <f>[1]SUMMARY!N1968</f>
        <v>9367.9500000000007</v>
      </c>
      <c r="K1967" s="23">
        <f t="shared" si="20"/>
        <v>0</v>
      </c>
      <c r="L1967" s="8"/>
      <c r="M1967" s="8"/>
    </row>
    <row r="1968" spans="1:13" x14ac:dyDescent="0.2">
      <c r="A1968" s="17" t="str">
        <f>[1]SUMMARY!A1969</f>
        <v>9.00</v>
      </c>
      <c r="B1968" s="17">
        <f>[1]SUMMARY!B1969</f>
        <v>0</v>
      </c>
      <c r="C1968" s="17">
        <f>[1]SUMMARY!C1969</f>
        <v>20</v>
      </c>
      <c r="D1968" s="25" t="str">
        <f>[1]SUMMARY!D1969</f>
        <v>INDEL</v>
      </c>
      <c r="E1968" s="25" t="str">
        <f>[1]SUMMARY!E1969</f>
        <v>16PR LUG</v>
      </c>
      <c r="F1968" s="20"/>
      <c r="G1968" s="90"/>
      <c r="H1968" s="90"/>
      <c r="I1968" s="21">
        <f t="shared" si="19"/>
        <v>0</v>
      </c>
      <c r="J1968" s="22">
        <f>[1]SUMMARY!N1969</f>
        <v>9566.5</v>
      </c>
      <c r="K1968" s="23">
        <f t="shared" si="20"/>
        <v>0</v>
      </c>
      <c r="L1968" s="8"/>
      <c r="M1968" s="8"/>
    </row>
    <row r="1969" spans="1:13" x14ac:dyDescent="0.2">
      <c r="A1969" s="17" t="str">
        <f>[1]SUMMARY!A1970</f>
        <v>10.00</v>
      </c>
      <c r="B1969" s="17">
        <f>[1]SUMMARY!B1970</f>
        <v>0</v>
      </c>
      <c r="C1969" s="17">
        <f>[1]SUMMARY!C1970</f>
        <v>20</v>
      </c>
      <c r="D1969" s="25" t="str">
        <f>[1]SUMMARY!D1970</f>
        <v>INDEL</v>
      </c>
      <c r="E1969" s="25" t="str">
        <f>[1]SUMMARY!E1970</f>
        <v>18PR RIB ACE</v>
      </c>
      <c r="F1969" s="20"/>
      <c r="G1969" s="90"/>
      <c r="H1969" s="90"/>
      <c r="I1969" s="21">
        <f t="shared" si="19"/>
        <v>0</v>
      </c>
      <c r="J1969" s="22">
        <f>[1]SUMMARY!N1970</f>
        <v>12103</v>
      </c>
      <c r="K1969" s="23">
        <f t="shared" si="20"/>
        <v>0</v>
      </c>
      <c r="L1969" s="8"/>
      <c r="M1969" s="8"/>
    </row>
    <row r="1970" spans="1:13" x14ac:dyDescent="0.2">
      <c r="A1970" s="17" t="str">
        <f>[1]SUMMARY!A1971</f>
        <v>12.00</v>
      </c>
      <c r="B1970" s="17">
        <f>[1]SUMMARY!B1971</f>
        <v>0</v>
      </c>
      <c r="C1970" s="17">
        <f>[1]SUMMARY!C1971</f>
        <v>20</v>
      </c>
      <c r="D1970" s="25" t="str">
        <f>[1]SUMMARY!D1971</f>
        <v>INDEL</v>
      </c>
      <c r="E1970" s="25" t="str">
        <f>[1]SUMMARY!E1971</f>
        <v>18PR RIB HK</v>
      </c>
      <c r="F1970" s="20"/>
      <c r="G1970" s="90"/>
      <c r="H1970" s="90"/>
      <c r="I1970" s="21">
        <f t="shared" si="19"/>
        <v>0</v>
      </c>
      <c r="J1970" s="22">
        <f>[1]SUMMARY!N1971</f>
        <v>12107.75</v>
      </c>
      <c r="K1970" s="23">
        <f t="shared" si="20"/>
        <v>0</v>
      </c>
      <c r="L1970" s="28">
        <f>SUM(K1960:K1970)</f>
        <v>67493.64</v>
      </c>
      <c r="M1970" s="29" t="s">
        <v>118</v>
      </c>
    </row>
    <row r="1971" spans="1:13" x14ac:dyDescent="0.2">
      <c r="A1971" s="17" t="str">
        <f>[1]SUMMARY!A1972</f>
        <v>11</v>
      </c>
      <c r="B1971" s="17">
        <f>[1]SUMMARY!B1972</f>
        <v>0</v>
      </c>
      <c r="C1971" s="17">
        <f>[1]SUMMARY!C1972</f>
        <v>22.5</v>
      </c>
      <c r="D1971" s="25" t="str">
        <f>[1]SUMMARY!D1972</f>
        <v>JOYROAD</v>
      </c>
      <c r="E1971" s="25" t="str">
        <f>[1]SUMMARY!E1972</f>
        <v>18PR ZF151</v>
      </c>
      <c r="F1971" s="20"/>
      <c r="G1971" s="90">
        <v>6</v>
      </c>
      <c r="H1971" s="90">
        <v>6</v>
      </c>
      <c r="I1971" s="21">
        <f t="shared" si="19"/>
        <v>0</v>
      </c>
      <c r="J1971" s="22">
        <f>[1]SUMMARY!N1973</f>
        <v>8300</v>
      </c>
      <c r="K1971" s="23">
        <f t="shared" si="20"/>
        <v>0</v>
      </c>
      <c r="L1971" s="8"/>
      <c r="M1971" s="8"/>
    </row>
    <row r="1972" spans="1:13" x14ac:dyDescent="0.2">
      <c r="A1972" s="17" t="str">
        <f>[1]SUMMARY!A1973</f>
        <v>11</v>
      </c>
      <c r="B1972" s="17">
        <f>[1]SUMMARY!B1973</f>
        <v>0</v>
      </c>
      <c r="C1972" s="17">
        <f>[1]SUMMARY!C1973</f>
        <v>22.5</v>
      </c>
      <c r="D1972" s="25" t="str">
        <f>[1]SUMMARY!D1973</f>
        <v>JOYROAD</v>
      </c>
      <c r="E1972" s="25" t="str">
        <f>[1]SUMMARY!E1973</f>
        <v>18PR ZA808 MIX</v>
      </c>
      <c r="F1972" s="20"/>
      <c r="G1972" s="90">
        <v>4</v>
      </c>
      <c r="H1972" s="90">
        <v>4</v>
      </c>
      <c r="I1972" s="21">
        <f t="shared" si="19"/>
        <v>0</v>
      </c>
      <c r="J1972" s="22">
        <f>[1]SUMMARY!N1974</f>
        <v>7850</v>
      </c>
      <c r="K1972" s="23">
        <f t="shared" si="20"/>
        <v>0</v>
      </c>
      <c r="L1972" s="8"/>
      <c r="M1972" s="8"/>
    </row>
    <row r="1973" spans="1:13" x14ac:dyDescent="0.2">
      <c r="A1973" s="17" t="str">
        <f>[1]SUMMARY!A1974</f>
        <v>11</v>
      </c>
      <c r="B1973" s="17">
        <f>[1]SUMMARY!B1974</f>
        <v>0</v>
      </c>
      <c r="C1973" s="17">
        <f>[1]SUMMARY!C1974</f>
        <v>22.5</v>
      </c>
      <c r="D1973" s="25" t="str">
        <f>[1]SUMMARY!D1974</f>
        <v>JOYROAD</v>
      </c>
      <c r="E1973" s="25" t="str">
        <f>[1]SUMMARY!E1974</f>
        <v>20PR ZF151 RIB</v>
      </c>
      <c r="F1973" s="20"/>
      <c r="G1973" s="90">
        <v>8</v>
      </c>
      <c r="H1973" s="90">
        <v>8</v>
      </c>
      <c r="I1973" s="21">
        <f t="shared" si="19"/>
        <v>0</v>
      </c>
      <c r="J1973" s="22">
        <f>[1]SUMMARY!N1975</f>
        <v>8621.25</v>
      </c>
      <c r="K1973" s="23">
        <f t="shared" si="20"/>
        <v>0</v>
      </c>
      <c r="L1973" s="8"/>
      <c r="M1973" s="8"/>
    </row>
    <row r="1974" spans="1:13" x14ac:dyDescent="0.2">
      <c r="A1974" s="17" t="str">
        <f>[1]SUMMARY!A1975</f>
        <v>11</v>
      </c>
      <c r="B1974" s="17">
        <f>[1]SUMMARY!B1975</f>
        <v>0</v>
      </c>
      <c r="C1974" s="17">
        <f>[1]SUMMARY!C1975</f>
        <v>22.5</v>
      </c>
      <c r="D1974" s="25" t="str">
        <f>[1]SUMMARY!D1975</f>
        <v>JOYROAD</v>
      </c>
      <c r="E1974" s="25" t="str">
        <f>[1]SUMMARY!E1975</f>
        <v>20PR ZD690 LUG</v>
      </c>
      <c r="F1974" s="20"/>
      <c r="G1974" s="90"/>
      <c r="H1974" s="90"/>
      <c r="I1974" s="21">
        <f t="shared" si="19"/>
        <v>0</v>
      </c>
      <c r="J1974" s="22">
        <f>[1]SUMMARY!N1976</f>
        <v>9600</v>
      </c>
      <c r="K1974" s="23">
        <f t="shared" si="20"/>
        <v>0</v>
      </c>
      <c r="L1974" s="8"/>
      <c r="M1974" s="8"/>
    </row>
    <row r="1975" spans="1:13" x14ac:dyDescent="0.2">
      <c r="A1975" s="17" t="str">
        <f>[1]SUMMARY!A1976</f>
        <v>12</v>
      </c>
      <c r="B1975" s="17">
        <f>[1]SUMMARY!B1976</f>
        <v>0</v>
      </c>
      <c r="C1975" s="17">
        <f>[1]SUMMARY!C1976</f>
        <v>22.5</v>
      </c>
      <c r="D1975" s="25" t="str">
        <f>[1]SUMMARY!D1976</f>
        <v>JOYROAD</v>
      </c>
      <c r="E1975" s="25" t="str">
        <f>[1]SUMMARY!E1976</f>
        <v>18PR ZF151 RIB</v>
      </c>
      <c r="F1975" s="20"/>
      <c r="G1975" s="90"/>
      <c r="H1975" s="90"/>
      <c r="I1975" s="21">
        <f t="shared" si="19"/>
        <v>0</v>
      </c>
      <c r="J1975" s="22">
        <f>[1]SUMMARY!N1980</f>
        <v>8380.84</v>
      </c>
      <c r="K1975" s="23">
        <f t="shared" si="20"/>
        <v>0</v>
      </c>
      <c r="L1975" s="28">
        <f>SUM(K1971:K1975)</f>
        <v>0</v>
      </c>
      <c r="M1975" s="29" t="s">
        <v>119</v>
      </c>
    </row>
    <row r="1976" spans="1:13" x14ac:dyDescent="0.2">
      <c r="A1976" s="17" t="str">
        <f>[1]SUMMARY!A1977</f>
        <v>8.5</v>
      </c>
      <c r="B1976" s="17">
        <f>[1]SUMMARY!B1977</f>
        <v>0</v>
      </c>
      <c r="C1976" s="17">
        <f>[1]SUMMARY!C1977</f>
        <v>17.5</v>
      </c>
      <c r="D1976" s="25" t="str">
        <f>[1]SUMMARY!D1977</f>
        <v>LINGLONG</v>
      </c>
      <c r="E1976" s="25" t="str">
        <f>[1]SUMMARY!E1977</f>
        <v>12PR F820 RIB</v>
      </c>
      <c r="F1976" s="20"/>
      <c r="G1976" s="90"/>
      <c r="H1976" s="90"/>
      <c r="I1976" s="21">
        <f t="shared" si="19"/>
        <v>0</v>
      </c>
      <c r="J1976" s="22">
        <f>[1]SUMMARY!N1981</f>
        <v>8052.89</v>
      </c>
      <c r="K1976" s="23">
        <f t="shared" si="20"/>
        <v>0</v>
      </c>
      <c r="L1976" s="8"/>
      <c r="M1976" s="8"/>
    </row>
    <row r="1977" spans="1:13" x14ac:dyDescent="0.2">
      <c r="A1977" s="17" t="str">
        <f>[1]SUMMARY!A1978</f>
        <v>225</v>
      </c>
      <c r="B1977" s="17">
        <f>[1]SUMMARY!B1978</f>
        <v>90</v>
      </c>
      <c r="C1977" s="17">
        <f>[1]SUMMARY!C1978</f>
        <v>17.5</v>
      </c>
      <c r="D1977" s="25" t="str">
        <f>[1]SUMMARY!D1978</f>
        <v>LINGLONG</v>
      </c>
      <c r="E1977" s="25" t="str">
        <f>[1]SUMMARY!E1978</f>
        <v>16PR LFL866</v>
      </c>
      <c r="F1977" s="20"/>
      <c r="G1977" s="90"/>
      <c r="H1977" s="90"/>
      <c r="I1977" s="21">
        <f t="shared" si="19"/>
        <v>0</v>
      </c>
      <c r="J1977" s="22">
        <f>[1]SUMMARY!N1982</f>
        <v>8927</v>
      </c>
      <c r="K1977" s="23">
        <f t="shared" si="20"/>
        <v>0</v>
      </c>
      <c r="L1977" s="8"/>
      <c r="M1977" s="8"/>
    </row>
    <row r="1978" spans="1:13" x14ac:dyDescent="0.2">
      <c r="A1978" s="27" t="str">
        <f>[1]SUMMARY!A1979</f>
        <v>10.00</v>
      </c>
      <c r="B1978" s="17">
        <f>[1]SUMMARY!B1979</f>
        <v>0</v>
      </c>
      <c r="C1978" s="17">
        <f>[1]SUMMARY!C1979</f>
        <v>20</v>
      </c>
      <c r="D1978" s="25" t="str">
        <f>[1]SUMMARY!D1979</f>
        <v>LINGLONG</v>
      </c>
      <c r="E1978" s="25" t="str">
        <f>[1]SUMMARY!E1979</f>
        <v>16PR LUG</v>
      </c>
      <c r="F1978" s="20"/>
      <c r="G1978" s="90"/>
      <c r="H1978" s="90"/>
      <c r="I1978" s="21">
        <f t="shared" si="19"/>
        <v>0</v>
      </c>
      <c r="J1978" s="22">
        <f>[1]SUMMARY!N1983</f>
        <v>7914</v>
      </c>
      <c r="K1978" s="23">
        <f t="shared" si="20"/>
        <v>0</v>
      </c>
      <c r="L1978" s="8"/>
      <c r="M1978" s="8"/>
    </row>
    <row r="1979" spans="1:13" x14ac:dyDescent="0.2">
      <c r="A1979" s="17" t="str">
        <f>[1]SUMMARY!A1980</f>
        <v>11</v>
      </c>
      <c r="B1979" s="17">
        <f>[1]SUMMARY!B1980</f>
        <v>0</v>
      </c>
      <c r="C1979" s="17" t="str">
        <f>[1]SUMMARY!C1980</f>
        <v>R22.5</v>
      </c>
      <c r="D1979" s="25" t="str">
        <f>[1]SUMMARY!D1980</f>
        <v>LONGPOWER</v>
      </c>
      <c r="E1979" s="25" t="str">
        <f>[1]SUMMARY!E1980</f>
        <v>18PR LP666 RIB</v>
      </c>
      <c r="F1979" s="20"/>
      <c r="G1979" s="90">
        <v>6</v>
      </c>
      <c r="H1979" s="90">
        <v>6</v>
      </c>
      <c r="I1979" s="21">
        <f t="shared" si="19"/>
        <v>0</v>
      </c>
      <c r="J1979" s="22">
        <f>[1]SUMMARY!N1981</f>
        <v>8052.89</v>
      </c>
      <c r="K1979" s="23">
        <f t="shared" si="20"/>
        <v>0</v>
      </c>
      <c r="L1979" s="8"/>
      <c r="M1979" s="8"/>
    </row>
    <row r="1980" spans="1:13" x14ac:dyDescent="0.2">
      <c r="A1980" s="17" t="str">
        <f>[1]SUMMARY!A1981</f>
        <v>11</v>
      </c>
      <c r="B1980" s="17">
        <f>[1]SUMMARY!B1981</f>
        <v>0</v>
      </c>
      <c r="C1980" s="17" t="str">
        <f>[1]SUMMARY!C1981</f>
        <v>R22.5</v>
      </c>
      <c r="D1980" s="25" t="str">
        <f>[1]SUMMARY!D1981</f>
        <v>LONGPOWER</v>
      </c>
      <c r="E1980" s="25" t="str">
        <f>[1]SUMMARY!E1981</f>
        <v>18PR LP668 MIX</v>
      </c>
      <c r="F1980" s="20"/>
      <c r="G1980" s="90">
        <v>6</v>
      </c>
      <c r="H1980" s="90">
        <v>6</v>
      </c>
      <c r="I1980" s="21">
        <f t="shared" si="19"/>
        <v>0</v>
      </c>
      <c r="J1980" s="22">
        <f>[1]SUMMARY!N1982</f>
        <v>8927</v>
      </c>
      <c r="K1980" s="23">
        <f t="shared" si="20"/>
        <v>0</v>
      </c>
      <c r="L1980" s="8"/>
      <c r="M1980" s="8"/>
    </row>
    <row r="1981" spans="1:13" x14ac:dyDescent="0.2">
      <c r="A1981" s="17" t="str">
        <f>[1]SUMMARY!A1982</f>
        <v>12</v>
      </c>
      <c r="B1981" s="17">
        <f>[1]SUMMARY!B1982</f>
        <v>0</v>
      </c>
      <c r="C1981" s="17" t="str">
        <f>[1]SUMMARY!C1982</f>
        <v>R22.5</v>
      </c>
      <c r="D1981" s="25" t="str">
        <f>[1]SUMMARY!D1982</f>
        <v>LONGPOWER</v>
      </c>
      <c r="E1981" s="25" t="str">
        <f>[1]SUMMARY!E1982</f>
        <v>18PR TA280 MIX</v>
      </c>
      <c r="F1981" s="20"/>
      <c r="G1981" s="90">
        <v>6</v>
      </c>
      <c r="H1981" s="90">
        <v>6</v>
      </c>
      <c r="I1981" s="21">
        <f t="shared" si="19"/>
        <v>0</v>
      </c>
      <c r="J1981" s="22">
        <f>[1]SUMMARY!N1983</f>
        <v>7914</v>
      </c>
      <c r="K1981" s="23">
        <f t="shared" si="20"/>
        <v>0</v>
      </c>
      <c r="L1981" s="28">
        <f>SUM(K1979:K1981)</f>
        <v>0</v>
      </c>
      <c r="M1981" s="29" t="s">
        <v>120</v>
      </c>
    </row>
    <row r="1982" spans="1:13" x14ac:dyDescent="0.2">
      <c r="A1982" s="17" t="str">
        <f>[1]SUMMARY!A1983</f>
        <v>225</v>
      </c>
      <c r="B1982" s="17">
        <f>[1]SUMMARY!B1983</f>
        <v>80</v>
      </c>
      <c r="C1982" s="17" t="str">
        <f>[1]SUMMARY!C1983</f>
        <v>R17.5</v>
      </c>
      <c r="D1982" s="25" t="str">
        <f>[1]SUMMARY!D1983</f>
        <v>LEAO</v>
      </c>
      <c r="E1982" s="25" t="str">
        <f>[1]SUMMARY!E1983</f>
        <v>14PR RIB</v>
      </c>
      <c r="F1982" s="20"/>
      <c r="G1982" s="90"/>
      <c r="H1982" s="90"/>
      <c r="I1982" s="21">
        <f t="shared" si="19"/>
        <v>0</v>
      </c>
      <c r="J1982" s="22">
        <f>[1]SUMMARY!N1984</f>
        <v>8700.9</v>
      </c>
      <c r="K1982" s="23">
        <f t="shared" si="20"/>
        <v>0</v>
      </c>
      <c r="L1982" s="8"/>
      <c r="M1982" s="8"/>
    </row>
    <row r="1983" spans="1:13" x14ac:dyDescent="0.2">
      <c r="A1983" s="17" t="str">
        <f>[1]SUMMARY!A1984</f>
        <v>245</v>
      </c>
      <c r="B1983" s="17">
        <f>[1]SUMMARY!B1984</f>
        <v>70</v>
      </c>
      <c r="C1983" s="17" t="str">
        <f>[1]SUMMARY!C1984</f>
        <v>R19.5</v>
      </c>
      <c r="D1983" s="25" t="str">
        <f>[1]SUMMARY!D1984</f>
        <v>LEAO</v>
      </c>
      <c r="E1983" s="25" t="str">
        <f>[1]SUMMARY!E1984</f>
        <v>18PR RIB F820</v>
      </c>
      <c r="F1983" s="20"/>
      <c r="G1983" s="90">
        <v>10</v>
      </c>
      <c r="H1983" s="90">
        <v>10</v>
      </c>
      <c r="I1983" s="21">
        <f t="shared" si="19"/>
        <v>0</v>
      </c>
      <c r="J1983" s="22">
        <f>[1]SUMMARY!N1986</f>
        <v>19031.400000000001</v>
      </c>
      <c r="K1983" s="23">
        <f t="shared" si="20"/>
        <v>0</v>
      </c>
      <c r="L1983" s="8"/>
      <c r="M1983" s="8"/>
    </row>
    <row r="1984" spans="1:13" x14ac:dyDescent="0.2">
      <c r="A1984" s="17" t="str">
        <f>[1]SUMMARY!A1985</f>
        <v>245</v>
      </c>
      <c r="B1984" s="17">
        <f>[1]SUMMARY!B1985</f>
        <v>70</v>
      </c>
      <c r="C1984" s="17" t="str">
        <f>[1]SUMMARY!C1985</f>
        <v>R19.5</v>
      </c>
      <c r="D1984" s="25" t="str">
        <f>[1]SUMMARY!D1985</f>
        <v>LEAO</v>
      </c>
      <c r="E1984" s="25" t="str">
        <f>[1]SUMMARY!E1985</f>
        <v>16PR D955 MIX BLOCK</v>
      </c>
      <c r="F1984" s="20"/>
      <c r="G1984" s="20"/>
      <c r="H1984" s="20"/>
      <c r="I1984" s="21">
        <f t="shared" si="19"/>
        <v>0</v>
      </c>
      <c r="J1984" s="22">
        <f>[1]SUMMARY!N1987</f>
        <v>8200</v>
      </c>
      <c r="K1984" s="23">
        <f t="shared" si="20"/>
        <v>0</v>
      </c>
      <c r="L1984" s="29"/>
      <c r="M1984" s="29"/>
    </row>
    <row r="1985" spans="1:13" x14ac:dyDescent="0.2">
      <c r="A1985" s="17" t="str">
        <f>[1]SUMMARY!A1986</f>
        <v>14.90</v>
      </c>
      <c r="B1985" s="17">
        <f>[1]SUMMARY!B1986</f>
        <v>0</v>
      </c>
      <c r="C1985" s="17">
        <f>[1]SUMMARY!C1986</f>
        <v>28</v>
      </c>
      <c r="D1985" s="25" t="str">
        <f>[1]SUMMARY!D1986</f>
        <v>LEAO</v>
      </c>
      <c r="E1985" s="25" t="str">
        <f>[1]SUMMARY!E1986</f>
        <v>8PR LL31 (AGRI)</v>
      </c>
      <c r="F1985" s="20"/>
      <c r="G1985" s="20"/>
      <c r="H1985" s="20"/>
      <c r="I1985" s="21">
        <f t="shared" si="19"/>
        <v>0</v>
      </c>
      <c r="J1985" s="22">
        <f>[1]SUMMARY!N1987</f>
        <v>8200</v>
      </c>
      <c r="K1985" s="23">
        <f t="shared" si="20"/>
        <v>0</v>
      </c>
      <c r="L1985" s="28">
        <f>SUM(K1982:K1985)</f>
        <v>0</v>
      </c>
      <c r="M1985" s="29" t="s">
        <v>46</v>
      </c>
    </row>
    <row r="1986" spans="1:13" x14ac:dyDescent="0.2">
      <c r="A1986" s="17" t="str">
        <f>[1]SUMMARY!A1987</f>
        <v>11</v>
      </c>
      <c r="B1986" s="17">
        <f>[1]SUMMARY!B1987</f>
        <v>0</v>
      </c>
      <c r="C1986" s="17" t="str">
        <f>[1]SUMMARY!C1987</f>
        <v>R22.5</v>
      </c>
      <c r="D1986" s="25" t="str">
        <f>[1]SUMMARY!D1987</f>
        <v>MARVEMAX (CH)</v>
      </c>
      <c r="E1986" s="25" t="str">
        <f>[1]SUMMARY!E1987</f>
        <v>16PR MX920 RIB</v>
      </c>
      <c r="F1986" s="20"/>
      <c r="G1986" s="20">
        <v>6</v>
      </c>
      <c r="H1986" s="20">
        <v>6</v>
      </c>
      <c r="I1986" s="21">
        <f t="shared" si="19"/>
        <v>0</v>
      </c>
      <c r="J1986" s="22">
        <f>[1]SUMMARY!N1988</f>
        <v>4398.5</v>
      </c>
      <c r="K1986" s="23">
        <f t="shared" si="20"/>
        <v>0</v>
      </c>
      <c r="L1986" s="28">
        <f>SUM(K1986)</f>
        <v>0</v>
      </c>
      <c r="M1986" s="29" t="s">
        <v>46</v>
      </c>
    </row>
    <row r="1987" spans="1:13" x14ac:dyDescent="0.2">
      <c r="A1987" s="17" t="str">
        <f>[1]SUMMARY!A1988</f>
        <v>7.00</v>
      </c>
      <c r="B1987" s="17">
        <f>[1]SUMMARY!B1988</f>
        <v>0</v>
      </c>
      <c r="C1987" s="17">
        <f>[1]SUMMARY!C1988</f>
        <v>15</v>
      </c>
      <c r="D1987" s="25" t="str">
        <f>[1]SUMMARY!D1988</f>
        <v>MATRIX</v>
      </c>
      <c r="E1987" s="25" t="str">
        <f>[1]SUMMARY!E1988</f>
        <v>12M-RIB</v>
      </c>
      <c r="F1987" s="20"/>
      <c r="G1987" s="20">
        <v>4</v>
      </c>
      <c r="H1987" s="20">
        <v>4</v>
      </c>
      <c r="I1987" s="21">
        <f t="shared" si="19"/>
        <v>0</v>
      </c>
      <c r="J1987" s="22">
        <f>[1]SUMMARY!N1989</f>
        <v>4940</v>
      </c>
      <c r="K1987" s="23">
        <f t="shared" si="20"/>
        <v>0</v>
      </c>
      <c r="L1987" s="8"/>
      <c r="M1987" s="8"/>
    </row>
    <row r="1988" spans="1:13" x14ac:dyDescent="0.2">
      <c r="A1988" s="17" t="str">
        <f>[1]SUMMARY!A1989</f>
        <v>7.50</v>
      </c>
      <c r="B1988" s="17">
        <f>[1]SUMMARY!B1989</f>
        <v>0</v>
      </c>
      <c r="C1988" s="17">
        <f>[1]SUMMARY!C1989</f>
        <v>15</v>
      </c>
      <c r="D1988" s="25" t="str">
        <f>[1]SUMMARY!D1989</f>
        <v>MATRIX</v>
      </c>
      <c r="E1988" s="25" t="str">
        <f>[1]SUMMARY!E1989</f>
        <v>14M-RIB</v>
      </c>
      <c r="F1988" s="20"/>
      <c r="G1988" s="20">
        <v>2</v>
      </c>
      <c r="H1988" s="20">
        <v>2</v>
      </c>
      <c r="I1988" s="21">
        <f t="shared" si="19"/>
        <v>0</v>
      </c>
      <c r="J1988" s="22">
        <f>[1]SUMMARY!N1990</f>
        <v>5529</v>
      </c>
      <c r="K1988" s="23">
        <f t="shared" si="20"/>
        <v>0</v>
      </c>
      <c r="L1988" s="8"/>
      <c r="M1988" s="8"/>
    </row>
    <row r="1989" spans="1:13" x14ac:dyDescent="0.2">
      <c r="A1989" s="17" t="str">
        <f>[1]SUMMARY!A1990</f>
        <v>7.50</v>
      </c>
      <c r="B1989" s="17">
        <f>[1]SUMMARY!B1990</f>
        <v>0</v>
      </c>
      <c r="C1989" s="17">
        <f>[1]SUMMARY!C1990</f>
        <v>15</v>
      </c>
      <c r="D1989" s="25" t="str">
        <f>[1]SUMMARY!D1990</f>
        <v>MATRIX</v>
      </c>
      <c r="E1989" s="25" t="str">
        <f>[1]SUMMARY!E1990</f>
        <v>14M-LUG</v>
      </c>
      <c r="F1989" s="20"/>
      <c r="G1989" s="20"/>
      <c r="H1989" s="20"/>
      <c r="I1989" s="21">
        <f t="shared" si="19"/>
        <v>0</v>
      </c>
      <c r="J1989" s="22">
        <f>[1]SUMMARY!N1991</f>
        <v>5300</v>
      </c>
      <c r="K1989" s="23">
        <f t="shared" si="20"/>
        <v>0</v>
      </c>
      <c r="L1989" s="8"/>
      <c r="M1989" s="8"/>
    </row>
    <row r="1990" spans="1:13" x14ac:dyDescent="0.2">
      <c r="A1990" s="17" t="str">
        <f>[1]SUMMARY!A1991</f>
        <v>7.00</v>
      </c>
      <c r="B1990" s="17">
        <f>[1]SUMMARY!B1991</f>
        <v>0</v>
      </c>
      <c r="C1990" s="17">
        <f>[1]SUMMARY!C1991</f>
        <v>16</v>
      </c>
      <c r="D1990" s="25" t="str">
        <f>[1]SUMMARY!D1991</f>
        <v>MATRIX</v>
      </c>
      <c r="E1990" s="25" t="str">
        <f>[1]SUMMARY!E1991</f>
        <v>14PR RIB</v>
      </c>
      <c r="F1990" s="20"/>
      <c r="G1990" s="20">
        <v>2</v>
      </c>
      <c r="H1990" s="20">
        <v>2</v>
      </c>
      <c r="I1990" s="21">
        <f t="shared" si="19"/>
        <v>0</v>
      </c>
      <c r="J1990" s="22">
        <f>[1]SUMMARY!N1991</f>
        <v>5300</v>
      </c>
      <c r="K1990" s="23">
        <f t="shared" si="20"/>
        <v>0</v>
      </c>
      <c r="L1990" s="8"/>
      <c r="M1990" s="8"/>
    </row>
    <row r="1991" spans="1:13" x14ac:dyDescent="0.2">
      <c r="A1991" s="17" t="str">
        <f>[1]SUMMARY!A1992</f>
        <v>7.00</v>
      </c>
      <c r="B1991" s="17">
        <f>[1]SUMMARY!B1992</f>
        <v>0</v>
      </c>
      <c r="C1991" s="17">
        <f>[1]SUMMARY!C1992</f>
        <v>16</v>
      </c>
      <c r="D1991" s="25" t="str">
        <f>[1]SUMMARY!D1992</f>
        <v>MATRIX</v>
      </c>
      <c r="E1991" s="25" t="str">
        <f>[1]SUMMARY!E1992</f>
        <v>14M-LUG</v>
      </c>
      <c r="F1991" s="20"/>
      <c r="G1991" s="20"/>
      <c r="H1991" s="20"/>
      <c r="I1991" s="21">
        <f t="shared" si="19"/>
        <v>0</v>
      </c>
      <c r="J1991" s="22">
        <f>[1]SUMMARY!N1992</f>
        <v>4902</v>
      </c>
      <c r="K1991" s="23">
        <f t="shared" si="20"/>
        <v>0</v>
      </c>
      <c r="L1991" s="8"/>
      <c r="M1991" s="8"/>
    </row>
    <row r="1992" spans="1:13" x14ac:dyDescent="0.2">
      <c r="A1992" s="17" t="str">
        <f>[1]SUMMARY!A1993</f>
        <v>7.50</v>
      </c>
      <c r="B1992" s="17">
        <f>[1]SUMMARY!B1993</f>
        <v>0</v>
      </c>
      <c r="C1992" s="17">
        <f>[1]SUMMARY!C1993</f>
        <v>16</v>
      </c>
      <c r="D1992" s="25" t="str">
        <f>[1]SUMMARY!D1993</f>
        <v>MATRIX</v>
      </c>
      <c r="E1992" s="25" t="str">
        <f>[1]SUMMARY!E1993</f>
        <v>16M-RIB</v>
      </c>
      <c r="F1992" s="20"/>
      <c r="G1992" s="20">
        <v>4</v>
      </c>
      <c r="H1992" s="20">
        <v>4</v>
      </c>
      <c r="I1992" s="21">
        <f t="shared" si="19"/>
        <v>0</v>
      </c>
      <c r="J1992" s="22">
        <f>[1]SUMMARY!N1993</f>
        <v>5890</v>
      </c>
      <c r="K1992" s="23">
        <f t="shared" si="20"/>
        <v>0</v>
      </c>
      <c r="L1992" s="8"/>
      <c r="M1992" s="8"/>
    </row>
    <row r="1993" spans="1:13" x14ac:dyDescent="0.2">
      <c r="A1993" s="17" t="str">
        <f>[1]SUMMARY!A1994</f>
        <v>7.50</v>
      </c>
      <c r="B1993" s="17">
        <f>[1]SUMMARY!B1994</f>
        <v>0</v>
      </c>
      <c r="C1993" s="17">
        <f>[1]SUMMARY!C1994</f>
        <v>16</v>
      </c>
      <c r="D1993" s="25" t="str">
        <f>[1]SUMMARY!D1994</f>
        <v>MATRIX</v>
      </c>
      <c r="E1993" s="25" t="str">
        <f>[1]SUMMARY!E1994</f>
        <v>16M-LUG</v>
      </c>
      <c r="F1993" s="20"/>
      <c r="G1993" s="20"/>
      <c r="H1993" s="20"/>
      <c r="I1993" s="21">
        <f t="shared" si="19"/>
        <v>0</v>
      </c>
      <c r="J1993" s="22">
        <f>[1]SUMMARY!N1994</f>
        <v>6080</v>
      </c>
      <c r="K1993" s="23">
        <f t="shared" si="20"/>
        <v>0</v>
      </c>
      <c r="L1993" s="8"/>
      <c r="M1993" s="8"/>
    </row>
    <row r="1994" spans="1:13" x14ac:dyDescent="0.2">
      <c r="A1994" s="17" t="str">
        <f>[1]SUMMARY!A1995</f>
        <v>8.25</v>
      </c>
      <c r="B1994" s="17">
        <f>[1]SUMMARY!B1995</f>
        <v>0</v>
      </c>
      <c r="C1994" s="17">
        <f>[1]SUMMARY!C1995</f>
        <v>16</v>
      </c>
      <c r="D1994" s="25" t="str">
        <f>[1]SUMMARY!D1995</f>
        <v>MATRIX</v>
      </c>
      <c r="E1994" s="25" t="str">
        <f>[1]SUMMARY!E1995</f>
        <v>16M-RIB</v>
      </c>
      <c r="F1994" s="20"/>
      <c r="G1994" s="20"/>
      <c r="H1994" s="20"/>
      <c r="I1994" s="21">
        <f t="shared" si="19"/>
        <v>0</v>
      </c>
      <c r="J1994" s="22">
        <f>[1]SUMMARY!N1995</f>
        <v>5753.44</v>
      </c>
      <c r="K1994" s="23">
        <f t="shared" si="20"/>
        <v>0</v>
      </c>
      <c r="L1994" s="29"/>
      <c r="M1994" s="29"/>
    </row>
    <row r="1995" spans="1:13" x14ac:dyDescent="0.2">
      <c r="A1995" s="17" t="str">
        <f>[1]SUMMARY!A1996</f>
        <v>8.25</v>
      </c>
      <c r="B1995" s="17">
        <f>[1]SUMMARY!B1996</f>
        <v>0</v>
      </c>
      <c r="C1995" s="17">
        <f>[1]SUMMARY!C1996</f>
        <v>20</v>
      </c>
      <c r="D1995" s="25" t="str">
        <f>[1]SUMMARY!D1996</f>
        <v>MATRIX</v>
      </c>
      <c r="E1995" s="25" t="str">
        <f>[1]SUMMARY!E1996</f>
        <v>16PR RIB</v>
      </c>
      <c r="F1995" s="20"/>
      <c r="G1995" s="20"/>
      <c r="H1995" s="20"/>
      <c r="I1995" s="21">
        <f t="shared" si="19"/>
        <v>0</v>
      </c>
      <c r="J1995" s="22">
        <f>[1]SUMMARY!N1996</f>
        <v>8315</v>
      </c>
      <c r="K1995" s="23">
        <f t="shared" si="20"/>
        <v>0</v>
      </c>
      <c r="L1995" s="28">
        <f>SUM(K1987:K1995)</f>
        <v>0</v>
      </c>
      <c r="M1995" s="29" t="s">
        <v>121</v>
      </c>
    </row>
    <row r="1996" spans="1:13" x14ac:dyDescent="0.2">
      <c r="A1996" s="17" t="str">
        <f>[1]SUMMARY!A1997</f>
        <v>7.50</v>
      </c>
      <c r="B1996" s="17">
        <f>[1]SUMMARY!B1997</f>
        <v>0</v>
      </c>
      <c r="C1996" s="17">
        <f>[1]SUMMARY!C1997</f>
        <v>15</v>
      </c>
      <c r="D1996" s="25" t="str">
        <f>[1]SUMMARY!D1997</f>
        <v>MEGA</v>
      </c>
      <c r="E1996" s="25" t="str">
        <f>[1]SUMMARY!E1997</f>
        <v>14PR MX218 LUG</v>
      </c>
      <c r="F1996" s="20"/>
      <c r="G1996" s="20"/>
      <c r="H1996" s="20"/>
      <c r="I1996" s="21">
        <f t="shared" si="19"/>
        <v>0</v>
      </c>
      <c r="J1996" s="22">
        <f>[1]SUMMARY!N1997</f>
        <v>5360.33</v>
      </c>
      <c r="K1996" s="23">
        <f t="shared" si="20"/>
        <v>0</v>
      </c>
      <c r="L1996" s="8"/>
      <c r="M1996" s="8"/>
    </row>
    <row r="1997" spans="1:13" x14ac:dyDescent="0.2">
      <c r="A1997" s="27" t="str">
        <f>[1]SUMMARY!A1998</f>
        <v>7.00</v>
      </c>
      <c r="B1997" s="17">
        <f>[1]SUMMARY!B1998</f>
        <v>0</v>
      </c>
      <c r="C1997" s="17">
        <f>[1]SUMMARY!C1998</f>
        <v>16</v>
      </c>
      <c r="D1997" s="25" t="str">
        <f>[1]SUMMARY!D1998</f>
        <v>MEGA</v>
      </c>
      <c r="E1997" s="25" t="str">
        <f>[1]SUMMARY!E1998</f>
        <v>14PR MX218 LUG</v>
      </c>
      <c r="F1997" s="20"/>
      <c r="G1997" s="20"/>
      <c r="H1997" s="20"/>
      <c r="I1997" s="21">
        <f t="shared" si="19"/>
        <v>0</v>
      </c>
      <c r="J1997" s="22">
        <f>[1]SUMMARY!N1998</f>
        <v>5483.75</v>
      </c>
      <c r="K1997" s="23">
        <f t="shared" si="20"/>
        <v>0</v>
      </c>
      <c r="L1997" s="28">
        <f>SUM(K1996:K1997)</f>
        <v>0</v>
      </c>
      <c r="M1997" s="29" t="s">
        <v>122</v>
      </c>
    </row>
    <row r="1998" spans="1:13" x14ac:dyDescent="0.2">
      <c r="A1998" s="17" t="str">
        <f>[1]SUMMARY!A1999</f>
        <v>7.00</v>
      </c>
      <c r="B1998" s="17">
        <f>[1]SUMMARY!B1999</f>
        <v>0</v>
      </c>
      <c r="C1998" s="17">
        <f>[1]SUMMARY!C1999</f>
        <v>15</v>
      </c>
      <c r="D1998" s="25" t="str">
        <f>[1]SUMMARY!D1999</f>
        <v>MRF</v>
      </c>
      <c r="E1998" s="25" t="str">
        <f>[1]SUMMARY!E1999</f>
        <v>SUPERLUG</v>
      </c>
      <c r="F1998" s="20"/>
      <c r="G1998" s="20">
        <v>2</v>
      </c>
      <c r="H1998" s="20">
        <v>2</v>
      </c>
      <c r="I1998" s="21">
        <f t="shared" si="19"/>
        <v>0</v>
      </c>
      <c r="J1998" s="22">
        <f>[1]SUMMARY!N1999</f>
        <v>5420</v>
      </c>
      <c r="K1998" s="23">
        <f t="shared" si="20"/>
        <v>0</v>
      </c>
      <c r="L1998" s="8"/>
      <c r="M1998" s="8"/>
    </row>
    <row r="1999" spans="1:13" x14ac:dyDescent="0.2">
      <c r="A1999" s="17" t="str">
        <f>[1]SUMMARY!A2000</f>
        <v>7.00</v>
      </c>
      <c r="B1999" s="17">
        <f>[1]SUMMARY!B2000</f>
        <v>0</v>
      </c>
      <c r="C1999" s="17">
        <f>[1]SUMMARY!C2000</f>
        <v>15</v>
      </c>
      <c r="D1999" s="25" t="str">
        <f>[1]SUMMARY!D2000</f>
        <v>MRF</v>
      </c>
      <c r="E1999" s="25" t="str">
        <f>[1]SUMMARY!E2000</f>
        <v>12PR SUPERMILER 95</v>
      </c>
      <c r="F1999" s="20"/>
      <c r="G1999" s="20">
        <v>61</v>
      </c>
      <c r="H1999" s="20">
        <v>61</v>
      </c>
      <c r="I1999" s="21">
        <f t="shared" si="19"/>
        <v>0</v>
      </c>
      <c r="J1999" s="22">
        <f>[1]SUMMARY!N2000</f>
        <v>5750</v>
      </c>
      <c r="K1999" s="23">
        <f t="shared" si="20"/>
        <v>0</v>
      </c>
      <c r="L1999" s="8"/>
      <c r="M1999" s="8"/>
    </row>
    <row r="2000" spans="1:13" x14ac:dyDescent="0.2">
      <c r="A2000" s="17" t="str">
        <f>[1]SUMMARY!A2001</f>
        <v>7.50</v>
      </c>
      <c r="B2000" s="17">
        <f>[1]SUMMARY!B2001</f>
        <v>0</v>
      </c>
      <c r="C2000" s="17">
        <f>[1]SUMMARY!C2001</f>
        <v>15</v>
      </c>
      <c r="D2000" s="25" t="str">
        <f>[1]SUMMARY!D2001</f>
        <v xml:space="preserve">MRF  </v>
      </c>
      <c r="E2000" s="25" t="str">
        <f>[1]SUMMARY!E2001</f>
        <v>14PR SUPERLUG 50</v>
      </c>
      <c r="F2000" s="20"/>
      <c r="G2000" s="20">
        <v>9</v>
      </c>
      <c r="H2000" s="20">
        <v>9</v>
      </c>
      <c r="I2000" s="21">
        <f t="shared" si="19"/>
        <v>0</v>
      </c>
      <c r="J2000" s="22">
        <f>[1]SUMMARY!N2001</f>
        <v>6400</v>
      </c>
      <c r="K2000" s="23">
        <f t="shared" si="20"/>
        <v>0</v>
      </c>
      <c r="L2000" s="8"/>
      <c r="M2000" s="8"/>
    </row>
    <row r="2001" spans="1:13" x14ac:dyDescent="0.2">
      <c r="A2001" s="17" t="str">
        <f>[1]SUMMARY!A2002</f>
        <v>7.50</v>
      </c>
      <c r="B2001" s="17">
        <f>[1]SUMMARY!B2002</f>
        <v>0</v>
      </c>
      <c r="C2001" s="17">
        <f>[1]SUMMARY!C2002</f>
        <v>15</v>
      </c>
      <c r="D2001" s="25" t="str">
        <f>[1]SUMMARY!D2002</f>
        <v>MRF</v>
      </c>
      <c r="E2001" s="25" t="str">
        <f>[1]SUMMARY!E2002</f>
        <v>14PR SUPERMILLER 99-95</v>
      </c>
      <c r="F2001" s="20"/>
      <c r="G2001" s="20">
        <v>30</v>
      </c>
      <c r="H2001" s="20">
        <v>30</v>
      </c>
      <c r="I2001" s="21">
        <f t="shared" si="19"/>
        <v>0</v>
      </c>
      <c r="J2001" s="22">
        <f>[1]SUMMARY!N2002</f>
        <v>6168</v>
      </c>
      <c r="K2001" s="23">
        <f t="shared" si="20"/>
        <v>0</v>
      </c>
      <c r="L2001" s="8"/>
      <c r="M2001" s="8"/>
    </row>
    <row r="2002" spans="1:13" x14ac:dyDescent="0.2">
      <c r="A2002" s="17" t="str">
        <f>[1]SUMMARY!A2003</f>
        <v>7.00</v>
      </c>
      <c r="B2002" s="17">
        <f>[1]SUMMARY!B2003</f>
        <v>0</v>
      </c>
      <c r="C2002" s="17">
        <f>[1]SUMMARY!C2003</f>
        <v>16</v>
      </c>
      <c r="D2002" s="25" t="str">
        <f>[1]SUMMARY!D2003</f>
        <v>MRF</v>
      </c>
      <c r="E2002" s="25" t="str">
        <f>[1]SUMMARY!E2003</f>
        <v>14PR SUPERLUG</v>
      </c>
      <c r="F2002" s="20"/>
      <c r="G2002" s="20">
        <v>2</v>
      </c>
      <c r="H2002" s="20">
        <v>2</v>
      </c>
      <c r="I2002" s="21">
        <f t="shared" si="19"/>
        <v>0</v>
      </c>
      <c r="J2002" s="22">
        <f>[1]SUMMARY!N2003</f>
        <v>6500</v>
      </c>
      <c r="K2002" s="23">
        <f t="shared" si="20"/>
        <v>0</v>
      </c>
      <c r="L2002" s="8"/>
      <c r="M2002" s="8"/>
    </row>
    <row r="2003" spans="1:13" x14ac:dyDescent="0.2">
      <c r="A2003" s="17" t="str">
        <f>[1]SUMMARY!A2004</f>
        <v>7.00</v>
      </c>
      <c r="B2003" s="17">
        <f>[1]SUMMARY!B2004</f>
        <v>0</v>
      </c>
      <c r="C2003" s="17">
        <f>[1]SUMMARY!C2004</f>
        <v>16</v>
      </c>
      <c r="D2003" s="25" t="str">
        <f>[1]SUMMARY!D2004</f>
        <v>MRF</v>
      </c>
      <c r="E2003" s="25" t="str">
        <f>[1]SUMMARY!E2004</f>
        <v>SUPERMILLER 95/99</v>
      </c>
      <c r="F2003" s="20"/>
      <c r="G2003" s="20">
        <v>10</v>
      </c>
      <c r="H2003" s="20">
        <v>10</v>
      </c>
      <c r="I2003" s="21">
        <f t="shared" si="19"/>
        <v>0</v>
      </c>
      <c r="J2003" s="22">
        <f>[1]SUMMARY!N2004</f>
        <v>5496</v>
      </c>
      <c r="K2003" s="23">
        <f t="shared" si="20"/>
        <v>0</v>
      </c>
      <c r="L2003" s="8"/>
      <c r="M2003" s="8"/>
    </row>
    <row r="2004" spans="1:13" x14ac:dyDescent="0.2">
      <c r="A2004" s="17" t="str">
        <f>[1]SUMMARY!A2005</f>
        <v>7.50</v>
      </c>
      <c r="B2004" s="17">
        <f>[1]SUMMARY!B2005</f>
        <v>0</v>
      </c>
      <c r="C2004" s="17">
        <f>[1]SUMMARY!C2005</f>
        <v>16</v>
      </c>
      <c r="D2004" s="25" t="str">
        <f>[1]SUMMARY!D2005</f>
        <v>MRF</v>
      </c>
      <c r="E2004" s="25" t="str">
        <f>[1]SUMMARY!E2005</f>
        <v>14PR SUPERMILLER 95</v>
      </c>
      <c r="F2004" s="20"/>
      <c r="G2004" s="20"/>
      <c r="H2004" s="20"/>
      <c r="I2004" s="21">
        <f t="shared" si="19"/>
        <v>0</v>
      </c>
      <c r="J2004" s="22">
        <f>[1]SUMMARY!N2005</f>
        <v>6250</v>
      </c>
      <c r="K2004" s="23">
        <f t="shared" si="20"/>
        <v>0</v>
      </c>
      <c r="L2004" s="8"/>
      <c r="M2004" s="8"/>
    </row>
    <row r="2005" spans="1:13" x14ac:dyDescent="0.2">
      <c r="A2005" s="17" t="str">
        <f>[1]SUMMARY!A2006</f>
        <v>7.50</v>
      </c>
      <c r="B2005" s="17">
        <f>[1]SUMMARY!B2006</f>
        <v>0</v>
      </c>
      <c r="C2005" s="17">
        <f>[1]SUMMARY!C2006</f>
        <v>16</v>
      </c>
      <c r="D2005" s="25" t="str">
        <f>[1]SUMMARY!D2006</f>
        <v>MRF</v>
      </c>
      <c r="E2005" s="25" t="str">
        <f>[1]SUMMARY!E2006</f>
        <v>16PR SUPERMILLER 95</v>
      </c>
      <c r="F2005" s="20"/>
      <c r="G2005" s="20">
        <v>32</v>
      </c>
      <c r="H2005" s="20">
        <v>32</v>
      </c>
      <c r="I2005" s="21">
        <f t="shared" si="19"/>
        <v>0</v>
      </c>
      <c r="J2005" s="22">
        <f>[1]SUMMARY!N2006</f>
        <v>6250</v>
      </c>
      <c r="K2005" s="23">
        <f t="shared" si="20"/>
        <v>0</v>
      </c>
      <c r="L2005" s="8"/>
      <c r="M2005" s="8"/>
    </row>
    <row r="2006" spans="1:13" x14ac:dyDescent="0.2">
      <c r="A2006" s="17" t="str">
        <f>[1]SUMMARY!A2007</f>
        <v>7.50</v>
      </c>
      <c r="B2006" s="17">
        <f>[1]SUMMARY!B2007</f>
        <v>0</v>
      </c>
      <c r="C2006" s="17">
        <f>[1]SUMMARY!C2007</f>
        <v>16</v>
      </c>
      <c r="D2006" s="25" t="str">
        <f>[1]SUMMARY!D2007</f>
        <v>MRF</v>
      </c>
      <c r="E2006" s="25" t="str">
        <f>[1]SUMMARY!E2007</f>
        <v>SUPERLUG/50</v>
      </c>
      <c r="F2006" s="20"/>
      <c r="G2006" s="20">
        <v>6</v>
      </c>
      <c r="H2006" s="20">
        <v>6</v>
      </c>
      <c r="I2006" s="21">
        <f t="shared" si="19"/>
        <v>0</v>
      </c>
      <c r="J2006" s="22">
        <f>[1]SUMMARY!N2007</f>
        <v>7191</v>
      </c>
      <c r="K2006" s="23">
        <f t="shared" si="20"/>
        <v>0</v>
      </c>
      <c r="L2006" s="8"/>
      <c r="M2006" s="8"/>
    </row>
    <row r="2007" spans="1:13" x14ac:dyDescent="0.2">
      <c r="A2007" s="17" t="str">
        <f>[1]SUMMARY!A2008</f>
        <v>8.25</v>
      </c>
      <c r="B2007" s="17">
        <f>[1]SUMMARY!B2008</f>
        <v>0</v>
      </c>
      <c r="C2007" s="17">
        <f>[1]SUMMARY!C2008</f>
        <v>16</v>
      </c>
      <c r="D2007" s="25" t="str">
        <f>[1]SUMMARY!D2008</f>
        <v>MRF</v>
      </c>
      <c r="E2007" s="25" t="str">
        <f>[1]SUMMARY!E2008</f>
        <v>SUPERLUG 16PR</v>
      </c>
      <c r="F2007" s="20"/>
      <c r="G2007" s="20">
        <v>17</v>
      </c>
      <c r="H2007" s="20">
        <v>17</v>
      </c>
      <c r="I2007" s="21">
        <f t="shared" si="19"/>
        <v>0</v>
      </c>
      <c r="J2007" s="22">
        <f>[1]SUMMARY!N2008</f>
        <v>7850</v>
      </c>
      <c r="K2007" s="23">
        <f t="shared" si="20"/>
        <v>0</v>
      </c>
      <c r="L2007" s="8"/>
      <c r="M2007" s="8"/>
    </row>
    <row r="2008" spans="1:13" x14ac:dyDescent="0.2">
      <c r="A2008" s="17" t="str">
        <f>[1]SUMMARY!A2009</f>
        <v>8.25</v>
      </c>
      <c r="B2008" s="17">
        <f>[1]SUMMARY!B2009</f>
        <v>0</v>
      </c>
      <c r="C2008" s="17">
        <f>[1]SUMMARY!C2009</f>
        <v>16</v>
      </c>
      <c r="D2008" s="25" t="str">
        <f>[1]SUMMARY!D2009</f>
        <v>MRF</v>
      </c>
      <c r="E2008" s="25" t="str">
        <f>[1]SUMMARY!E2009</f>
        <v>SUPERMILLER 16PR</v>
      </c>
      <c r="F2008" s="20"/>
      <c r="G2008" s="20">
        <v>4</v>
      </c>
      <c r="H2008" s="20">
        <v>4</v>
      </c>
      <c r="I2008" s="21">
        <f t="shared" si="19"/>
        <v>0</v>
      </c>
      <c r="J2008" s="22">
        <f>[1]SUMMARY!N2009</f>
        <v>8037</v>
      </c>
      <c r="K2008" s="23">
        <f t="shared" si="20"/>
        <v>0</v>
      </c>
      <c r="L2008" s="8"/>
      <c r="M2008" s="8"/>
    </row>
    <row r="2009" spans="1:13" x14ac:dyDescent="0.2">
      <c r="A2009" s="17" t="str">
        <f>[1]SUMMARY!A2010</f>
        <v>9.5</v>
      </c>
      <c r="B2009" s="17">
        <f>[1]SUMMARY!B2010</f>
        <v>0</v>
      </c>
      <c r="C2009" s="17">
        <f>[1]SUMMARY!C2010</f>
        <v>17.5</v>
      </c>
      <c r="D2009" s="25" t="str">
        <f>[1]SUMMARY!D2010</f>
        <v>MRF</v>
      </c>
      <c r="E2009" s="25" t="str">
        <f>[1]SUMMARY!E2010</f>
        <v>S1R4 RIB</v>
      </c>
      <c r="F2009" s="20"/>
      <c r="G2009" s="20"/>
      <c r="H2009" s="20"/>
      <c r="I2009" s="21">
        <f t="shared" si="19"/>
        <v>0</v>
      </c>
      <c r="J2009" s="22">
        <f>[1]SUMMARY!N2010</f>
        <v>8696</v>
      </c>
      <c r="K2009" s="23">
        <f t="shared" si="20"/>
        <v>0</v>
      </c>
      <c r="L2009" s="8"/>
      <c r="M2009" s="8"/>
    </row>
    <row r="2010" spans="1:13" x14ac:dyDescent="0.2">
      <c r="A2010" s="17" t="str">
        <f>[1]SUMMARY!A2011</f>
        <v>8.25</v>
      </c>
      <c r="B2010" s="17">
        <f>[1]SUMMARY!B2011</f>
        <v>0</v>
      </c>
      <c r="C2010" s="17">
        <f>[1]SUMMARY!C2011</f>
        <v>20</v>
      </c>
      <c r="D2010" s="25" t="str">
        <f>[1]SUMMARY!D2011</f>
        <v>MRF</v>
      </c>
      <c r="E2010" s="25" t="str">
        <f>[1]SUMMARY!E2011</f>
        <v>16PR SUPERMILER 99</v>
      </c>
      <c r="F2010" s="20"/>
      <c r="G2010" s="20">
        <v>16</v>
      </c>
      <c r="H2010" s="20">
        <v>16</v>
      </c>
      <c r="I2010" s="21">
        <f t="shared" si="19"/>
        <v>0</v>
      </c>
      <c r="J2010" s="22">
        <f>[1]SUMMARY!N2011</f>
        <v>8584</v>
      </c>
      <c r="K2010" s="23">
        <f t="shared" si="20"/>
        <v>0</v>
      </c>
      <c r="L2010" s="8"/>
      <c r="M2010" s="8"/>
    </row>
    <row r="2011" spans="1:13" x14ac:dyDescent="0.2">
      <c r="A2011" s="17" t="str">
        <f>[1]SUMMARY!A2012</f>
        <v>8.25</v>
      </c>
      <c r="B2011" s="17">
        <f>[1]SUMMARY!B2012</f>
        <v>0</v>
      </c>
      <c r="C2011" s="17">
        <f>[1]SUMMARY!C2012</f>
        <v>20</v>
      </c>
      <c r="D2011" s="25" t="str">
        <f>[1]SUMMARY!D2012</f>
        <v>MRF</v>
      </c>
      <c r="E2011" s="25" t="str">
        <f>[1]SUMMARY!E2012</f>
        <v>SUPERLUG 50</v>
      </c>
      <c r="F2011" s="20"/>
      <c r="G2011" s="20"/>
      <c r="H2011" s="20"/>
      <c r="I2011" s="21">
        <f t="shared" si="19"/>
        <v>0</v>
      </c>
      <c r="J2011" s="22">
        <f>[1]SUMMARY!N2012</f>
        <v>10014.5</v>
      </c>
      <c r="K2011" s="23">
        <f t="shared" si="20"/>
        <v>0</v>
      </c>
      <c r="L2011" s="8"/>
      <c r="M2011" s="8"/>
    </row>
    <row r="2012" spans="1:13" x14ac:dyDescent="0.2">
      <c r="A2012" s="17" t="str">
        <f>[1]SUMMARY!A2013</f>
        <v>9.00</v>
      </c>
      <c r="B2012" s="17">
        <f>[1]SUMMARY!B2013</f>
        <v>0</v>
      </c>
      <c r="C2012" s="17">
        <f>[1]SUMMARY!C2013</f>
        <v>20</v>
      </c>
      <c r="D2012" s="25" t="str">
        <f>[1]SUMMARY!D2013</f>
        <v>MRF</v>
      </c>
      <c r="E2012" s="25" t="str">
        <f>[1]SUMMARY!E2013</f>
        <v>SUPERLUG</v>
      </c>
      <c r="F2012" s="20"/>
      <c r="G2012" s="20"/>
      <c r="H2012" s="20"/>
      <c r="I2012" s="21">
        <f t="shared" si="19"/>
        <v>0</v>
      </c>
      <c r="J2012" s="22">
        <f>[1]SUMMARY!N2013</f>
        <v>10917.5</v>
      </c>
      <c r="K2012" s="23">
        <f t="shared" si="20"/>
        <v>0</v>
      </c>
      <c r="L2012" s="8"/>
      <c r="M2012" s="8"/>
    </row>
    <row r="2013" spans="1:13" x14ac:dyDescent="0.2">
      <c r="A2013" s="17" t="str">
        <f>[1]SUMMARY!A2014</f>
        <v>9.00</v>
      </c>
      <c r="B2013" s="17">
        <f>[1]SUMMARY!B2014</f>
        <v>0</v>
      </c>
      <c r="C2013" s="17">
        <f>[1]SUMMARY!C2014</f>
        <v>20</v>
      </c>
      <c r="D2013" s="25" t="str">
        <f>[1]SUMMARY!D2014</f>
        <v>MRF</v>
      </c>
      <c r="E2013" s="25" t="str">
        <f>[1]SUMMARY!E2014</f>
        <v>SUPERMILER 99</v>
      </c>
      <c r="F2013" s="20"/>
      <c r="G2013" s="20">
        <v>13</v>
      </c>
      <c r="H2013" s="20">
        <v>13</v>
      </c>
      <c r="I2013" s="21">
        <f t="shared" si="19"/>
        <v>0</v>
      </c>
      <c r="J2013" s="22">
        <f>[1]SUMMARY!N2014</f>
        <v>10600</v>
      </c>
      <c r="K2013" s="23">
        <f t="shared" si="20"/>
        <v>0</v>
      </c>
      <c r="L2013" s="8"/>
      <c r="M2013" s="8"/>
    </row>
    <row r="2014" spans="1:13" x14ac:dyDescent="0.2">
      <c r="A2014" s="17" t="str">
        <f>[1]SUMMARY!A2015</f>
        <v>10.00</v>
      </c>
      <c r="B2014" s="17">
        <f>[1]SUMMARY!B2015</f>
        <v>0</v>
      </c>
      <c r="C2014" s="17">
        <f>[1]SUMMARY!C2015</f>
        <v>20</v>
      </c>
      <c r="D2014" s="25" t="str">
        <f>[1]SUMMARY!D2015</f>
        <v>MRF</v>
      </c>
      <c r="E2014" s="25" t="str">
        <f>[1]SUMMARY!E2015</f>
        <v>SUPERLUG 16PR 78</v>
      </c>
      <c r="F2014" s="20"/>
      <c r="G2014" s="20"/>
      <c r="H2014" s="20"/>
      <c r="I2014" s="21">
        <f t="shared" si="19"/>
        <v>0</v>
      </c>
      <c r="J2014" s="22">
        <f>[1]SUMMARY!N2015</f>
        <v>13008</v>
      </c>
      <c r="K2014" s="23">
        <f t="shared" si="20"/>
        <v>0</v>
      </c>
      <c r="L2014" s="8"/>
      <c r="M2014" s="8"/>
    </row>
    <row r="2015" spans="1:13" x14ac:dyDescent="0.2">
      <c r="A2015" s="17" t="str">
        <f>[1]SUMMARY!A2016</f>
        <v>10.00</v>
      </c>
      <c r="B2015" s="17">
        <f>[1]SUMMARY!B2016</f>
        <v>0</v>
      </c>
      <c r="C2015" s="17">
        <f>[1]SUMMARY!C2016</f>
        <v>20</v>
      </c>
      <c r="D2015" s="25" t="str">
        <f>[1]SUMMARY!D2016</f>
        <v>MRF</v>
      </c>
      <c r="E2015" s="25" t="str">
        <f>[1]SUMMARY!E2016</f>
        <v>SUPERMILLER SED 99</v>
      </c>
      <c r="F2015" s="20"/>
      <c r="G2015" s="20"/>
      <c r="H2015" s="20"/>
      <c r="I2015" s="21">
        <f t="shared" si="19"/>
        <v>0</v>
      </c>
      <c r="J2015" s="22">
        <f>[1]SUMMARY!N2016</f>
        <v>12621</v>
      </c>
      <c r="K2015" s="23">
        <f t="shared" si="20"/>
        <v>0</v>
      </c>
      <c r="L2015" s="8"/>
      <c r="M2015" s="8"/>
    </row>
    <row r="2016" spans="1:13" x14ac:dyDescent="0.2">
      <c r="A2016" s="17" t="str">
        <f>[1]SUMMARY!A2017</f>
        <v>10.00</v>
      </c>
      <c r="B2016" s="17">
        <f>[1]SUMMARY!B2017</f>
        <v>0</v>
      </c>
      <c r="C2016" s="17">
        <f>[1]SUMMARY!C2017</f>
        <v>20</v>
      </c>
      <c r="D2016" s="25" t="str">
        <f>[1]SUMMARY!D2017</f>
        <v>MRF</v>
      </c>
      <c r="E2016" s="25" t="str">
        <f>[1]SUMMARY!E2017</f>
        <v>SUPERMILLER SLN</v>
      </c>
      <c r="F2016" s="20"/>
      <c r="G2016" s="20">
        <v>2</v>
      </c>
      <c r="H2016" s="20">
        <v>2</v>
      </c>
      <c r="I2016" s="21">
        <f t="shared" ref="I2016:I2132" si="22">F2016+G2016-H2016</f>
        <v>0</v>
      </c>
      <c r="J2016" s="22">
        <f>[1]SUMMARY!N2017</f>
        <v>12273</v>
      </c>
      <c r="K2016" s="23">
        <f t="shared" si="20"/>
        <v>0</v>
      </c>
      <c r="L2016" s="8"/>
      <c r="M2016" s="8"/>
    </row>
    <row r="2017" spans="1:13" x14ac:dyDescent="0.2">
      <c r="A2017" s="17" t="str">
        <f>[1]SUMMARY!A2018</f>
        <v>10.00</v>
      </c>
      <c r="B2017" s="17">
        <f>[1]SUMMARY!B2018</f>
        <v>0</v>
      </c>
      <c r="C2017" s="17">
        <f>[1]SUMMARY!C2018</f>
        <v>20</v>
      </c>
      <c r="D2017" s="25" t="str">
        <f>[1]SUMMARY!D2018</f>
        <v>MRF</v>
      </c>
      <c r="E2017" s="25" t="str">
        <f>[1]SUMMARY!E2018</f>
        <v>MUSCLEMILER 16PR</v>
      </c>
      <c r="F2017" s="20"/>
      <c r="G2017" s="20">
        <v>2</v>
      </c>
      <c r="H2017" s="20">
        <v>2</v>
      </c>
      <c r="I2017" s="21">
        <f t="shared" si="22"/>
        <v>0</v>
      </c>
      <c r="J2017" s="22">
        <f>[1]SUMMARY!N2018</f>
        <v>10884.5</v>
      </c>
      <c r="K2017" s="23">
        <f t="shared" si="20"/>
        <v>0</v>
      </c>
      <c r="L2017" s="8"/>
      <c r="M2017" s="8"/>
    </row>
    <row r="2018" spans="1:13" x14ac:dyDescent="0.2">
      <c r="A2018" s="17" t="str">
        <f>[1]SUMMARY!A2019</f>
        <v>11.00</v>
      </c>
      <c r="B2018" s="17">
        <f>[1]SUMMARY!B2019</f>
        <v>0</v>
      </c>
      <c r="C2018" s="17">
        <f>[1]SUMMARY!C2019</f>
        <v>20</v>
      </c>
      <c r="D2018" s="25" t="str">
        <f>[1]SUMMARY!D2019</f>
        <v>MRF</v>
      </c>
      <c r="E2018" s="25" t="str">
        <f>[1]SUMMARY!E2019</f>
        <v>SUPERLUG 16PR</v>
      </c>
      <c r="F2018" s="20"/>
      <c r="G2018" s="20"/>
      <c r="H2018" s="20"/>
      <c r="I2018" s="21">
        <f t="shared" si="22"/>
        <v>0</v>
      </c>
      <c r="J2018" s="22">
        <f>[1]SUMMARY!N2019</f>
        <v>14228</v>
      </c>
      <c r="K2018" s="23">
        <f t="shared" si="20"/>
        <v>0</v>
      </c>
      <c r="L2018" s="8"/>
      <c r="M2018" s="8"/>
    </row>
    <row r="2019" spans="1:13" x14ac:dyDescent="0.2">
      <c r="A2019" s="17" t="str">
        <f>[1]SUMMARY!A2020</f>
        <v>11.00</v>
      </c>
      <c r="B2019" s="17">
        <f>[1]SUMMARY!B2020</f>
        <v>0</v>
      </c>
      <c r="C2019" s="17">
        <f>[1]SUMMARY!C2020</f>
        <v>20</v>
      </c>
      <c r="D2019" s="25" t="str">
        <f>[1]SUMMARY!D2020</f>
        <v>MRF</v>
      </c>
      <c r="E2019" s="25" t="str">
        <f>[1]SUMMARY!E2020</f>
        <v>MUSCLEMILER 16PR</v>
      </c>
      <c r="F2019" s="20"/>
      <c r="G2019" s="20"/>
      <c r="H2019" s="20"/>
      <c r="I2019" s="21">
        <f t="shared" si="22"/>
        <v>0</v>
      </c>
      <c r="J2019" s="22">
        <f>[1]SUMMARY!N2020</f>
        <v>15905</v>
      </c>
      <c r="K2019" s="23">
        <f t="shared" si="20"/>
        <v>0</v>
      </c>
      <c r="L2019" s="8"/>
      <c r="M2019" s="8"/>
    </row>
    <row r="2020" spans="1:13" x14ac:dyDescent="0.2">
      <c r="A2020" s="17" t="str">
        <f>[1]SUMMARY!A2021</f>
        <v>11</v>
      </c>
      <c r="B2020" s="17">
        <f>[1]SUMMARY!B2021</f>
        <v>0</v>
      </c>
      <c r="C2020" s="17">
        <f>[1]SUMMARY!C2021</f>
        <v>20</v>
      </c>
      <c r="D2020" s="25" t="str">
        <f>[1]SUMMARY!D2021</f>
        <v>MRF</v>
      </c>
      <c r="E2020" s="25" t="str">
        <f>[1]SUMMARY!E2021</f>
        <v>16PR SUPERMILLER 99</v>
      </c>
      <c r="F2020" s="20"/>
      <c r="G2020" s="20"/>
      <c r="H2020" s="20"/>
      <c r="I2020" s="21">
        <f t="shared" si="22"/>
        <v>0</v>
      </c>
      <c r="J2020" s="22">
        <f>[1]SUMMARY!N2021</f>
        <v>14324.5</v>
      </c>
      <c r="K2020" s="23">
        <f t="shared" si="20"/>
        <v>0</v>
      </c>
      <c r="L2020" s="8"/>
      <c r="M2020" s="8"/>
    </row>
    <row r="2021" spans="1:13" x14ac:dyDescent="0.2">
      <c r="A2021" s="17" t="str">
        <f>[1]SUMMARY!A2022</f>
        <v>11</v>
      </c>
      <c r="B2021" s="17">
        <f>[1]SUMMARY!B2022</f>
        <v>0</v>
      </c>
      <c r="C2021" s="17" t="str">
        <f>[1]SUMMARY!C2022</f>
        <v>R22.5</v>
      </c>
      <c r="D2021" s="25" t="str">
        <f>[1]SUMMARY!D2022</f>
        <v xml:space="preserve">MRF  </v>
      </c>
      <c r="E2021" s="25" t="str">
        <f>[1]SUMMARY!E2022</f>
        <v>RIB S1R6</v>
      </c>
      <c r="F2021" s="20"/>
      <c r="G2021" s="20">
        <v>9</v>
      </c>
      <c r="H2021" s="20">
        <v>9</v>
      </c>
      <c r="I2021" s="21">
        <f t="shared" si="22"/>
        <v>0</v>
      </c>
      <c r="J2021" s="22">
        <f>[1]SUMMARY!N2022</f>
        <v>13000</v>
      </c>
      <c r="K2021" s="23">
        <f t="shared" si="20"/>
        <v>0</v>
      </c>
      <c r="L2021" s="8"/>
      <c r="M2021" s="8"/>
    </row>
    <row r="2022" spans="1:13" x14ac:dyDescent="0.2">
      <c r="A2022" s="17" t="str">
        <f>[1]SUMMARY!A2023</f>
        <v>11</v>
      </c>
      <c r="B2022" s="17">
        <f>[1]SUMMARY!B2023</f>
        <v>0</v>
      </c>
      <c r="C2022" s="17" t="str">
        <f>[1]SUMMARY!C2023</f>
        <v>R22.5</v>
      </c>
      <c r="D2022" s="25" t="str">
        <f>[1]SUMMARY!D2023</f>
        <v>MRF</v>
      </c>
      <c r="E2022" s="25" t="str">
        <f>[1]SUMMARY!E2023</f>
        <v>BLK STEEL S3K4</v>
      </c>
      <c r="F2022" s="20"/>
      <c r="G2022" s="20">
        <v>20</v>
      </c>
      <c r="H2022" s="20">
        <v>20</v>
      </c>
      <c r="I2022" s="21">
        <f t="shared" si="22"/>
        <v>0</v>
      </c>
      <c r="J2022" s="22">
        <f>[1]SUMMARY!N2023</f>
        <v>13937</v>
      </c>
      <c r="K2022" s="23">
        <f t="shared" si="20"/>
        <v>0</v>
      </c>
      <c r="L2022" s="8"/>
      <c r="M2022" s="8"/>
    </row>
    <row r="2023" spans="1:13" x14ac:dyDescent="0.2">
      <c r="A2023" s="17" t="str">
        <f>[1]SUMMARY!A2024</f>
        <v>11</v>
      </c>
      <c r="B2023" s="17">
        <f>[1]SUMMARY!B2024</f>
        <v>0</v>
      </c>
      <c r="C2023" s="17" t="str">
        <f>[1]SUMMARY!C2024</f>
        <v>R22.5</v>
      </c>
      <c r="D2023" s="25" t="str">
        <f>[1]SUMMARY!D2024</f>
        <v>MRF</v>
      </c>
      <c r="E2023" s="25" t="str">
        <f>[1]SUMMARY!E2024</f>
        <v>16PR STEEL S1R6 RIB</v>
      </c>
      <c r="F2023" s="20"/>
      <c r="G2023" s="20">
        <v>4</v>
      </c>
      <c r="H2023" s="20">
        <v>4</v>
      </c>
      <c r="I2023" s="21">
        <f t="shared" si="22"/>
        <v>0</v>
      </c>
      <c r="J2023" s="22">
        <f>[1]SUMMARY!N2024</f>
        <v>13000</v>
      </c>
      <c r="K2023" s="23">
        <f t="shared" si="20"/>
        <v>0</v>
      </c>
      <c r="L2023" s="8"/>
      <c r="M2023" s="8"/>
    </row>
    <row r="2024" spans="1:13" x14ac:dyDescent="0.2">
      <c r="A2024" s="17" t="str">
        <f>[1]SUMMARY!A2025</f>
        <v>11</v>
      </c>
      <c r="B2024" s="17">
        <f>[1]SUMMARY!B2025</f>
        <v>0</v>
      </c>
      <c r="C2024" s="17" t="str">
        <f>[1]SUMMARY!C2025</f>
        <v>R22.5</v>
      </c>
      <c r="D2024" s="25" t="str">
        <f>[1]SUMMARY!D2025</f>
        <v>MRF</v>
      </c>
      <c r="E2024" s="25" t="str">
        <f>[1]SUMMARY!E2025</f>
        <v>S1N4 MIX</v>
      </c>
      <c r="F2024" s="20"/>
      <c r="G2024" s="20"/>
      <c r="H2024" s="20"/>
      <c r="I2024" s="21">
        <f t="shared" si="22"/>
        <v>0</v>
      </c>
      <c r="J2024" s="22">
        <f>[1]SUMMARY!N2025</f>
        <v>14000</v>
      </c>
      <c r="K2024" s="23">
        <f t="shared" si="20"/>
        <v>0</v>
      </c>
      <c r="L2024" s="8"/>
      <c r="M2024" s="8"/>
    </row>
    <row r="2025" spans="1:13" x14ac:dyDescent="0.2">
      <c r="A2025" s="17" t="str">
        <f>[1]SUMMARY!A2026</f>
        <v>315</v>
      </c>
      <c r="B2025" s="17">
        <f>[1]SUMMARY!B2026</f>
        <v>80</v>
      </c>
      <c r="C2025" s="17">
        <f>[1]SUMMARY!C2026</f>
        <v>22.5</v>
      </c>
      <c r="D2025" s="25" t="str">
        <f>[1]SUMMARY!D2026</f>
        <v>MRF</v>
      </c>
      <c r="E2025" s="25" t="str">
        <f>[1]SUMMARY!E2026</f>
        <v>RIB S1R4</v>
      </c>
      <c r="F2025" s="20"/>
      <c r="G2025" s="20"/>
      <c r="H2025" s="20"/>
      <c r="I2025" s="21">
        <f t="shared" si="22"/>
        <v>0</v>
      </c>
      <c r="J2025" s="22">
        <f>[1]SUMMARY!N2026</f>
        <v>16000</v>
      </c>
      <c r="K2025" s="23">
        <f t="shared" si="20"/>
        <v>0</v>
      </c>
      <c r="L2025" s="8"/>
      <c r="M2025" s="8"/>
    </row>
    <row r="2026" spans="1:13" x14ac:dyDescent="0.2">
      <c r="A2026" s="17" t="str">
        <f>[1]SUMMARY!A2027</f>
        <v>315</v>
      </c>
      <c r="B2026" s="17">
        <f>[1]SUMMARY!B2027</f>
        <v>80</v>
      </c>
      <c r="C2026" s="17">
        <f>[1]SUMMARY!C2027</f>
        <v>22.5</v>
      </c>
      <c r="D2026" s="25" t="str">
        <f>[1]SUMMARY!D2027</f>
        <v>MRF</v>
      </c>
      <c r="E2026" s="25" t="str">
        <f>[1]SUMMARY!E2027</f>
        <v>MIX 18PR S1N4</v>
      </c>
      <c r="F2026" s="20"/>
      <c r="G2026" s="20"/>
      <c r="H2026" s="20"/>
      <c r="I2026" s="21">
        <f t="shared" si="22"/>
        <v>0</v>
      </c>
      <c r="J2026" s="22">
        <f>[1]SUMMARY!N2027</f>
        <v>15585.5</v>
      </c>
      <c r="K2026" s="23">
        <f t="shared" si="20"/>
        <v>0</v>
      </c>
      <c r="L2026" s="28">
        <f>SUM(K1998:K2026)</f>
        <v>0</v>
      </c>
      <c r="M2026" s="29" t="s">
        <v>49</v>
      </c>
    </row>
    <row r="2027" spans="1:13" x14ac:dyDescent="0.2">
      <c r="A2027" s="17" t="str">
        <f>[1]SUMMARY!A2028</f>
        <v>205</v>
      </c>
      <c r="B2027" s="17">
        <f>[1]SUMMARY!B2028</f>
        <v>50</v>
      </c>
      <c r="C2027" s="17">
        <f>[1]SUMMARY!C2028</f>
        <v>10</v>
      </c>
      <c r="D2027" s="25" t="str">
        <f>[1]SUMMARY!D2028</f>
        <v>MRL</v>
      </c>
      <c r="E2027" s="25" t="str">
        <f>[1]SUMMARY!E2028</f>
        <v>6PR MG45</v>
      </c>
      <c r="F2027" s="20"/>
      <c r="G2027" s="20"/>
      <c r="H2027" s="20"/>
      <c r="I2027" s="21">
        <f t="shared" si="22"/>
        <v>0</v>
      </c>
      <c r="J2027" s="22">
        <f>[1]SUMMARY!N2028</f>
        <v>1978.8</v>
      </c>
      <c r="K2027" s="23">
        <f t="shared" si="20"/>
        <v>0</v>
      </c>
      <c r="L2027" s="8"/>
      <c r="M2027" s="8"/>
    </row>
    <row r="2028" spans="1:13" x14ac:dyDescent="0.2">
      <c r="A2028" s="17" t="str">
        <f>[1]SUMMARY!A2029</f>
        <v>10.00</v>
      </c>
      <c r="B2028" s="17">
        <f>[1]SUMMARY!B2029</f>
        <v>0</v>
      </c>
      <c r="C2028" s="17">
        <f>[1]SUMMARY!C2029</f>
        <v>16.5</v>
      </c>
      <c r="D2028" s="25" t="str">
        <f>[1]SUMMARY!D2029</f>
        <v>MRL</v>
      </c>
      <c r="E2028" s="25" t="str">
        <f>[1]SUMMARY!E2029</f>
        <v>12PR ML2 482</v>
      </c>
      <c r="F2028" s="20"/>
      <c r="G2028" s="20"/>
      <c r="H2028" s="20"/>
      <c r="I2028" s="21">
        <f t="shared" si="22"/>
        <v>0</v>
      </c>
      <c r="J2028" s="22">
        <f>[1]SUMMARY!N2029</f>
        <v>10505.1</v>
      </c>
      <c r="K2028" s="23">
        <f t="shared" si="20"/>
        <v>0</v>
      </c>
      <c r="L2028" s="8"/>
      <c r="M2028" s="8"/>
    </row>
    <row r="2029" spans="1:13" x14ac:dyDescent="0.2">
      <c r="A2029" s="17" t="str">
        <f>[1]SUMMARY!A2030</f>
        <v>8.30</v>
      </c>
      <c r="B2029" s="17">
        <f>[1]SUMMARY!B2030</f>
        <v>0</v>
      </c>
      <c r="C2029" s="17">
        <f>[1]SUMMARY!C2030</f>
        <v>20</v>
      </c>
      <c r="D2029" s="25" t="str">
        <f>[1]SUMMARY!D2030</f>
        <v>MRL</v>
      </c>
      <c r="E2029" s="25" t="str">
        <f>[1]SUMMARY!E2030</f>
        <v>MRT329 (TRACTOR)</v>
      </c>
      <c r="F2029" s="20"/>
      <c r="G2029" s="20"/>
      <c r="H2029" s="20"/>
      <c r="I2029" s="21">
        <f t="shared" si="22"/>
        <v>0</v>
      </c>
      <c r="J2029" s="22">
        <f>[1]SUMMARY!N2030</f>
        <v>6402</v>
      </c>
      <c r="K2029" s="23">
        <f t="shared" si="20"/>
        <v>0</v>
      </c>
      <c r="L2029" s="8"/>
      <c r="M2029" s="8"/>
    </row>
    <row r="2030" spans="1:13" x14ac:dyDescent="0.2">
      <c r="A2030" s="17" t="str">
        <f>[1]SUMMARY!A2031</f>
        <v>12.40</v>
      </c>
      <c r="B2030" s="17">
        <f>[1]SUMMARY!B2031</f>
        <v>0</v>
      </c>
      <c r="C2030" s="17">
        <f>[1]SUMMARY!C2031</f>
        <v>24</v>
      </c>
      <c r="D2030" s="25" t="str">
        <f>[1]SUMMARY!D2031</f>
        <v>MRL</v>
      </c>
      <c r="E2030" s="25" t="str">
        <f>[1]SUMMARY!E2031</f>
        <v>MRT329 (TRACTOR)</v>
      </c>
      <c r="F2030" s="20"/>
      <c r="G2030" s="20"/>
      <c r="H2030" s="20"/>
      <c r="I2030" s="21">
        <f t="shared" si="22"/>
        <v>0</v>
      </c>
      <c r="J2030" s="22">
        <f>[1]SUMMARY!N2031</f>
        <v>13512.1</v>
      </c>
      <c r="K2030" s="23">
        <f t="shared" si="20"/>
        <v>0</v>
      </c>
      <c r="L2030" s="8"/>
      <c r="M2030" s="8"/>
    </row>
    <row r="2031" spans="1:13" x14ac:dyDescent="0.2">
      <c r="A2031" s="17" t="str">
        <f>[1]SUMMARY!A2032</f>
        <v>12.40</v>
      </c>
      <c r="B2031" s="17">
        <f>[1]SUMMARY!B2032</f>
        <v>0</v>
      </c>
      <c r="C2031" s="17">
        <f>[1]SUMMARY!C2032</f>
        <v>28</v>
      </c>
      <c r="D2031" s="25" t="str">
        <f>[1]SUMMARY!D2032</f>
        <v>MRL</v>
      </c>
      <c r="E2031" s="25" t="str">
        <f>[1]SUMMARY!E2032</f>
        <v>MRT329 (TRACTOR)</v>
      </c>
      <c r="F2031" s="20"/>
      <c r="G2031" s="20"/>
      <c r="H2031" s="20"/>
      <c r="I2031" s="21">
        <f t="shared" si="22"/>
        <v>0</v>
      </c>
      <c r="J2031" s="22">
        <f>[1]SUMMARY!N2032</f>
        <v>16005</v>
      </c>
      <c r="K2031" s="23">
        <f t="shared" si="20"/>
        <v>0</v>
      </c>
      <c r="L2031" s="8"/>
      <c r="M2031" s="8"/>
    </row>
    <row r="2032" spans="1:13" x14ac:dyDescent="0.2">
      <c r="A2032" s="17" t="str">
        <f>[1]SUMMARY!A2033</f>
        <v>14.9</v>
      </c>
      <c r="B2032" s="17">
        <f>[1]SUMMARY!B2033</f>
        <v>0</v>
      </c>
      <c r="C2032" s="17">
        <f>[1]SUMMARY!C2033</f>
        <v>28</v>
      </c>
      <c r="D2032" s="25" t="str">
        <f>[1]SUMMARY!D2033</f>
        <v>MRL (INDIA)</v>
      </c>
      <c r="E2032" s="25" t="str">
        <f>[1]SUMMARY!E2033</f>
        <v>MRT329TT 14PR</v>
      </c>
      <c r="F2032" s="20"/>
      <c r="G2032" s="20"/>
      <c r="H2032" s="20"/>
      <c r="I2032" s="21">
        <f t="shared" si="22"/>
        <v>0</v>
      </c>
      <c r="J2032" s="22">
        <f>[1]SUMMARY!N2033</f>
        <v>19400</v>
      </c>
      <c r="K2032" s="23">
        <f t="shared" si="20"/>
        <v>0</v>
      </c>
      <c r="L2032" s="8"/>
      <c r="M2032" s="8"/>
    </row>
    <row r="2033" spans="1:13" x14ac:dyDescent="0.2">
      <c r="A2033" s="17" t="str">
        <f>[1]SUMMARY!A2034</f>
        <v>16.90</v>
      </c>
      <c r="B2033" s="17">
        <f>[1]SUMMARY!B2034</f>
        <v>0</v>
      </c>
      <c r="C2033" s="17">
        <f>[1]SUMMARY!C2034</f>
        <v>34</v>
      </c>
      <c r="D2033" s="25" t="str">
        <f>[1]SUMMARY!D2034</f>
        <v>MRL (INDIA)</v>
      </c>
      <c r="E2033" s="25" t="str">
        <f>[1]SUMMARY!E2034</f>
        <v>MRT329TT 14PR</v>
      </c>
      <c r="F2033" s="20"/>
      <c r="G2033" s="20"/>
      <c r="H2033" s="20"/>
      <c r="I2033" s="21">
        <f t="shared" si="22"/>
        <v>0</v>
      </c>
      <c r="J2033" s="22">
        <f>[1]SUMMARY!N2034</f>
        <v>30002.1</v>
      </c>
      <c r="K2033" s="23">
        <f t="shared" si="20"/>
        <v>0</v>
      </c>
      <c r="L2033" s="28">
        <f>SUM(K2028:K2033)</f>
        <v>0</v>
      </c>
      <c r="M2033" s="29" t="s">
        <v>123</v>
      </c>
    </row>
    <row r="2034" spans="1:13" x14ac:dyDescent="0.2">
      <c r="A2034" s="17" t="str">
        <f>[1]SUMMARY!A2035</f>
        <v>7.00</v>
      </c>
      <c r="B2034" s="17">
        <f>[1]SUMMARY!B2035</f>
        <v>0</v>
      </c>
      <c r="C2034" s="17">
        <f>[1]SUMMARY!C2035</f>
        <v>15</v>
      </c>
      <c r="D2034" s="25" t="str">
        <f>[1]SUMMARY!D2035</f>
        <v>ORNET (INDIA)</v>
      </c>
      <c r="E2034" s="25" t="str">
        <f>[1]SUMMARY!E2035</f>
        <v>12PR RIB</v>
      </c>
      <c r="F2034" s="20"/>
      <c r="G2034" s="20">
        <v>32</v>
      </c>
      <c r="H2034" s="20">
        <v>32</v>
      </c>
      <c r="I2034" s="21">
        <f t="shared" si="22"/>
        <v>0</v>
      </c>
      <c r="J2034" s="22">
        <f>[1]SUMMARY!N2035</f>
        <v>5044.5</v>
      </c>
      <c r="K2034" s="23">
        <f t="shared" si="20"/>
        <v>0</v>
      </c>
      <c r="L2034" s="8"/>
      <c r="M2034" s="8"/>
    </row>
    <row r="2035" spans="1:13" x14ac:dyDescent="0.2">
      <c r="A2035" s="17" t="str">
        <f>[1]SUMMARY!A2036</f>
        <v>7.00</v>
      </c>
      <c r="B2035" s="17">
        <f>[1]SUMMARY!B2036</f>
        <v>0</v>
      </c>
      <c r="C2035" s="17">
        <f>[1]SUMMARY!C2036</f>
        <v>15</v>
      </c>
      <c r="D2035" s="25" t="str">
        <f>[1]SUMMARY!D2036</f>
        <v>ORNET (INDIA)</v>
      </c>
      <c r="E2035" s="25" t="str">
        <f>[1]SUMMARY!E2036</f>
        <v>12PR LUG 909</v>
      </c>
      <c r="F2035" s="20"/>
      <c r="G2035" s="21">
        <v>2</v>
      </c>
      <c r="H2035" s="20">
        <v>2</v>
      </c>
      <c r="I2035" s="21">
        <f t="shared" si="22"/>
        <v>0</v>
      </c>
      <c r="J2035" s="22">
        <f>[1]SUMMARY!N2036</f>
        <v>5472</v>
      </c>
      <c r="K2035" s="23">
        <f t="shared" si="20"/>
        <v>0</v>
      </c>
      <c r="L2035" s="8"/>
      <c r="M2035" s="8"/>
    </row>
    <row r="2036" spans="1:13" x14ac:dyDescent="0.2">
      <c r="A2036" s="17" t="str">
        <f>[1]SUMMARY!A2037</f>
        <v>7.50</v>
      </c>
      <c r="B2036" s="17">
        <f>[1]SUMMARY!B2037</f>
        <v>0</v>
      </c>
      <c r="C2036" s="17">
        <f>[1]SUMMARY!C2037</f>
        <v>15</v>
      </c>
      <c r="D2036" s="25" t="str">
        <f>[1]SUMMARY!D2037</f>
        <v>ORNET (INDIA)</v>
      </c>
      <c r="E2036" s="25" t="str">
        <f>[1]SUMMARY!E2037</f>
        <v>14PR R709 RIB</v>
      </c>
      <c r="F2036" s="20"/>
      <c r="G2036" s="20">
        <v>40</v>
      </c>
      <c r="H2036" s="20">
        <v>40</v>
      </c>
      <c r="I2036" s="21">
        <f t="shared" si="22"/>
        <v>0</v>
      </c>
      <c r="J2036" s="22">
        <f>[1]SUMMARY!N2037</f>
        <v>5101.5</v>
      </c>
      <c r="K2036" s="23">
        <f t="shared" si="20"/>
        <v>0</v>
      </c>
      <c r="L2036" s="8"/>
      <c r="M2036" s="8"/>
    </row>
    <row r="2037" spans="1:13" x14ac:dyDescent="0.2">
      <c r="A2037" s="17" t="str">
        <f>[1]SUMMARY!A2038</f>
        <v>7.50</v>
      </c>
      <c r="B2037" s="17">
        <f>[1]SUMMARY!B2038</f>
        <v>0</v>
      </c>
      <c r="C2037" s="17">
        <f>[1]SUMMARY!C2038</f>
        <v>15</v>
      </c>
      <c r="D2037" s="25" t="str">
        <f>[1]SUMMARY!D2038</f>
        <v>ORNET (INDIA)</v>
      </c>
      <c r="E2037" s="25" t="str">
        <f>[1]SUMMARY!E2038</f>
        <v>14PR L909 LUG</v>
      </c>
      <c r="F2037" s="20"/>
      <c r="G2037" s="20">
        <v>12</v>
      </c>
      <c r="H2037" s="20">
        <v>12</v>
      </c>
      <c r="I2037" s="21">
        <f t="shared" si="22"/>
        <v>0</v>
      </c>
      <c r="J2037" s="22">
        <f>[1]SUMMARY!N2038</f>
        <v>4997</v>
      </c>
      <c r="K2037" s="23">
        <f t="shared" si="20"/>
        <v>0</v>
      </c>
      <c r="L2037" s="8"/>
      <c r="M2037" s="8"/>
    </row>
    <row r="2038" spans="1:13" x14ac:dyDescent="0.2">
      <c r="A2038" s="17" t="str">
        <f>[1]SUMMARY!A2039</f>
        <v>7.00</v>
      </c>
      <c r="B2038" s="17">
        <f>[1]SUMMARY!B2039</f>
        <v>0</v>
      </c>
      <c r="C2038" s="17">
        <f>[1]SUMMARY!C2039</f>
        <v>16</v>
      </c>
      <c r="D2038" s="25" t="str">
        <f>[1]SUMMARY!D2039</f>
        <v>ORNET (INDIA)</v>
      </c>
      <c r="E2038" s="25" t="str">
        <f>[1]SUMMARY!E2039</f>
        <v xml:space="preserve">14PR 707 RIB </v>
      </c>
      <c r="F2038" s="20"/>
      <c r="G2038" s="20">
        <v>8</v>
      </c>
      <c r="H2038" s="20">
        <v>8</v>
      </c>
      <c r="I2038" s="21">
        <f t="shared" si="22"/>
        <v>0</v>
      </c>
      <c r="J2038" s="22">
        <f>[1]SUMMARY!N2039</f>
        <v>5472</v>
      </c>
      <c r="K2038" s="23">
        <f t="shared" si="20"/>
        <v>0</v>
      </c>
      <c r="L2038" s="8"/>
      <c r="M2038" s="8"/>
    </row>
    <row r="2039" spans="1:13" x14ac:dyDescent="0.2">
      <c r="A2039" s="17" t="str">
        <f>[1]SUMMARY!A2040</f>
        <v>7.00</v>
      </c>
      <c r="B2039" s="17">
        <f>[1]SUMMARY!B2040</f>
        <v>0</v>
      </c>
      <c r="C2039" s="17">
        <f>[1]SUMMARY!C2040</f>
        <v>16</v>
      </c>
      <c r="D2039" s="25" t="str">
        <f>[1]SUMMARY!D2040</f>
        <v>ORNET (INDIA)</v>
      </c>
      <c r="E2039" s="25" t="str">
        <f>[1]SUMMARY!E2040</f>
        <v>14PR 909 LUG</v>
      </c>
      <c r="F2039" s="20"/>
      <c r="G2039" s="20"/>
      <c r="H2039" s="20"/>
      <c r="I2039" s="21">
        <f t="shared" si="22"/>
        <v>0</v>
      </c>
      <c r="J2039" s="22">
        <f>[1]SUMMARY!N2040</f>
        <v>6441</v>
      </c>
      <c r="K2039" s="23">
        <f t="shared" si="20"/>
        <v>0</v>
      </c>
      <c r="L2039" s="8"/>
      <c r="M2039" s="8"/>
    </row>
    <row r="2040" spans="1:13" x14ac:dyDescent="0.2">
      <c r="A2040" s="17" t="str">
        <f>[1]SUMMARY!A2041</f>
        <v>7.50</v>
      </c>
      <c r="B2040" s="17">
        <f>[1]SUMMARY!B2041</f>
        <v>0</v>
      </c>
      <c r="C2040" s="17">
        <f>[1]SUMMARY!C2041</f>
        <v>16</v>
      </c>
      <c r="D2040" s="25" t="str">
        <f>[1]SUMMARY!D2041</f>
        <v>ORNET (INDIA)</v>
      </c>
      <c r="E2040" s="25" t="str">
        <f>[1]SUMMARY!E2041</f>
        <v>16PR 707 RIB</v>
      </c>
      <c r="F2040" s="20"/>
      <c r="G2040" s="20">
        <v>30</v>
      </c>
      <c r="H2040" s="20">
        <v>30</v>
      </c>
      <c r="I2040" s="21">
        <f t="shared" si="22"/>
        <v>0</v>
      </c>
      <c r="J2040" s="22">
        <f>[1]SUMMARY!N2041</f>
        <v>6526.5</v>
      </c>
      <c r="K2040" s="23">
        <f t="shared" si="20"/>
        <v>0</v>
      </c>
      <c r="L2040" s="8"/>
      <c r="M2040" s="8"/>
    </row>
    <row r="2041" spans="1:13" x14ac:dyDescent="0.2">
      <c r="A2041" s="17" t="str">
        <f>[1]SUMMARY!A2042</f>
        <v>7.50</v>
      </c>
      <c r="B2041" s="17">
        <f>[1]SUMMARY!B2042</f>
        <v>0</v>
      </c>
      <c r="C2041" s="17">
        <f>[1]SUMMARY!C2042</f>
        <v>16</v>
      </c>
      <c r="D2041" s="25" t="str">
        <f>[1]SUMMARY!D2042</f>
        <v>ORNET (INDIA)</v>
      </c>
      <c r="E2041" s="25" t="str">
        <f>[1]SUMMARY!E2042</f>
        <v>16PR 909 LUG</v>
      </c>
      <c r="F2041" s="20">
        <v>4</v>
      </c>
      <c r="G2041" s="20">
        <v>4</v>
      </c>
      <c r="H2041" s="20">
        <v>8</v>
      </c>
      <c r="I2041" s="21">
        <f t="shared" si="22"/>
        <v>0</v>
      </c>
      <c r="J2041" s="22">
        <f>[1]SUMMARY!N2042</f>
        <v>6802</v>
      </c>
      <c r="K2041" s="23">
        <f t="shared" si="20"/>
        <v>0</v>
      </c>
      <c r="L2041" s="8"/>
      <c r="M2041" s="8"/>
    </row>
    <row r="2042" spans="1:13" x14ac:dyDescent="0.2">
      <c r="A2042" s="17" t="str">
        <f>[1]SUMMARY!A2043</f>
        <v>8.25</v>
      </c>
      <c r="B2042" s="17">
        <f>[1]SUMMARY!B2043</f>
        <v>0</v>
      </c>
      <c r="C2042" s="17">
        <f>[1]SUMMARY!C2043</f>
        <v>16</v>
      </c>
      <c r="D2042" s="25" t="str">
        <f>[1]SUMMARY!D2043</f>
        <v>ORNET (INDIA)</v>
      </c>
      <c r="E2042" s="25" t="str">
        <f>[1]SUMMARY!E2043</f>
        <v>16PR R707 RIB</v>
      </c>
      <c r="F2042" s="20"/>
      <c r="G2042" s="20">
        <v>6</v>
      </c>
      <c r="H2042" s="20">
        <v>6</v>
      </c>
      <c r="I2042" s="21">
        <f t="shared" si="22"/>
        <v>0</v>
      </c>
      <c r="J2042" s="22">
        <f>[1]SUMMARY!N2043</f>
        <v>7524</v>
      </c>
      <c r="K2042" s="23">
        <f t="shared" si="20"/>
        <v>0</v>
      </c>
      <c r="L2042" s="8"/>
      <c r="M2042" s="8"/>
    </row>
    <row r="2043" spans="1:13" x14ac:dyDescent="0.2">
      <c r="A2043" s="17" t="str">
        <f>[1]SUMMARY!A2044</f>
        <v>8.25</v>
      </c>
      <c r="B2043" s="17">
        <f>[1]SUMMARY!B2044</f>
        <v>0</v>
      </c>
      <c r="C2043" s="17">
        <f>[1]SUMMARY!C2044</f>
        <v>16</v>
      </c>
      <c r="D2043" s="25" t="str">
        <f>[1]SUMMARY!D2044</f>
        <v>ORNET (INDIA)</v>
      </c>
      <c r="E2043" s="25" t="str">
        <f>[1]SUMMARY!E2044</f>
        <v>16PR LUG</v>
      </c>
      <c r="F2043" s="20"/>
      <c r="G2043" s="20">
        <v>4</v>
      </c>
      <c r="H2043" s="20">
        <v>4</v>
      </c>
      <c r="I2043" s="21">
        <f t="shared" si="22"/>
        <v>0</v>
      </c>
      <c r="J2043" s="22">
        <f>[1]SUMMARY!N2044</f>
        <v>7685.5</v>
      </c>
      <c r="K2043" s="23">
        <f t="shared" si="20"/>
        <v>0</v>
      </c>
      <c r="L2043" s="8"/>
      <c r="M2043" s="8"/>
    </row>
    <row r="2044" spans="1:13" x14ac:dyDescent="0.2">
      <c r="A2044" s="17" t="str">
        <f>[1]SUMMARY!A2045</f>
        <v>8.25</v>
      </c>
      <c r="B2044" s="17">
        <f>[1]SUMMARY!B2045</f>
        <v>0</v>
      </c>
      <c r="C2044" s="17">
        <f>[1]SUMMARY!C2045</f>
        <v>20</v>
      </c>
      <c r="D2044" s="25" t="str">
        <f>[1]SUMMARY!D2045</f>
        <v>ORNET (INDIA)</v>
      </c>
      <c r="E2044" s="25" t="str">
        <f>[1]SUMMARY!E2045</f>
        <v>16PR RIB 707</v>
      </c>
      <c r="F2044" s="20"/>
      <c r="G2044" s="20"/>
      <c r="H2044" s="20"/>
      <c r="I2044" s="21">
        <f t="shared" si="22"/>
        <v>0</v>
      </c>
      <c r="J2044" s="22">
        <f>[1]SUMMARY!N2045</f>
        <v>9063</v>
      </c>
      <c r="K2044" s="23">
        <f t="shared" si="20"/>
        <v>0</v>
      </c>
      <c r="L2044" s="8"/>
      <c r="M2044" s="8"/>
    </row>
    <row r="2045" spans="1:13" x14ac:dyDescent="0.2">
      <c r="A2045" s="17" t="str">
        <f>[1]SUMMARY!A2046</f>
        <v>8.25</v>
      </c>
      <c r="B2045" s="17">
        <f>[1]SUMMARY!B2046</f>
        <v>0</v>
      </c>
      <c r="C2045" s="17">
        <f>[1]SUMMARY!C2046</f>
        <v>20</v>
      </c>
      <c r="D2045" s="25" t="str">
        <f>[1]SUMMARY!D2046</f>
        <v>ORNET (INDIA)</v>
      </c>
      <c r="E2045" s="25" t="str">
        <f>[1]SUMMARY!E2046</f>
        <v>16PR LUG 909</v>
      </c>
      <c r="F2045" s="20"/>
      <c r="G2045" s="20"/>
      <c r="H2045" s="20"/>
      <c r="I2045" s="21">
        <f t="shared" si="22"/>
        <v>0</v>
      </c>
      <c r="J2045" s="22">
        <f>[1]SUMMARY!N2046</f>
        <v>9528.5</v>
      </c>
      <c r="K2045" s="23">
        <f t="shared" si="20"/>
        <v>0</v>
      </c>
      <c r="L2045" s="8"/>
      <c r="M2045" s="8"/>
    </row>
    <row r="2046" spans="1:13" x14ac:dyDescent="0.2">
      <c r="A2046" s="17" t="str">
        <f>[1]SUMMARY!A2047</f>
        <v>10</v>
      </c>
      <c r="B2046" s="17">
        <f>[1]SUMMARY!B2047</f>
        <v>0</v>
      </c>
      <c r="C2046" s="17" t="str">
        <f>[1]SUMMARY!C2047</f>
        <v>R20</v>
      </c>
      <c r="D2046" s="25" t="str">
        <f>[1]SUMMARY!D2047</f>
        <v>ORNET (CHINA)</v>
      </c>
      <c r="E2046" s="25" t="str">
        <f>[1]SUMMARY!E2047</f>
        <v>18 PR OR106 MIX</v>
      </c>
      <c r="F2046" s="20"/>
      <c r="G2046" s="20">
        <v>8</v>
      </c>
      <c r="H2046" s="20">
        <v>8</v>
      </c>
      <c r="I2046" s="21">
        <f t="shared" si="22"/>
        <v>0</v>
      </c>
      <c r="J2046" s="22">
        <f>[1]SUMMARY!N2047</f>
        <v>10000</v>
      </c>
      <c r="K2046" s="23">
        <f t="shared" si="20"/>
        <v>0</v>
      </c>
      <c r="L2046" s="8"/>
      <c r="M2046" s="8"/>
    </row>
    <row r="2047" spans="1:13" x14ac:dyDescent="0.2">
      <c r="A2047" s="17" t="str">
        <f>[1]SUMMARY!A2048</f>
        <v>11</v>
      </c>
      <c r="B2047" s="17">
        <f>[1]SUMMARY!B2048</f>
        <v>0</v>
      </c>
      <c r="C2047" s="17" t="str">
        <f>[1]SUMMARY!C2048</f>
        <v>R22.5</v>
      </c>
      <c r="D2047" s="25" t="str">
        <f>[1]SUMMARY!D2048</f>
        <v>ORNET (CHINA)</v>
      </c>
      <c r="E2047" s="25" t="str">
        <f>[1]SUMMARY!E2048</f>
        <v>16PR OR 104 RIB</v>
      </c>
      <c r="F2047" s="20"/>
      <c r="G2047" s="20">
        <v>9</v>
      </c>
      <c r="H2047" s="20">
        <v>9</v>
      </c>
      <c r="I2047" s="21">
        <f t="shared" si="22"/>
        <v>0</v>
      </c>
      <c r="J2047" s="22">
        <f>[1]SUMMARY!N2048</f>
        <v>10390</v>
      </c>
      <c r="K2047" s="23">
        <f t="shared" si="20"/>
        <v>0</v>
      </c>
      <c r="L2047" s="8"/>
      <c r="M2047" s="8"/>
    </row>
    <row r="2048" spans="1:13" x14ac:dyDescent="0.2">
      <c r="A2048" s="17" t="str">
        <f>[1]SUMMARY!A2049</f>
        <v>11</v>
      </c>
      <c r="B2048" s="17">
        <f>[1]SUMMARY!B2049</f>
        <v>0</v>
      </c>
      <c r="C2048" s="17" t="str">
        <f>[1]SUMMARY!C2049</f>
        <v>R22.5</v>
      </c>
      <c r="D2048" s="25" t="str">
        <f>[1]SUMMARY!D2049</f>
        <v>ORNET (CHINA)</v>
      </c>
      <c r="E2048" s="25" t="str">
        <f>[1]SUMMARY!E2049</f>
        <v>16PR OR106 MIX</v>
      </c>
      <c r="F2048" s="20"/>
      <c r="G2048" s="20"/>
      <c r="H2048" s="20"/>
      <c r="I2048" s="21">
        <f t="shared" si="22"/>
        <v>0</v>
      </c>
      <c r="J2048" s="22">
        <f>[1]SUMMARY!N2049</f>
        <v>8970</v>
      </c>
      <c r="K2048" s="23">
        <f t="shared" si="20"/>
        <v>0</v>
      </c>
      <c r="L2048" s="8"/>
      <c r="M2048" s="8"/>
    </row>
    <row r="2049" spans="1:13" x14ac:dyDescent="0.2">
      <c r="A2049" s="17" t="str">
        <f>[1]SUMMARY!A2050</f>
        <v>12</v>
      </c>
      <c r="B2049" s="17">
        <f>[1]SUMMARY!B2050</f>
        <v>0</v>
      </c>
      <c r="C2049" s="17" t="str">
        <f>[1]SUMMARY!C2050</f>
        <v>R20</v>
      </c>
      <c r="D2049" s="25" t="str">
        <f>[1]SUMMARY!D2050</f>
        <v>ORNET (CHINA)</v>
      </c>
      <c r="E2049" s="25" t="str">
        <f>[1]SUMMARY!E2050</f>
        <v>OR306</v>
      </c>
      <c r="F2049" s="20"/>
      <c r="G2049" s="20">
        <v>4</v>
      </c>
      <c r="H2049" s="20">
        <v>4</v>
      </c>
      <c r="I2049" s="21">
        <f t="shared" si="22"/>
        <v>0</v>
      </c>
      <c r="J2049" s="22">
        <f>[1]SUMMARY!N2050</f>
        <v>13850</v>
      </c>
      <c r="K2049" s="23">
        <f t="shared" si="20"/>
        <v>0</v>
      </c>
      <c r="L2049" s="8"/>
      <c r="M2049" s="8"/>
    </row>
    <row r="2050" spans="1:13" x14ac:dyDescent="0.2">
      <c r="A2050" s="17" t="str">
        <f>[1]SUMMARY!A2051</f>
        <v>12</v>
      </c>
      <c r="B2050" s="17">
        <f>[1]SUMMARY!B2051</f>
        <v>0</v>
      </c>
      <c r="C2050" s="17" t="str">
        <f>[1]SUMMARY!C2051</f>
        <v>R20</v>
      </c>
      <c r="D2050" s="25" t="str">
        <f>[1]SUMMARY!D2051</f>
        <v>ORNET (CHINA)</v>
      </c>
      <c r="E2050" s="25" t="str">
        <f>[1]SUMMARY!E2051</f>
        <v>12PR OR968</v>
      </c>
      <c r="F2050" s="20"/>
      <c r="G2050" s="20"/>
      <c r="H2050" s="20"/>
      <c r="I2050" s="21">
        <f t="shared" si="22"/>
        <v>0</v>
      </c>
      <c r="J2050" s="22">
        <f>[1]SUMMARY!N2051</f>
        <v>14400</v>
      </c>
      <c r="K2050" s="23">
        <f t="shared" si="20"/>
        <v>0</v>
      </c>
      <c r="L2050" s="8"/>
      <c r="M2050" s="8"/>
    </row>
    <row r="2051" spans="1:13" x14ac:dyDescent="0.2">
      <c r="A2051" s="17" t="str">
        <f>[1]SUMMARY!A2052</f>
        <v>12</v>
      </c>
      <c r="B2051" s="17">
        <f>[1]SUMMARY!B2052</f>
        <v>0</v>
      </c>
      <c r="C2051" s="17" t="str">
        <f>[1]SUMMARY!C2052</f>
        <v>R22.5</v>
      </c>
      <c r="D2051" s="25" t="str">
        <f>[1]SUMMARY!D2052</f>
        <v>ORNET (CHINA)</v>
      </c>
      <c r="E2051" s="25" t="str">
        <f>[1]SUMMARY!E2052</f>
        <v>18PR OR306 MIX</v>
      </c>
      <c r="F2051" s="20"/>
      <c r="G2051" s="20">
        <v>10</v>
      </c>
      <c r="H2051" s="20">
        <v>10</v>
      </c>
      <c r="I2051" s="21">
        <f t="shared" si="22"/>
        <v>0</v>
      </c>
      <c r="J2051" s="22">
        <f>[1]SUMMARY!N2052</f>
        <v>10700</v>
      </c>
      <c r="K2051" s="23">
        <f t="shared" si="20"/>
        <v>0</v>
      </c>
      <c r="L2051" s="28">
        <f>SUM(K2034:K2051)</f>
        <v>0</v>
      </c>
      <c r="M2051" s="29" t="s">
        <v>124</v>
      </c>
    </row>
    <row r="2052" spans="1:13" x14ac:dyDescent="0.2">
      <c r="A2052" s="17" t="str">
        <f>[1]SUMMARY!A2053</f>
        <v>6.50</v>
      </c>
      <c r="B2052" s="17">
        <f>[1]SUMMARY!B2053</f>
        <v>0</v>
      </c>
      <c r="C2052" s="17">
        <f>[1]SUMMARY!C2053</f>
        <v>14</v>
      </c>
      <c r="D2052" s="25" t="str">
        <f>[1]SUMMARY!D2053</f>
        <v>OTANI</v>
      </c>
      <c r="E2052" s="25" t="str">
        <f>[1]SUMMARY!E2053</f>
        <v>8PR RIB</v>
      </c>
      <c r="F2052" s="20"/>
      <c r="G2052" s="20"/>
      <c r="H2052" s="20"/>
      <c r="I2052" s="21">
        <f t="shared" si="22"/>
        <v>0</v>
      </c>
      <c r="J2052" s="22">
        <f>[1]SUMMARY!N2053</f>
        <v>2829.75</v>
      </c>
      <c r="K2052" s="23">
        <f t="shared" si="20"/>
        <v>0</v>
      </c>
      <c r="L2052" s="8"/>
      <c r="M2052" s="8"/>
    </row>
    <row r="2053" spans="1:13" x14ac:dyDescent="0.2">
      <c r="A2053" s="17" t="str">
        <f>[1]SUMMARY!A2054</f>
        <v>7.50</v>
      </c>
      <c r="B2053" s="17">
        <f>[1]SUMMARY!B2054</f>
        <v>0</v>
      </c>
      <c r="C2053" s="17">
        <f>[1]SUMMARY!C2054</f>
        <v>15</v>
      </c>
      <c r="D2053" s="25" t="str">
        <f>[1]SUMMARY!D2054</f>
        <v>OTANI</v>
      </c>
      <c r="E2053" s="25" t="str">
        <f>[1]SUMMARY!E2054</f>
        <v>14PR RIB</v>
      </c>
      <c r="F2053" s="20"/>
      <c r="G2053" s="20"/>
      <c r="H2053" s="20"/>
      <c r="I2053" s="21">
        <f t="shared" si="22"/>
        <v>0</v>
      </c>
      <c r="J2053" s="22">
        <f>[1]SUMMARY!N2054</f>
        <v>5400</v>
      </c>
      <c r="K2053" s="23">
        <f t="shared" si="20"/>
        <v>0</v>
      </c>
      <c r="L2053" s="8"/>
      <c r="M2053" s="8"/>
    </row>
    <row r="2054" spans="1:13" x14ac:dyDescent="0.2">
      <c r="A2054" s="17" t="str">
        <f>[1]SUMMARY!A2055</f>
        <v>7.00</v>
      </c>
      <c r="B2054" s="17">
        <f>[1]SUMMARY!B2055</f>
        <v>0</v>
      </c>
      <c r="C2054" s="17">
        <f>[1]SUMMARY!C2055</f>
        <v>16</v>
      </c>
      <c r="D2054" s="25" t="str">
        <f>[1]SUMMARY!D2055</f>
        <v>OTANI</v>
      </c>
      <c r="E2054" s="25" t="str">
        <f>[1]SUMMARY!E2055</f>
        <v>12PR RIB</v>
      </c>
      <c r="F2054" s="20"/>
      <c r="G2054" s="20"/>
      <c r="H2054" s="20"/>
      <c r="I2054" s="21">
        <f t="shared" si="22"/>
        <v>0</v>
      </c>
      <c r="J2054" s="22">
        <f>[1]SUMMARY!N2055</f>
        <v>5625</v>
      </c>
      <c r="K2054" s="23">
        <f t="shared" si="20"/>
        <v>0</v>
      </c>
      <c r="L2054" s="8"/>
      <c r="M2054" s="8"/>
    </row>
    <row r="2055" spans="1:13" x14ac:dyDescent="0.2">
      <c r="A2055" s="17" t="str">
        <f>[1]SUMMARY!A2056</f>
        <v>8</v>
      </c>
      <c r="B2055" s="17">
        <f>[1]SUMMARY!B2056</f>
        <v>0</v>
      </c>
      <c r="C2055" s="17">
        <f>[1]SUMMARY!C2056</f>
        <v>18</v>
      </c>
      <c r="D2055" s="25" t="str">
        <f>[1]SUMMARY!D2056</f>
        <v>OTANI</v>
      </c>
      <c r="E2055" s="25" t="str">
        <f>[1]SUMMARY!E2056</f>
        <v>6P F-33</v>
      </c>
      <c r="F2055" s="20"/>
      <c r="G2055" s="20"/>
      <c r="H2055" s="20"/>
      <c r="I2055" s="21">
        <f t="shared" si="22"/>
        <v>0</v>
      </c>
      <c r="J2055" s="22">
        <f>[1]SUMMARY!N2056</f>
        <v>4779</v>
      </c>
      <c r="K2055" s="23">
        <f t="shared" si="20"/>
        <v>0</v>
      </c>
      <c r="L2055" s="8"/>
      <c r="M2055" s="8"/>
    </row>
    <row r="2056" spans="1:13" x14ac:dyDescent="0.2">
      <c r="A2056" s="17" t="str">
        <f>[1]SUMMARY!A2057</f>
        <v>8.25</v>
      </c>
      <c r="B2056" s="17">
        <f>[1]SUMMARY!B2057</f>
        <v>0</v>
      </c>
      <c r="C2056" s="17">
        <f>[1]SUMMARY!C2057</f>
        <v>20</v>
      </c>
      <c r="D2056" s="25" t="str">
        <f>[1]SUMMARY!D2057</f>
        <v>OTANI</v>
      </c>
      <c r="E2056" s="25" t="str">
        <f>[1]SUMMARY!E2057</f>
        <v>U77 14PR</v>
      </c>
      <c r="F2056" s="20"/>
      <c r="G2056" s="20"/>
      <c r="H2056" s="20"/>
      <c r="I2056" s="21">
        <f t="shared" si="22"/>
        <v>0</v>
      </c>
      <c r="J2056" s="22">
        <f>[1]SUMMARY!N2057</f>
        <v>8677.5</v>
      </c>
      <c r="K2056" s="23">
        <f t="shared" si="20"/>
        <v>0</v>
      </c>
      <c r="L2056" s="8"/>
      <c r="M2056" s="8"/>
    </row>
    <row r="2057" spans="1:13" x14ac:dyDescent="0.2">
      <c r="A2057" s="17" t="str">
        <f>[1]SUMMARY!A2058</f>
        <v>11.00</v>
      </c>
      <c r="B2057" s="17">
        <f>[1]SUMMARY!B2058</f>
        <v>0</v>
      </c>
      <c r="C2057" s="17">
        <f>[1]SUMMARY!C2058</f>
        <v>20</v>
      </c>
      <c r="D2057" s="25" t="str">
        <f>[1]SUMMARY!D2058</f>
        <v>OTANI</v>
      </c>
      <c r="E2057" s="25" t="str">
        <f>[1]SUMMARY!E2058</f>
        <v>16PR U77 LUG</v>
      </c>
      <c r="F2057" s="20"/>
      <c r="G2057" s="20"/>
      <c r="H2057" s="20"/>
      <c r="I2057" s="21">
        <f t="shared" si="22"/>
        <v>0</v>
      </c>
      <c r="J2057" s="22">
        <f>[1]SUMMARY!N2058</f>
        <v>13509</v>
      </c>
      <c r="K2057" s="23">
        <f t="shared" si="20"/>
        <v>0</v>
      </c>
      <c r="L2057" s="8"/>
      <c r="M2057" s="8"/>
    </row>
    <row r="2058" spans="1:13" x14ac:dyDescent="0.2">
      <c r="A2058" s="17" t="str">
        <f>[1]SUMMARY!A2059</f>
        <v>11.00</v>
      </c>
      <c r="B2058" s="17">
        <f>[1]SUMMARY!B2059</f>
        <v>0</v>
      </c>
      <c r="C2058" s="17">
        <f>[1]SUMMARY!C2059</f>
        <v>20</v>
      </c>
      <c r="D2058" s="25" t="str">
        <f>[1]SUMMARY!D2059</f>
        <v>OTANI</v>
      </c>
      <c r="E2058" s="25" t="str">
        <f>[1]SUMMARY!E2059</f>
        <v>18PR S-67</v>
      </c>
      <c r="F2058" s="20"/>
      <c r="G2058" s="20"/>
      <c r="H2058" s="20"/>
      <c r="I2058" s="21">
        <f t="shared" si="22"/>
        <v>0</v>
      </c>
      <c r="J2058" s="22">
        <f>[1]SUMMARY!N2059</f>
        <v>13893.75</v>
      </c>
      <c r="K2058" s="23">
        <f t="shared" si="20"/>
        <v>0</v>
      </c>
      <c r="L2058" s="8"/>
      <c r="M2058" s="8"/>
    </row>
    <row r="2059" spans="1:13" x14ac:dyDescent="0.2">
      <c r="A2059" s="17" t="str">
        <f>[1]SUMMARY!A2060</f>
        <v>12.00</v>
      </c>
      <c r="B2059" s="17">
        <f>[1]SUMMARY!B2060</f>
        <v>0</v>
      </c>
      <c r="C2059" s="17">
        <f>[1]SUMMARY!C2060</f>
        <v>20</v>
      </c>
      <c r="D2059" s="25" t="str">
        <f>[1]SUMMARY!D2060</f>
        <v>OTANI</v>
      </c>
      <c r="E2059" s="25" t="str">
        <f>[1]SUMMARY!E2060</f>
        <v>18PR U77 LUG</v>
      </c>
      <c r="F2059" s="20"/>
      <c r="G2059" s="20"/>
      <c r="H2059" s="20"/>
      <c r="I2059" s="21">
        <f t="shared" si="22"/>
        <v>0</v>
      </c>
      <c r="J2059" s="22">
        <f>[1]SUMMARY!N2060</f>
        <v>14805</v>
      </c>
      <c r="K2059" s="23">
        <f t="shared" si="20"/>
        <v>0</v>
      </c>
      <c r="L2059" s="8"/>
      <c r="M2059" s="8"/>
    </row>
    <row r="2060" spans="1:13" x14ac:dyDescent="0.2">
      <c r="A2060" s="17" t="str">
        <f>[1]SUMMARY!A2061</f>
        <v>11</v>
      </c>
      <c r="B2060" s="17">
        <f>[1]SUMMARY!B2061</f>
        <v>0</v>
      </c>
      <c r="C2060" s="17">
        <f>[1]SUMMARY!C2061</f>
        <v>22.5</v>
      </c>
      <c r="D2060" s="25" t="str">
        <f>[1]SUMMARY!D2061</f>
        <v>OTANI</v>
      </c>
      <c r="E2060" s="25" t="str">
        <f>[1]SUMMARY!E2061</f>
        <v>16PR OH-301 LUG</v>
      </c>
      <c r="F2060" s="20"/>
      <c r="G2060" s="20"/>
      <c r="H2060" s="20"/>
      <c r="I2060" s="21">
        <f t="shared" si="22"/>
        <v>0</v>
      </c>
      <c r="J2060" s="22">
        <f>[1]SUMMARY!N2061</f>
        <v>12980.1</v>
      </c>
      <c r="K2060" s="23">
        <f t="shared" si="20"/>
        <v>0</v>
      </c>
      <c r="L2060" s="8"/>
      <c r="M2060" s="8"/>
    </row>
    <row r="2061" spans="1:13" x14ac:dyDescent="0.2">
      <c r="A2061" s="17" t="str">
        <f>[1]SUMMARY!A2062</f>
        <v>12</v>
      </c>
      <c r="B2061" s="17">
        <f>[1]SUMMARY!B2062</f>
        <v>0</v>
      </c>
      <c r="C2061" s="17">
        <f>[1]SUMMARY!C2062</f>
        <v>22.5</v>
      </c>
      <c r="D2061" s="25" t="str">
        <f>[1]SUMMARY!D2062</f>
        <v>OTANI</v>
      </c>
      <c r="E2061" s="25" t="str">
        <f>[1]SUMMARY!E2062</f>
        <v>16PR OH-301 LUG</v>
      </c>
      <c r="F2061" s="20"/>
      <c r="G2061" s="20"/>
      <c r="H2061" s="20"/>
      <c r="I2061" s="21">
        <f t="shared" si="22"/>
        <v>0</v>
      </c>
      <c r="J2061" s="22">
        <f>[1]SUMMARY!N2062</f>
        <v>15364.44</v>
      </c>
      <c r="K2061" s="23">
        <f t="shared" si="20"/>
        <v>0</v>
      </c>
      <c r="L2061" s="8"/>
      <c r="M2061" s="8"/>
    </row>
    <row r="2062" spans="1:13" x14ac:dyDescent="0.2">
      <c r="A2062" s="17" t="str">
        <f>[1]SUMMARY!A2063</f>
        <v>12</v>
      </c>
      <c r="B2062" s="17">
        <f>[1]SUMMARY!B2063</f>
        <v>0</v>
      </c>
      <c r="C2062" s="17">
        <f>[1]SUMMARY!C2063</f>
        <v>16.5</v>
      </c>
      <c r="D2062" s="25" t="str">
        <f>[1]SUMMARY!D2063</f>
        <v>OTANI</v>
      </c>
      <c r="E2062" s="25" t="str">
        <f>[1]SUMMARY!E2063</f>
        <v>12PR RK 214</v>
      </c>
      <c r="F2062" s="20"/>
      <c r="G2062" s="20"/>
      <c r="H2062" s="20"/>
      <c r="I2062" s="21">
        <f t="shared" si="22"/>
        <v>0</v>
      </c>
      <c r="J2062" s="22">
        <f>[1]SUMMARY!N2063</f>
        <v>9603.75</v>
      </c>
      <c r="K2062" s="23">
        <f t="shared" si="20"/>
        <v>0</v>
      </c>
      <c r="L2062" s="8"/>
      <c r="M2062" s="8"/>
    </row>
    <row r="2063" spans="1:13" x14ac:dyDescent="0.2">
      <c r="A2063" s="17" t="str">
        <f>[1]SUMMARY!A2064</f>
        <v>9.5</v>
      </c>
      <c r="B2063" s="17">
        <f>[1]SUMMARY!B2064</f>
        <v>0</v>
      </c>
      <c r="C2063" s="17">
        <f>[1]SUMMARY!C2064</f>
        <v>17.5</v>
      </c>
      <c r="D2063" s="25" t="str">
        <f>[1]SUMMARY!D2064</f>
        <v>OTANI</v>
      </c>
      <c r="E2063" s="25" t="str">
        <f>[1]SUMMARY!E2064</f>
        <v>OH-112 14PR</v>
      </c>
      <c r="F2063" s="20"/>
      <c r="G2063" s="20">
        <v>2</v>
      </c>
      <c r="H2063" s="20">
        <v>2</v>
      </c>
      <c r="I2063" s="21">
        <f t="shared" si="22"/>
        <v>0</v>
      </c>
      <c r="J2063" s="22">
        <f>[1]SUMMARY!N2064</f>
        <v>9300</v>
      </c>
      <c r="K2063" s="23">
        <f t="shared" si="20"/>
        <v>0</v>
      </c>
      <c r="L2063" s="8"/>
      <c r="M2063" s="8"/>
    </row>
    <row r="2064" spans="1:13" x14ac:dyDescent="0.2">
      <c r="A2064" s="17" t="str">
        <f>[1]SUMMARY!A2065</f>
        <v>235</v>
      </c>
      <c r="B2064" s="17">
        <f>[1]SUMMARY!B2065</f>
        <v>75</v>
      </c>
      <c r="C2064" s="17">
        <f>[1]SUMMARY!C2065</f>
        <v>17.5</v>
      </c>
      <c r="D2064" s="25" t="str">
        <f>[1]SUMMARY!D2065</f>
        <v>OTANI</v>
      </c>
      <c r="E2064" s="25" t="str">
        <f>[1]SUMMARY!E2065</f>
        <v>14PR OH-115 TL</v>
      </c>
      <c r="F2064" s="20"/>
      <c r="G2064" s="20"/>
      <c r="H2064" s="20"/>
      <c r="I2064" s="21">
        <f t="shared" si="22"/>
        <v>0</v>
      </c>
      <c r="J2064" s="22">
        <f>[1]SUMMARY!N2065</f>
        <v>7650</v>
      </c>
      <c r="K2064" s="23">
        <f t="shared" si="20"/>
        <v>0</v>
      </c>
      <c r="L2064" s="8"/>
      <c r="M2064" s="8"/>
    </row>
    <row r="2065" spans="1:13" x14ac:dyDescent="0.2">
      <c r="A2065" s="17" t="str">
        <f>[1]SUMMARY!A2066</f>
        <v>225</v>
      </c>
      <c r="B2065" s="17">
        <f>[1]SUMMARY!B2066</f>
        <v>80</v>
      </c>
      <c r="C2065" s="17">
        <f>[1]SUMMARY!C2066</f>
        <v>17.5</v>
      </c>
      <c r="D2065" s="25" t="str">
        <f>[1]SUMMARY!D2066</f>
        <v>OTANI</v>
      </c>
      <c r="E2065" s="25" t="str">
        <f>[1]SUMMARY!E2066</f>
        <v>OH-112</v>
      </c>
      <c r="F2065" s="20"/>
      <c r="G2065" s="20">
        <v>6</v>
      </c>
      <c r="H2065" s="20">
        <v>6</v>
      </c>
      <c r="I2065" s="21">
        <f t="shared" si="22"/>
        <v>0</v>
      </c>
      <c r="J2065" s="22">
        <f>[1]SUMMARY!N2066</f>
        <v>7875</v>
      </c>
      <c r="K2065" s="23">
        <f t="shared" si="20"/>
        <v>0</v>
      </c>
      <c r="L2065" s="8"/>
      <c r="M2065" s="8"/>
    </row>
    <row r="2066" spans="1:13" x14ac:dyDescent="0.2">
      <c r="A2066" s="17" t="str">
        <f>[1]SUMMARY!A2067</f>
        <v>275</v>
      </c>
      <c r="B2066" s="17">
        <f>[1]SUMMARY!B2067</f>
        <v>70</v>
      </c>
      <c r="C2066" s="17">
        <f>[1]SUMMARY!C2067</f>
        <v>22.5</v>
      </c>
      <c r="D2066" s="25" t="str">
        <f>[1]SUMMARY!D2067</f>
        <v>OTANI</v>
      </c>
      <c r="E2066" s="25" t="str">
        <f>[1]SUMMARY!E2067</f>
        <v>16PR OH-107</v>
      </c>
      <c r="F2066" s="20"/>
      <c r="G2066" s="20"/>
      <c r="H2066" s="20"/>
      <c r="I2066" s="21">
        <f t="shared" si="22"/>
        <v>0</v>
      </c>
      <c r="J2066" s="22">
        <f>[1]SUMMARY!N2067</f>
        <v>12532.49</v>
      </c>
      <c r="K2066" s="23">
        <f t="shared" si="20"/>
        <v>0</v>
      </c>
      <c r="L2066" s="29"/>
      <c r="M2066" s="29"/>
    </row>
    <row r="2067" spans="1:13" x14ac:dyDescent="0.2">
      <c r="A2067" s="17" t="str">
        <f>[1]SUMMARY!A2068</f>
        <v>295</v>
      </c>
      <c r="B2067" s="17">
        <f>[1]SUMMARY!B2068</f>
        <v>80</v>
      </c>
      <c r="C2067" s="17">
        <f>[1]SUMMARY!C2068</f>
        <v>22.5</v>
      </c>
      <c r="D2067" s="25" t="str">
        <f>[1]SUMMARY!D2068</f>
        <v>OTANI</v>
      </c>
      <c r="E2067" s="25" t="str">
        <f>[1]SUMMARY!E2068</f>
        <v>OH-101 RIB</v>
      </c>
      <c r="F2067" s="20"/>
      <c r="G2067" s="20"/>
      <c r="H2067" s="20"/>
      <c r="I2067" s="21">
        <f t="shared" si="22"/>
        <v>0</v>
      </c>
      <c r="J2067" s="22">
        <f>[1]SUMMARY!N2068</f>
        <v>14391.3</v>
      </c>
      <c r="K2067" s="23">
        <f t="shared" si="20"/>
        <v>0</v>
      </c>
      <c r="L2067" s="28">
        <f>SUM(K2052:K2067)</f>
        <v>0</v>
      </c>
      <c r="M2067" s="29" t="s">
        <v>62</v>
      </c>
    </row>
    <row r="2068" spans="1:13" x14ac:dyDescent="0.2">
      <c r="A2068" s="17" t="str">
        <f>[1]SUMMARY!A2069</f>
        <v>295</v>
      </c>
      <c r="B2068" s="17">
        <f>[1]SUMMARY!B2069</f>
        <v>80</v>
      </c>
      <c r="C2068" s="17">
        <f>[1]SUMMARY!C2069</f>
        <v>22.5</v>
      </c>
      <c r="D2068" s="25" t="str">
        <f>[1]SUMMARY!D2069</f>
        <v>OTANI</v>
      </c>
      <c r="E2068" s="25" t="str">
        <f>[1]SUMMARY!E2069</f>
        <v>OH-107 RIB 16PR</v>
      </c>
      <c r="F2068" s="20"/>
      <c r="G2068" s="20"/>
      <c r="H2068" s="20"/>
      <c r="I2068" s="21">
        <f t="shared" si="22"/>
        <v>0</v>
      </c>
      <c r="J2068" s="22">
        <f>[1]SUMMARY!N2069</f>
        <v>13952.51</v>
      </c>
      <c r="K2068" s="23">
        <f t="shared" si="20"/>
        <v>0</v>
      </c>
      <c r="L2068" s="8"/>
      <c r="M2068" s="8"/>
    </row>
    <row r="2069" spans="1:13" x14ac:dyDescent="0.2">
      <c r="A2069" s="17" t="str">
        <f>[1]SUMMARY!A2070</f>
        <v>9.00</v>
      </c>
      <c r="B2069" s="17">
        <f>[1]SUMMARY!B2070</f>
        <v>0</v>
      </c>
      <c r="C2069" s="17">
        <f>[1]SUMMARY!C2070</f>
        <v>20</v>
      </c>
      <c r="D2069" s="25" t="str">
        <f>[1]SUMMARY!D2070</f>
        <v>PETLAS</v>
      </c>
      <c r="E2069" s="25" t="str">
        <f>[1]SUMMARY!E2070</f>
        <v>NB38 14PR</v>
      </c>
      <c r="F2069" s="20"/>
      <c r="G2069" s="20"/>
      <c r="H2069" s="20"/>
      <c r="I2069" s="21">
        <f t="shared" si="22"/>
        <v>0</v>
      </c>
      <c r="J2069" s="22">
        <f>[1]SUMMARY!N2070</f>
        <v>15331.92</v>
      </c>
      <c r="K2069" s="23">
        <f t="shared" si="20"/>
        <v>0</v>
      </c>
      <c r="L2069" s="8"/>
      <c r="M2069" s="8"/>
    </row>
    <row r="2070" spans="1:13" x14ac:dyDescent="0.2">
      <c r="A2070" s="17" t="str">
        <f>[1]SUMMARY!A2071</f>
        <v>10</v>
      </c>
      <c r="B2070" s="17">
        <f>[1]SUMMARY!B2071</f>
        <v>0</v>
      </c>
      <c r="C2070" s="17">
        <f>[1]SUMMARY!C2071</f>
        <v>16.5</v>
      </c>
      <c r="D2070" s="25" t="str">
        <f>[1]SUMMARY!D2071</f>
        <v>PETLAS</v>
      </c>
      <c r="E2070" s="25" t="str">
        <f>[1]SUMMARY!E2071</f>
        <v>8PR IND15</v>
      </c>
      <c r="F2070" s="20"/>
      <c r="G2070" s="20"/>
      <c r="H2070" s="20"/>
      <c r="I2070" s="21">
        <f t="shared" si="22"/>
        <v>0</v>
      </c>
      <c r="J2070" s="22">
        <f>[1]SUMMARY!N2071</f>
        <v>8598.81</v>
      </c>
      <c r="K2070" s="23">
        <f t="shared" si="20"/>
        <v>0</v>
      </c>
      <c r="L2070" s="8"/>
      <c r="M2070" s="8"/>
    </row>
    <row r="2071" spans="1:13" x14ac:dyDescent="0.2">
      <c r="A2071" s="17" t="str">
        <f>[1]SUMMARY!A2072</f>
        <v>12.4</v>
      </c>
      <c r="B2071" s="17">
        <f>[1]SUMMARY!B2072</f>
        <v>11</v>
      </c>
      <c r="C2071" s="17">
        <f>[1]SUMMARY!C2072</f>
        <v>28</v>
      </c>
      <c r="D2071" s="25" t="str">
        <f>[1]SUMMARY!D2072</f>
        <v>PETLAS</v>
      </c>
      <c r="E2071" s="25" t="str">
        <f>[1]SUMMARY!E2072</f>
        <v>8PR TA60</v>
      </c>
      <c r="F2071" s="20"/>
      <c r="G2071" s="20"/>
      <c r="H2071" s="20"/>
      <c r="I2071" s="21">
        <f t="shared" si="22"/>
        <v>0</v>
      </c>
      <c r="J2071" s="22">
        <f>[1]SUMMARY!N2072</f>
        <v>16078.66</v>
      </c>
      <c r="K2071" s="23">
        <f t="shared" si="20"/>
        <v>0</v>
      </c>
      <c r="L2071" s="8"/>
      <c r="M2071" s="8"/>
    </row>
    <row r="2072" spans="1:13" x14ac:dyDescent="0.2">
      <c r="A2072" s="17" t="str">
        <f>[1]SUMMARY!A2073</f>
        <v>14.9</v>
      </c>
      <c r="B2072" s="17">
        <f>[1]SUMMARY!B2073</f>
        <v>13</v>
      </c>
      <c r="C2072" s="17">
        <f>[1]SUMMARY!C2073</f>
        <v>28</v>
      </c>
      <c r="D2072" s="25" t="str">
        <f>[1]SUMMARY!D2073</f>
        <v>PETLAS</v>
      </c>
      <c r="E2072" s="25" t="str">
        <f>[1]SUMMARY!E2073</f>
        <v>8PR TA60</v>
      </c>
      <c r="F2072" s="20"/>
      <c r="G2072" s="20"/>
      <c r="H2072" s="20"/>
      <c r="I2072" s="21">
        <f t="shared" si="22"/>
        <v>0</v>
      </c>
      <c r="J2072" s="22">
        <f>[1]SUMMARY!N2073</f>
        <v>22854.080000000002</v>
      </c>
      <c r="K2072" s="23">
        <f t="shared" si="20"/>
        <v>0</v>
      </c>
      <c r="L2072" s="8"/>
      <c r="M2072" s="8"/>
    </row>
    <row r="2073" spans="1:13" x14ac:dyDescent="0.2">
      <c r="A2073" s="17" t="str">
        <f>[1]SUMMARY!A2074</f>
        <v>16.9</v>
      </c>
      <c r="B2073" s="17">
        <f>[1]SUMMARY!B2074</f>
        <v>0</v>
      </c>
      <c r="C2073" s="17">
        <f>[1]SUMMARY!C2074</f>
        <v>24</v>
      </c>
      <c r="D2073" s="25" t="str">
        <f>[1]SUMMARY!D2074</f>
        <v>PETLAS</v>
      </c>
      <c r="E2073" s="25" t="str">
        <f>[1]SUMMARY!E2074</f>
        <v>IND25 12PR</v>
      </c>
      <c r="F2073" s="20"/>
      <c r="G2073" s="20"/>
      <c r="H2073" s="20"/>
      <c r="I2073" s="21">
        <f t="shared" si="22"/>
        <v>0</v>
      </c>
      <c r="J2073" s="22">
        <f>[1]SUMMARY!N2074</f>
        <v>26019.96</v>
      </c>
      <c r="K2073" s="23">
        <f t="shared" si="20"/>
        <v>0</v>
      </c>
      <c r="L2073" s="28">
        <f>SUM(K2069:K2073)</f>
        <v>0</v>
      </c>
      <c r="M2073" s="29" t="s">
        <v>65</v>
      </c>
    </row>
    <row r="2074" spans="1:13" x14ac:dyDescent="0.2">
      <c r="A2074" s="17" t="str">
        <f>[1]SUMMARY!A2075</f>
        <v>12</v>
      </c>
      <c r="B2074" s="17">
        <f>[1]SUMMARY!B2075</f>
        <v>0</v>
      </c>
      <c r="C2074" s="17" t="str">
        <f>[1]SUMMARY!C2075</f>
        <v>R22.5</v>
      </c>
      <c r="D2074" s="25" t="str">
        <f>[1]SUMMARY!D2075</f>
        <v>ROADWING</v>
      </c>
      <c r="E2074" s="25" t="str">
        <f>[1]SUMMARY!E2075</f>
        <v>18PR WS678 MINING-LUG</v>
      </c>
      <c r="F2074" s="20"/>
      <c r="G2074" s="20"/>
      <c r="H2074" s="20"/>
      <c r="I2074" s="21">
        <f t="shared" si="22"/>
        <v>0</v>
      </c>
      <c r="J2074" s="22">
        <f>[1]SUMMARY!N2075</f>
        <v>9322.83</v>
      </c>
      <c r="K2074" s="23">
        <f t="shared" ref="K2074:K2132" si="23">J2074*I2074</f>
        <v>0</v>
      </c>
      <c r="L2074" s="8"/>
      <c r="M2074" s="8"/>
    </row>
    <row r="2075" spans="1:13" x14ac:dyDescent="0.2">
      <c r="A2075" s="17" t="str">
        <f>[1]SUMMARY!A2076</f>
        <v>12</v>
      </c>
      <c r="B2075" s="17">
        <f>[1]SUMMARY!B2076</f>
        <v>0</v>
      </c>
      <c r="C2075" s="17" t="str">
        <f>[1]SUMMARY!C2076</f>
        <v>R22.5</v>
      </c>
      <c r="D2075" s="25" t="str">
        <f>[1]SUMMARY!D2076</f>
        <v>ROADWING</v>
      </c>
      <c r="E2075" s="25" t="str">
        <f>[1]SUMMARY!E2076</f>
        <v>18PR WS118 MIX</v>
      </c>
      <c r="F2075" s="20"/>
      <c r="G2075" s="20"/>
      <c r="H2075" s="20"/>
      <c r="I2075" s="21">
        <f t="shared" si="22"/>
        <v>0</v>
      </c>
      <c r="J2075" s="22">
        <f>[1]SUMMARY!N2076</f>
        <v>9115.25</v>
      </c>
      <c r="K2075" s="23">
        <f t="shared" si="23"/>
        <v>0</v>
      </c>
      <c r="L2075" s="8"/>
      <c r="M2075" s="8"/>
    </row>
    <row r="2076" spans="1:13" x14ac:dyDescent="0.2">
      <c r="A2076" s="17" t="str">
        <f>[1]SUMMARY!A2077</f>
        <v>12.00</v>
      </c>
      <c r="B2076" s="17">
        <f>[1]SUMMARY!B2077</f>
        <v>0</v>
      </c>
      <c r="C2076" s="17" t="str">
        <f>[1]SUMMARY!C2077</f>
        <v>R20</v>
      </c>
      <c r="D2076" s="25" t="str">
        <f>[1]SUMMARY!D2077</f>
        <v>ROADMAX</v>
      </c>
      <c r="E2076" s="25" t="str">
        <f>[1]SUMMARY!E2077</f>
        <v>22PR ST986 MINING LUG</v>
      </c>
      <c r="F2076" s="20"/>
      <c r="G2076" s="20"/>
      <c r="H2076" s="20"/>
      <c r="I2076" s="21">
        <f t="shared" si="22"/>
        <v>0</v>
      </c>
      <c r="J2076" s="22">
        <f>[1]SUMMARY!N2077</f>
        <v>11200</v>
      </c>
      <c r="K2076" s="23">
        <f t="shared" si="23"/>
        <v>0</v>
      </c>
      <c r="L2076" s="28">
        <f>SUM(K2074:K2076)</f>
        <v>0</v>
      </c>
      <c r="M2076" s="29" t="s">
        <v>125</v>
      </c>
    </row>
    <row r="2077" spans="1:13" x14ac:dyDescent="0.2">
      <c r="A2077" s="17" t="str">
        <f>[1]SUMMARY!A2078</f>
        <v>23.5</v>
      </c>
      <c r="B2077" s="17">
        <f>[1]SUMMARY!B2078</f>
        <v>0</v>
      </c>
      <c r="C2077" s="17">
        <f>[1]SUMMARY!C2078</f>
        <v>25</v>
      </c>
      <c r="D2077" s="25" t="str">
        <f>[1]SUMMARY!D2078</f>
        <v>ROMAX</v>
      </c>
      <c r="E2077" s="25" t="str">
        <f>[1]SUMMARY!E2078</f>
        <v>24PR E3/L3</v>
      </c>
      <c r="F2077" s="20"/>
      <c r="G2077" s="20"/>
      <c r="H2077" s="20"/>
      <c r="I2077" s="21">
        <f t="shared" si="22"/>
        <v>0</v>
      </c>
      <c r="J2077" s="22">
        <f>[1]SUMMARY!N2078</f>
        <v>46851</v>
      </c>
      <c r="K2077" s="23">
        <f t="shared" si="23"/>
        <v>0</v>
      </c>
      <c r="L2077" s="28">
        <f t="shared" ref="L2077:L2079" si="24">SUM(K2077)</f>
        <v>0</v>
      </c>
      <c r="M2077" s="29" t="s">
        <v>126</v>
      </c>
    </row>
    <row r="2078" spans="1:13" x14ac:dyDescent="0.2">
      <c r="A2078" s="17" t="str">
        <f>[1]SUMMARY!A2079</f>
        <v>7.50</v>
      </c>
      <c r="B2078" s="17">
        <f>[1]SUMMARY!B2079</f>
        <v>0</v>
      </c>
      <c r="C2078" s="17">
        <f>[1]SUMMARY!C2079</f>
        <v>14</v>
      </c>
      <c r="D2078" s="25" t="str">
        <f>[1]SUMMARY!D2079</f>
        <v>SANLI</v>
      </c>
      <c r="E2078" s="25" t="str">
        <f>[1]SUMMARY!E2079</f>
        <v>8PR RIB</v>
      </c>
      <c r="F2078" s="20"/>
      <c r="G2078" s="20"/>
      <c r="H2078" s="20"/>
      <c r="I2078" s="21">
        <f t="shared" si="22"/>
        <v>0</v>
      </c>
      <c r="J2078" s="22">
        <f>[1]SUMMARY!N2079</f>
        <v>2600</v>
      </c>
      <c r="K2078" s="23">
        <f t="shared" si="23"/>
        <v>0</v>
      </c>
      <c r="L2078" s="28">
        <f t="shared" si="24"/>
        <v>0</v>
      </c>
      <c r="M2078" s="29" t="s">
        <v>127</v>
      </c>
    </row>
    <row r="2079" spans="1:13" x14ac:dyDescent="0.2">
      <c r="A2079" s="27" t="str">
        <f>[1]SUMMARY!A2080</f>
        <v>7.00</v>
      </c>
      <c r="B2079" s="17">
        <f>[1]SUMMARY!B2080</f>
        <v>0</v>
      </c>
      <c r="C2079" s="17">
        <f>[1]SUMMARY!C2080</f>
        <v>12</v>
      </c>
      <c r="D2079" s="25" t="str">
        <f>[1]SUMMARY!D2080</f>
        <v>SOLIDEAL</v>
      </c>
      <c r="E2079" s="25" t="str">
        <f>[1]SUMMARY!E2080</f>
        <v>RFS330 SOLID</v>
      </c>
      <c r="F2079" s="20"/>
      <c r="G2079" s="20"/>
      <c r="H2079" s="20"/>
      <c r="I2079" s="21">
        <f t="shared" si="22"/>
        <v>0</v>
      </c>
      <c r="J2079" s="22">
        <f>[1]SUMMARY!N2080</f>
        <v>14464</v>
      </c>
      <c r="K2079" s="23">
        <f t="shared" si="23"/>
        <v>0</v>
      </c>
      <c r="L2079" s="28">
        <f t="shared" si="24"/>
        <v>0</v>
      </c>
      <c r="M2079" s="29" t="s">
        <v>128</v>
      </c>
    </row>
    <row r="2080" spans="1:13" x14ac:dyDescent="0.2">
      <c r="A2080" s="27" t="str">
        <f>[1]SUMMARY!A2081</f>
        <v>7.00</v>
      </c>
      <c r="B2080" s="17">
        <f>[1]SUMMARY!B2081</f>
        <v>0</v>
      </c>
      <c r="C2080" s="17">
        <f>[1]SUMMARY!C2081</f>
        <v>12</v>
      </c>
      <c r="D2080" s="25" t="str">
        <f>[1]SUMMARY!D2081</f>
        <v>SOLIDEAL</v>
      </c>
      <c r="E2080" s="25" t="str">
        <f>[1]SUMMARY!E2081</f>
        <v>14PR ED SET</v>
      </c>
      <c r="F2080" s="20"/>
      <c r="G2080" s="20"/>
      <c r="H2080" s="20"/>
      <c r="I2080" s="21">
        <f t="shared" si="22"/>
        <v>0</v>
      </c>
      <c r="J2080" s="22">
        <f>[1]SUMMARY!N2081</f>
        <v>8200</v>
      </c>
      <c r="K2080" s="23">
        <f t="shared" si="23"/>
        <v>0</v>
      </c>
      <c r="L2080" s="91"/>
      <c r="M2080" s="91"/>
    </row>
    <row r="2081" spans="1:13" x14ac:dyDescent="0.2">
      <c r="A2081" s="27" t="str">
        <f>[1]SUMMARY!A2082</f>
        <v>26.5</v>
      </c>
      <c r="B2081" s="17">
        <f>[1]SUMMARY!B2082</f>
        <v>0</v>
      </c>
      <c r="C2081" s="17">
        <f>[1]SUMMARY!C2082</f>
        <v>25</v>
      </c>
      <c r="D2081" s="25" t="str">
        <f>[1]SUMMARY!D2082</f>
        <v>SOLIDEAL/CAMSO</v>
      </c>
      <c r="E2081" s="25" t="str">
        <f>[1]SUMMARY!E2082</f>
        <v>28PR LM L3 TL</v>
      </c>
      <c r="F2081" s="20"/>
      <c r="G2081" s="20"/>
      <c r="H2081" s="20"/>
      <c r="I2081" s="21">
        <f t="shared" si="22"/>
        <v>0</v>
      </c>
      <c r="J2081" s="22">
        <f>[1]SUMMARY!N2082</f>
        <v>135975</v>
      </c>
      <c r="K2081" s="23">
        <f t="shared" si="23"/>
        <v>0</v>
      </c>
      <c r="L2081" s="91"/>
      <c r="M2081" s="91"/>
    </row>
    <row r="2082" spans="1:13" x14ac:dyDescent="0.2">
      <c r="A2082" s="17">
        <f>[1]SUMMARY!A2083</f>
        <v>7</v>
      </c>
      <c r="B2082" s="17">
        <f>[1]SUMMARY!B2083</f>
        <v>0</v>
      </c>
      <c r="C2082" s="17">
        <f>[1]SUMMARY!C2083</f>
        <v>15</v>
      </c>
      <c r="D2082" s="25" t="str">
        <f>[1]SUMMARY!D2083</f>
        <v>STUD</v>
      </c>
      <c r="E2082" s="25" t="str">
        <f>[1]SUMMARY!E2083</f>
        <v>12PR 222 RIB</v>
      </c>
      <c r="F2082" s="20"/>
      <c r="G2082" s="20">
        <v>5</v>
      </c>
      <c r="H2082" s="20">
        <v>5</v>
      </c>
      <c r="I2082" s="21">
        <f t="shared" si="22"/>
        <v>0</v>
      </c>
      <c r="J2082" s="22">
        <f>[1]SUMMARY!N2083</f>
        <v>4326.3</v>
      </c>
      <c r="K2082" s="23">
        <f t="shared" si="23"/>
        <v>0</v>
      </c>
      <c r="L2082" s="91"/>
      <c r="M2082" s="91"/>
    </row>
    <row r="2083" spans="1:13" x14ac:dyDescent="0.2">
      <c r="A2083" s="17">
        <f>[1]SUMMARY!A2084</f>
        <v>7</v>
      </c>
      <c r="B2083" s="17">
        <f>[1]SUMMARY!B2084</f>
        <v>0</v>
      </c>
      <c r="C2083" s="17">
        <f>[1]SUMMARY!C2084</f>
        <v>15</v>
      </c>
      <c r="D2083" s="25" t="str">
        <f>[1]SUMMARY!D2084</f>
        <v>STUD</v>
      </c>
      <c r="E2083" s="25" t="str">
        <f>[1]SUMMARY!E2084</f>
        <v>12PR 444 LUG</v>
      </c>
      <c r="F2083" s="20"/>
      <c r="G2083" s="20"/>
      <c r="H2083" s="20"/>
      <c r="I2083" s="21">
        <f t="shared" si="22"/>
        <v>0</v>
      </c>
      <c r="J2083" s="22">
        <f>[1]SUMMARY!N2084</f>
        <v>4510.22</v>
      </c>
      <c r="K2083" s="23">
        <f t="shared" si="23"/>
        <v>0</v>
      </c>
      <c r="L2083" s="91"/>
      <c r="M2083" s="91"/>
    </row>
    <row r="2084" spans="1:13" x14ac:dyDescent="0.2">
      <c r="A2084" s="17">
        <f>[1]SUMMARY!A2085</f>
        <v>7.5</v>
      </c>
      <c r="B2084" s="17">
        <f>[1]SUMMARY!B2085</f>
        <v>0</v>
      </c>
      <c r="C2084" s="17">
        <f>[1]SUMMARY!C2085</f>
        <v>15</v>
      </c>
      <c r="D2084" s="25" t="str">
        <f>[1]SUMMARY!D2085</f>
        <v>STUD</v>
      </c>
      <c r="E2084" s="25" t="str">
        <f>[1]SUMMARY!E2085</f>
        <v>14PR 222 RIB</v>
      </c>
      <c r="F2084" s="20"/>
      <c r="G2084" s="20">
        <v>9</v>
      </c>
      <c r="H2084" s="20">
        <v>9</v>
      </c>
      <c r="I2084" s="21">
        <f t="shared" si="22"/>
        <v>0</v>
      </c>
      <c r="J2084" s="22">
        <f>[1]SUMMARY!N2085</f>
        <v>4556.2</v>
      </c>
      <c r="K2084" s="23">
        <f t="shared" si="23"/>
        <v>0</v>
      </c>
      <c r="L2084" s="91"/>
      <c r="M2084" s="91"/>
    </row>
    <row r="2085" spans="1:13" x14ac:dyDescent="0.2">
      <c r="A2085" s="17">
        <f>[1]SUMMARY!A2086</f>
        <v>7</v>
      </c>
      <c r="B2085" s="17">
        <f>[1]SUMMARY!B2086</f>
        <v>0</v>
      </c>
      <c r="C2085" s="17">
        <f>[1]SUMMARY!C2086</f>
        <v>16</v>
      </c>
      <c r="D2085" s="25" t="str">
        <f>[1]SUMMARY!D2086</f>
        <v>STUD</v>
      </c>
      <c r="E2085" s="25" t="str">
        <f>[1]SUMMARY!E2086</f>
        <v>14PR 222 RIB</v>
      </c>
      <c r="F2085" s="20"/>
      <c r="G2085" s="20">
        <v>4</v>
      </c>
      <c r="H2085" s="20">
        <v>4</v>
      </c>
      <c r="I2085" s="21">
        <f t="shared" si="22"/>
        <v>0</v>
      </c>
      <c r="J2085" s="22">
        <f>[1]SUMMARY!N2086</f>
        <v>4430.8</v>
      </c>
      <c r="K2085" s="23">
        <f t="shared" si="23"/>
        <v>0</v>
      </c>
      <c r="L2085" s="91"/>
      <c r="M2085" s="91"/>
    </row>
    <row r="2086" spans="1:13" x14ac:dyDescent="0.2">
      <c r="A2086" s="17">
        <f>[1]SUMMARY!A2087</f>
        <v>7</v>
      </c>
      <c r="B2086" s="17">
        <f>[1]SUMMARY!B2087</f>
        <v>0</v>
      </c>
      <c r="C2086" s="17">
        <f>[1]SUMMARY!C2087</f>
        <v>16</v>
      </c>
      <c r="D2086" s="25" t="str">
        <f>[1]SUMMARY!D2087</f>
        <v>STUD</v>
      </c>
      <c r="E2086" s="25" t="str">
        <f>[1]SUMMARY!E2087</f>
        <v>14PR 444 LUG</v>
      </c>
      <c r="F2086" s="20"/>
      <c r="G2086" s="20">
        <v>4</v>
      </c>
      <c r="H2086" s="20">
        <v>4</v>
      </c>
      <c r="I2086" s="21">
        <f t="shared" si="22"/>
        <v>0</v>
      </c>
      <c r="J2086" s="22">
        <f>[1]SUMMARY!N2087</f>
        <v>4953.3</v>
      </c>
      <c r="K2086" s="23">
        <f t="shared" si="23"/>
        <v>0</v>
      </c>
      <c r="L2086" s="28">
        <f>SUM(K2082:K2086)</f>
        <v>0</v>
      </c>
      <c r="M2086" s="29" t="s">
        <v>129</v>
      </c>
    </row>
    <row r="2087" spans="1:13" x14ac:dyDescent="0.2">
      <c r="A2087" s="17">
        <f>[1]SUMMARY!A2088</f>
        <v>6.4</v>
      </c>
      <c r="B2087" s="17">
        <f>[1]SUMMARY!B2088</f>
        <v>0</v>
      </c>
      <c r="C2087" s="17" t="str">
        <f>[1]SUMMARY!C2088</f>
        <v>13</v>
      </c>
      <c r="D2087" s="25" t="str">
        <f>[1]SUMMARY!D2088</f>
        <v>SWALLOW</v>
      </c>
      <c r="E2087" s="25" t="str">
        <f>[1]SUMMARY!E2088</f>
        <v>LUG</v>
      </c>
      <c r="F2087" s="20"/>
      <c r="G2087" s="20"/>
      <c r="H2087" s="20"/>
      <c r="I2087" s="21">
        <f t="shared" si="22"/>
        <v>0</v>
      </c>
      <c r="J2087" s="22">
        <f>[1]SUMMARY!N2088</f>
        <v>4200</v>
      </c>
      <c r="K2087" s="23">
        <f t="shared" si="23"/>
        <v>0</v>
      </c>
      <c r="L2087" s="29"/>
      <c r="M2087" s="29"/>
    </row>
    <row r="2088" spans="1:13" x14ac:dyDescent="0.2">
      <c r="A2088" s="17">
        <f>[1]SUMMARY!A2089</f>
        <v>7.5</v>
      </c>
      <c r="B2088" s="17">
        <f>[1]SUMMARY!B2089</f>
        <v>0</v>
      </c>
      <c r="C2088" s="17" t="str">
        <f>[1]SUMMARY!C2089</f>
        <v>16</v>
      </c>
      <c r="D2088" s="25" t="str">
        <f>[1]SUMMARY!D2089</f>
        <v>SUNNY</v>
      </c>
      <c r="E2088" s="25" t="str">
        <f>[1]SUMMARY!E2089</f>
        <v>14PR SN225C RIB</v>
      </c>
      <c r="F2088" s="20"/>
      <c r="G2088" s="20"/>
      <c r="H2088" s="20"/>
      <c r="I2088" s="21">
        <f t="shared" si="22"/>
        <v>0</v>
      </c>
      <c r="J2088" s="22">
        <f>[1]SUMMARY!N2089</f>
        <v>4617</v>
      </c>
      <c r="K2088" s="23">
        <f t="shared" si="23"/>
        <v>0</v>
      </c>
      <c r="L2088" s="28">
        <f>SUM(K2088)</f>
        <v>0</v>
      </c>
      <c r="M2088" s="29" t="s">
        <v>78</v>
      </c>
    </row>
    <row r="2089" spans="1:13" x14ac:dyDescent="0.2">
      <c r="A2089" s="17">
        <f>[1]SUMMARY!A2090</f>
        <v>205</v>
      </c>
      <c r="B2089" s="17" t="str">
        <f>[1]SUMMARY!B2090</f>
        <v>85</v>
      </c>
      <c r="C2089" s="17" t="str">
        <f>[1]SUMMARY!C2090</f>
        <v>16</v>
      </c>
      <c r="D2089" s="25" t="str">
        <f>[1]SUMMARY!D2090</f>
        <v>SAILUN</v>
      </c>
      <c r="E2089" s="25" t="str">
        <f>[1]SUMMARY!E2090</f>
        <v>SAR16 LT</v>
      </c>
      <c r="F2089" s="20"/>
      <c r="G2089" s="20">
        <v>2</v>
      </c>
      <c r="H2089" s="20">
        <v>2</v>
      </c>
      <c r="I2089" s="21">
        <f t="shared" si="22"/>
        <v>0</v>
      </c>
      <c r="J2089" s="22">
        <f>[1]SUMMARY!N2090</f>
        <v>5600</v>
      </c>
      <c r="K2089" s="23">
        <f t="shared" si="23"/>
        <v>0</v>
      </c>
      <c r="L2089" s="91"/>
      <c r="M2089" s="91"/>
    </row>
    <row r="2090" spans="1:13" x14ac:dyDescent="0.2">
      <c r="A2090" s="17">
        <f>[1]SUMMARY!A2091</f>
        <v>205</v>
      </c>
      <c r="B2090" s="17" t="str">
        <f>[1]SUMMARY!B2091</f>
        <v>75</v>
      </c>
      <c r="C2090" s="17" t="str">
        <f>[1]SUMMARY!C2091</f>
        <v>17.5</v>
      </c>
      <c r="D2090" s="25" t="str">
        <f>[1]SUMMARY!D2091</f>
        <v>SAILUN</v>
      </c>
      <c r="E2090" s="25" t="str">
        <f>[1]SUMMARY!E2091</f>
        <v>S637 16PR</v>
      </c>
      <c r="F2090" s="20"/>
      <c r="G2090" s="20">
        <v>6</v>
      </c>
      <c r="H2090" s="20">
        <v>6</v>
      </c>
      <c r="I2090" s="21">
        <f t="shared" si="22"/>
        <v>0</v>
      </c>
      <c r="J2090" s="22">
        <f>[1]SUMMARY!N2091</f>
        <v>6500</v>
      </c>
      <c r="K2090" s="23">
        <f t="shared" si="23"/>
        <v>0</v>
      </c>
      <c r="L2090" s="91"/>
      <c r="M2090" s="91"/>
    </row>
    <row r="2091" spans="1:13" x14ac:dyDescent="0.2">
      <c r="A2091" s="17">
        <f>[1]SUMMARY!A2092</f>
        <v>215</v>
      </c>
      <c r="B2091" s="17" t="str">
        <f>[1]SUMMARY!B2092</f>
        <v>75</v>
      </c>
      <c r="C2091" s="17" t="str">
        <f>[1]SUMMARY!C2092</f>
        <v>17.5</v>
      </c>
      <c r="D2091" s="25" t="str">
        <f>[1]SUMMARY!D2092</f>
        <v>SAILUN</v>
      </c>
      <c r="E2091" s="25" t="str">
        <f>[1]SUMMARY!E2092</f>
        <v>S637 16PR</v>
      </c>
      <c r="F2091" s="20"/>
      <c r="G2091" s="20"/>
      <c r="H2091" s="20"/>
      <c r="I2091" s="21">
        <f t="shared" si="22"/>
        <v>0</v>
      </c>
      <c r="J2091" s="22">
        <f>[1]SUMMARY!N2092</f>
        <v>6300</v>
      </c>
      <c r="K2091" s="23">
        <f t="shared" si="23"/>
        <v>0</v>
      </c>
      <c r="L2091" s="91"/>
      <c r="M2091" s="91"/>
    </row>
    <row r="2092" spans="1:13" x14ac:dyDescent="0.2">
      <c r="A2092" s="17">
        <f>[1]SUMMARY!A2093</f>
        <v>10</v>
      </c>
      <c r="B2092" s="17">
        <f>[1]SUMMARY!B2093</f>
        <v>0</v>
      </c>
      <c r="C2092" s="17" t="str">
        <f>[1]SUMMARY!C2093</f>
        <v>R20</v>
      </c>
      <c r="D2092" s="25" t="str">
        <f>[1]SUMMARY!D2093</f>
        <v>SAILUN</v>
      </c>
      <c r="E2092" s="25" t="str">
        <f>[1]SUMMARY!E2093</f>
        <v>S811 MIX 18PR</v>
      </c>
      <c r="F2092" s="20"/>
      <c r="G2092" s="20"/>
      <c r="H2092" s="20"/>
      <c r="I2092" s="21">
        <f t="shared" si="22"/>
        <v>0</v>
      </c>
      <c r="J2092" s="22">
        <f>[1]SUMMARY!N2093</f>
        <v>12000</v>
      </c>
      <c r="K2092" s="23">
        <f t="shared" si="23"/>
        <v>0</v>
      </c>
      <c r="L2092" s="91"/>
      <c r="M2092" s="91"/>
    </row>
    <row r="2093" spans="1:13" x14ac:dyDescent="0.2">
      <c r="A2093" s="17">
        <f>[1]SUMMARY!A2094</f>
        <v>10</v>
      </c>
      <c r="B2093" s="17">
        <f>[1]SUMMARY!B2094</f>
        <v>0</v>
      </c>
      <c r="C2093" s="17" t="str">
        <f>[1]SUMMARY!C2094</f>
        <v>R20</v>
      </c>
      <c r="D2093" s="25" t="str">
        <f>[1]SUMMARY!D2094</f>
        <v>SAILUN</v>
      </c>
      <c r="E2093" s="25" t="str">
        <f>[1]SUMMARY!E2094</f>
        <v>S889</v>
      </c>
      <c r="F2093" s="20"/>
      <c r="G2093" s="20">
        <v>2</v>
      </c>
      <c r="H2093" s="20">
        <v>2</v>
      </c>
      <c r="I2093" s="21">
        <f t="shared" si="22"/>
        <v>0</v>
      </c>
      <c r="J2093" s="22">
        <f>[1]SUMMARY!N2094</f>
        <v>12000</v>
      </c>
      <c r="K2093" s="23">
        <f t="shared" si="23"/>
        <v>0</v>
      </c>
      <c r="L2093" s="28">
        <f>SUM(K2092:K2093)</f>
        <v>0</v>
      </c>
      <c r="M2093" s="29" t="s">
        <v>75</v>
      </c>
    </row>
    <row r="2094" spans="1:13" x14ac:dyDescent="0.2">
      <c r="A2094" s="17">
        <f>[1]SUMMARY!A2095</f>
        <v>12</v>
      </c>
      <c r="B2094" s="17">
        <f>[1]SUMMARY!B2095</f>
        <v>0</v>
      </c>
      <c r="C2094" s="17" t="str">
        <f>[1]SUMMARY!C2095</f>
        <v>R20</v>
      </c>
      <c r="D2094" s="25" t="str">
        <f>[1]SUMMARY!D2095</f>
        <v>THREE A</v>
      </c>
      <c r="E2094" s="25" t="str">
        <f>[1]SUMMARY!E2095</f>
        <v xml:space="preserve">MIX </v>
      </c>
      <c r="F2094" s="20"/>
      <c r="G2094" s="20"/>
      <c r="H2094" s="20"/>
      <c r="I2094" s="21">
        <f t="shared" si="22"/>
        <v>0</v>
      </c>
      <c r="J2094" s="22">
        <f>[1]SUMMARY!N2095</f>
        <v>13230</v>
      </c>
      <c r="K2094" s="23">
        <f t="shared" si="23"/>
        <v>0</v>
      </c>
      <c r="L2094" s="28">
        <f>SUM(K2094)</f>
        <v>0</v>
      </c>
      <c r="M2094" s="29" t="s">
        <v>130</v>
      </c>
    </row>
    <row r="2095" spans="1:13" x14ac:dyDescent="0.2">
      <c r="A2095" s="17">
        <f>[1]SUMMARY!A2096</f>
        <v>11</v>
      </c>
      <c r="B2095" s="17">
        <f>[1]SUMMARY!B2096</f>
        <v>0</v>
      </c>
      <c r="C2095" s="17" t="str">
        <f>[1]SUMMARY!C2096</f>
        <v>R22.5</v>
      </c>
      <c r="D2095" s="25" t="str">
        <f>[1]SUMMARY!D2096</f>
        <v>TIREBOT</v>
      </c>
      <c r="E2095" s="25" t="str">
        <f>[1]SUMMARY!E2096</f>
        <v>16PR TR201 MIX</v>
      </c>
      <c r="F2095" s="20"/>
      <c r="G2095" s="20">
        <v>4</v>
      </c>
      <c r="H2095" s="20">
        <v>4</v>
      </c>
      <c r="I2095" s="21">
        <f t="shared" si="22"/>
        <v>0</v>
      </c>
      <c r="J2095" s="22">
        <f>[1]SUMMARY!N2096</f>
        <v>7900</v>
      </c>
      <c r="K2095" s="23">
        <f t="shared" si="23"/>
        <v>0</v>
      </c>
      <c r="L2095" s="8"/>
      <c r="M2095" s="8"/>
    </row>
    <row r="2096" spans="1:13" x14ac:dyDescent="0.2">
      <c r="A2096" s="17">
        <f>[1]SUMMARY!A2097</f>
        <v>11</v>
      </c>
      <c r="B2096" s="17">
        <f>[1]SUMMARY!B2097</f>
        <v>0</v>
      </c>
      <c r="C2096" s="17" t="str">
        <f>[1]SUMMARY!C2097</f>
        <v>R22.5</v>
      </c>
      <c r="D2096" s="25" t="str">
        <f>[1]SUMMARY!D2097</f>
        <v>TIREBOT</v>
      </c>
      <c r="E2096" s="25" t="str">
        <f>[1]SUMMARY!E2097</f>
        <v>BLOCKTYPE TRANS 221</v>
      </c>
      <c r="F2096" s="20"/>
      <c r="G2096" s="20"/>
      <c r="H2096" s="20"/>
      <c r="I2096" s="21">
        <f t="shared" si="22"/>
        <v>0</v>
      </c>
      <c r="J2096" s="22">
        <f>[1]SUMMARY!N2097</f>
        <v>8600</v>
      </c>
      <c r="K2096" s="23">
        <f t="shared" si="23"/>
        <v>0</v>
      </c>
      <c r="L2096" s="28">
        <f>SUM(K2095:K2096)</f>
        <v>0</v>
      </c>
      <c r="M2096" s="29" t="s">
        <v>79</v>
      </c>
    </row>
    <row r="2097" spans="1:13" x14ac:dyDescent="0.2">
      <c r="A2097" s="17">
        <f>[1]SUMMARY!A2098</f>
        <v>18</v>
      </c>
      <c r="B2097" s="17">
        <f>[1]SUMMARY!B2098</f>
        <v>18.5</v>
      </c>
      <c r="C2097" s="17">
        <f>[1]SUMMARY!C2098</f>
        <v>8</v>
      </c>
      <c r="D2097" s="25" t="str">
        <f>[1]SUMMARY!D2098</f>
        <v>TIRON</v>
      </c>
      <c r="E2097" s="25" t="str">
        <f>[1]SUMMARY!E2098</f>
        <v>HF481 RIB</v>
      </c>
      <c r="F2097" s="20"/>
      <c r="G2097" s="20"/>
      <c r="H2097" s="20"/>
      <c r="I2097" s="21">
        <f t="shared" si="22"/>
        <v>0</v>
      </c>
      <c r="J2097" s="22">
        <f>[1]SUMMARY!N2098</f>
        <v>1800</v>
      </c>
      <c r="K2097" s="23">
        <f t="shared" si="23"/>
        <v>0</v>
      </c>
      <c r="L2097" s="28">
        <f>SUM(K2097)</f>
        <v>0</v>
      </c>
      <c r="M2097" s="29" t="s">
        <v>131</v>
      </c>
    </row>
    <row r="2098" spans="1:13" x14ac:dyDescent="0.2">
      <c r="A2098" s="17" t="str">
        <f>[1]SUMMARY!A2099</f>
        <v>235</v>
      </c>
      <c r="B2098" s="17">
        <f>[1]SUMMARY!B2099</f>
        <v>75</v>
      </c>
      <c r="C2098" s="17">
        <f>[1]SUMMARY!C2099</f>
        <v>17.5</v>
      </c>
      <c r="D2098" s="25" t="str">
        <f>[1]SUMMARY!D2099</f>
        <v>THUNDERER</v>
      </c>
      <c r="E2098" s="25" t="str">
        <f>[1]SUMMARY!E2099</f>
        <v>RA401 RIB 16PR</v>
      </c>
      <c r="F2098" s="20"/>
      <c r="G2098" s="20"/>
      <c r="H2098" s="20"/>
      <c r="I2098" s="21">
        <f t="shared" si="22"/>
        <v>0</v>
      </c>
      <c r="J2098" s="22">
        <f>[1]SUMMARY!N2099</f>
        <v>7350</v>
      </c>
      <c r="K2098" s="23">
        <f t="shared" si="23"/>
        <v>0</v>
      </c>
      <c r="L2098" s="33"/>
      <c r="M2098" s="33"/>
    </row>
    <row r="2099" spans="1:13" x14ac:dyDescent="0.2">
      <c r="A2099" s="17">
        <f>[1]SUMMARY!A2100</f>
        <v>7</v>
      </c>
      <c r="B2099" s="17">
        <f>[1]SUMMARY!B2100</f>
        <v>0</v>
      </c>
      <c r="C2099" s="17" t="str">
        <f>[1]SUMMARY!C2100</f>
        <v>R16</v>
      </c>
      <c r="D2099" s="25" t="str">
        <f>[1]SUMMARY!D2100</f>
        <v>THUNDERER</v>
      </c>
      <c r="E2099" s="25" t="str">
        <f>[1]SUMMARY!E2100</f>
        <v>16PR RA402</v>
      </c>
      <c r="F2099" s="20"/>
      <c r="G2099" s="20"/>
      <c r="H2099" s="20"/>
      <c r="I2099" s="21">
        <f t="shared" si="22"/>
        <v>0</v>
      </c>
      <c r="J2099" s="22">
        <f>[1]SUMMARY!N2100</f>
        <v>5652</v>
      </c>
      <c r="K2099" s="23">
        <f t="shared" si="23"/>
        <v>0</v>
      </c>
      <c r="L2099" s="28">
        <f>SUM(K2099)</f>
        <v>0</v>
      </c>
      <c r="M2099" s="29" t="s">
        <v>80</v>
      </c>
    </row>
    <row r="2100" spans="1:13" x14ac:dyDescent="0.2">
      <c r="A2100" s="17">
        <f>[1]SUMMARY!A2101</f>
        <v>265</v>
      </c>
      <c r="B2100" s="17">
        <f>[1]SUMMARY!B2101</f>
        <v>70</v>
      </c>
      <c r="C2100" s="17">
        <f>[1]SUMMARY!C2101</f>
        <v>19.5</v>
      </c>
      <c r="D2100" s="25" t="str">
        <f>[1]SUMMARY!D2101</f>
        <v>THUNDERER</v>
      </c>
      <c r="E2100" s="25" t="str">
        <f>[1]SUMMARY!E2101</f>
        <v>RA401 RIB 16PR</v>
      </c>
      <c r="F2100" s="20"/>
      <c r="G2100" s="20"/>
      <c r="H2100" s="20"/>
      <c r="I2100" s="21">
        <f t="shared" si="22"/>
        <v>0</v>
      </c>
      <c r="J2100" s="22">
        <f>[1]SUMMARY!N2101</f>
        <v>8136</v>
      </c>
      <c r="K2100" s="23">
        <f t="shared" si="23"/>
        <v>0</v>
      </c>
      <c r="L2100" s="8"/>
      <c r="M2100" s="8"/>
    </row>
    <row r="2101" spans="1:13" x14ac:dyDescent="0.2">
      <c r="A2101" s="17">
        <f>[1]SUMMARY!A2102</f>
        <v>7</v>
      </c>
      <c r="B2101" s="17">
        <f>[1]SUMMARY!B2102</f>
        <v>0</v>
      </c>
      <c r="C2101" s="17">
        <f>[1]SUMMARY!C2102</f>
        <v>15</v>
      </c>
      <c r="D2101" s="25" t="str">
        <f>[1]SUMMARY!D2102</f>
        <v>UNITED</v>
      </c>
      <c r="E2101" s="25" t="str">
        <f>[1]SUMMARY!E2102</f>
        <v>10PR UT777 RIB</v>
      </c>
      <c r="F2101" s="20"/>
      <c r="G2101" s="20"/>
      <c r="H2101" s="20"/>
      <c r="I2101" s="21">
        <f t="shared" si="22"/>
        <v>0</v>
      </c>
      <c r="J2101" s="22">
        <f>[1]SUMMARY!N2102</f>
        <v>4200</v>
      </c>
      <c r="K2101" s="23">
        <f t="shared" si="23"/>
        <v>0</v>
      </c>
      <c r="L2101" s="8"/>
      <c r="M2101" s="8"/>
    </row>
    <row r="2102" spans="1:13" x14ac:dyDescent="0.2">
      <c r="A2102" s="17">
        <f>[1]SUMMARY!A2103</f>
        <v>7</v>
      </c>
      <c r="B2102" s="17">
        <f>[1]SUMMARY!B2103</f>
        <v>0</v>
      </c>
      <c r="C2102" s="17">
        <f>[1]SUMMARY!C2103</f>
        <v>15</v>
      </c>
      <c r="D2102" s="25" t="str">
        <f>[1]SUMMARY!D2103</f>
        <v>UNITED</v>
      </c>
      <c r="E2102" s="25" t="str">
        <f>[1]SUMMARY!E2103</f>
        <v>12PR SEMI LUG UT808</v>
      </c>
      <c r="F2102" s="20"/>
      <c r="G2102" s="20"/>
      <c r="H2102" s="20"/>
      <c r="I2102" s="21">
        <f t="shared" si="22"/>
        <v>0</v>
      </c>
      <c r="J2102" s="22">
        <f>[1]SUMMARY!N2103</f>
        <v>4607.5</v>
      </c>
      <c r="K2102" s="23">
        <f t="shared" si="23"/>
        <v>0</v>
      </c>
      <c r="L2102" s="8"/>
      <c r="M2102" s="8"/>
    </row>
    <row r="2103" spans="1:13" x14ac:dyDescent="0.2">
      <c r="A2103" s="17">
        <f>[1]SUMMARY!A2104</f>
        <v>7.5</v>
      </c>
      <c r="B2103" s="17">
        <f>[1]SUMMARY!B2104</f>
        <v>0</v>
      </c>
      <c r="C2103" s="17">
        <f>[1]SUMMARY!C2104</f>
        <v>15</v>
      </c>
      <c r="D2103" s="25" t="str">
        <f>[1]SUMMARY!D2104</f>
        <v>UNITED</v>
      </c>
      <c r="E2103" s="25" t="str">
        <f>[1]SUMMARY!E2104</f>
        <v>14PR UT777 RIB</v>
      </c>
      <c r="F2103" s="20"/>
      <c r="G2103" s="20"/>
      <c r="H2103" s="20"/>
      <c r="I2103" s="21">
        <f t="shared" si="22"/>
        <v>0</v>
      </c>
      <c r="J2103" s="22">
        <f>[1]SUMMARY!N2104</f>
        <v>5049.82</v>
      </c>
      <c r="K2103" s="23">
        <f t="shared" si="23"/>
        <v>0</v>
      </c>
      <c r="L2103" s="8"/>
      <c r="M2103" s="8"/>
    </row>
    <row r="2104" spans="1:13" x14ac:dyDescent="0.2">
      <c r="A2104" s="17">
        <f>[1]SUMMARY!A2105</f>
        <v>7</v>
      </c>
      <c r="B2104" s="17">
        <f>[1]SUMMARY!B2105</f>
        <v>0</v>
      </c>
      <c r="C2104" s="17">
        <f>[1]SUMMARY!C2105</f>
        <v>16</v>
      </c>
      <c r="D2104" s="25" t="str">
        <f>[1]SUMMARY!D2105</f>
        <v>UNITED</v>
      </c>
      <c r="E2104" s="25" t="str">
        <f>[1]SUMMARY!E2105</f>
        <v>14PR R-UT777 RIB</v>
      </c>
      <c r="F2104" s="20"/>
      <c r="G2104" s="20">
        <v>4</v>
      </c>
      <c r="H2104" s="20">
        <v>4</v>
      </c>
      <c r="I2104" s="21">
        <f t="shared" si="22"/>
        <v>0</v>
      </c>
      <c r="J2104" s="22">
        <f>[1]SUMMARY!N2105</f>
        <v>4420</v>
      </c>
      <c r="K2104" s="23">
        <f t="shared" si="23"/>
        <v>0</v>
      </c>
      <c r="L2104" s="8"/>
      <c r="M2104" s="8"/>
    </row>
    <row r="2105" spans="1:13" x14ac:dyDescent="0.2">
      <c r="A2105" s="17">
        <f>[1]SUMMARY!A2106</f>
        <v>8.25</v>
      </c>
      <c r="B2105" s="17">
        <f>[1]SUMMARY!B2106</f>
        <v>0</v>
      </c>
      <c r="C2105" s="17">
        <f>[1]SUMMARY!C2106</f>
        <v>20</v>
      </c>
      <c r="D2105" s="25" t="str">
        <f>[1]SUMMARY!D2106</f>
        <v>UNITED</v>
      </c>
      <c r="E2105" s="25" t="str">
        <f>[1]SUMMARY!E2106</f>
        <v>14PR UT77 RIB</v>
      </c>
      <c r="F2105" s="20"/>
      <c r="G2105" s="20"/>
      <c r="H2105" s="20"/>
      <c r="I2105" s="21">
        <f t="shared" si="22"/>
        <v>0</v>
      </c>
      <c r="J2105" s="22">
        <f>[1]SUMMARY!N2106</f>
        <v>8315</v>
      </c>
      <c r="K2105" s="23">
        <f t="shared" si="23"/>
        <v>0</v>
      </c>
      <c r="L2105" s="28">
        <f>SUM(K2101:K2105)</f>
        <v>0</v>
      </c>
      <c r="M2105" s="29" t="s">
        <v>132</v>
      </c>
    </row>
    <row r="2106" spans="1:13" x14ac:dyDescent="0.2">
      <c r="A2106" s="17">
        <f>[1]SUMMARY!A2107</f>
        <v>7.5</v>
      </c>
      <c r="B2106" s="17">
        <f>[1]SUMMARY!B2107</f>
        <v>0</v>
      </c>
      <c r="C2106" s="17">
        <f>[1]SUMMARY!C2107</f>
        <v>15</v>
      </c>
      <c r="D2106" s="25" t="str">
        <f>[1]SUMMARY!D2107</f>
        <v>VEE RUBBER</v>
      </c>
      <c r="E2106" s="25" t="str">
        <f>[1]SUMMARY!E2107</f>
        <v>RIB</v>
      </c>
      <c r="F2106" s="20"/>
      <c r="G2106" s="20"/>
      <c r="H2106" s="20"/>
      <c r="I2106" s="21">
        <f t="shared" si="22"/>
        <v>0</v>
      </c>
      <c r="J2106" s="22">
        <f>[1]SUMMARY!N2107</f>
        <v>5000</v>
      </c>
      <c r="K2106" s="23">
        <f t="shared" si="23"/>
        <v>0</v>
      </c>
      <c r="L2106" s="28">
        <f>SUM(K2106)</f>
        <v>0</v>
      </c>
      <c r="M2106" s="29" t="s">
        <v>133</v>
      </c>
    </row>
    <row r="2107" spans="1:13" x14ac:dyDescent="0.2">
      <c r="A2107" s="17">
        <f>[1]SUMMARY!A2108</f>
        <v>7</v>
      </c>
      <c r="B2107" s="17">
        <f>[1]SUMMARY!B2108</f>
        <v>0</v>
      </c>
      <c r="C2107" s="17" t="str">
        <f>[1]SUMMARY!C2108</f>
        <v>R16</v>
      </c>
      <c r="D2107" s="25" t="str">
        <f>[1]SUMMARY!D2108</f>
        <v>VIKRANT</v>
      </c>
      <c r="E2107" s="25" t="str">
        <f>[1]SUMMARY!E2108</f>
        <v>VUH5 RIB 14PR SET</v>
      </c>
      <c r="F2107" s="20"/>
      <c r="G2107" s="20">
        <v>6</v>
      </c>
      <c r="H2107" s="20">
        <v>4</v>
      </c>
      <c r="I2107" s="21">
        <f t="shared" si="22"/>
        <v>2</v>
      </c>
      <c r="J2107" s="22">
        <f>[1]SUMMARY!N2108</f>
        <v>7430</v>
      </c>
      <c r="K2107" s="23">
        <f t="shared" si="23"/>
        <v>14860</v>
      </c>
      <c r="L2107" s="33"/>
      <c r="M2107" s="33"/>
    </row>
    <row r="2108" spans="1:13" x14ac:dyDescent="0.2">
      <c r="A2108" s="17">
        <f>[1]SUMMARY!A2109</f>
        <v>7.5</v>
      </c>
      <c r="B2108" s="17">
        <f>[1]SUMMARY!B2109</f>
        <v>0</v>
      </c>
      <c r="C2108" s="17" t="str">
        <f>[1]SUMMARY!C2109</f>
        <v>R16</v>
      </c>
      <c r="D2108" s="25" t="str">
        <f>[1]SUMMARY!D2109</f>
        <v>VIKRANT</v>
      </c>
      <c r="E2108" s="25" t="str">
        <f>[1]SUMMARY!E2109</f>
        <v>VUH5 RIB TL</v>
      </c>
      <c r="F2108" s="20"/>
      <c r="G2108" s="20">
        <v>6</v>
      </c>
      <c r="H2108" s="20">
        <v>4</v>
      </c>
      <c r="I2108" s="21">
        <f t="shared" si="22"/>
        <v>2</v>
      </c>
      <c r="J2108" s="22">
        <f>[1]SUMMARY!N2109</f>
        <v>6440</v>
      </c>
      <c r="K2108" s="23">
        <f t="shared" si="23"/>
        <v>12880</v>
      </c>
      <c r="L2108" s="33"/>
      <c r="M2108" s="33"/>
    </row>
    <row r="2109" spans="1:13" x14ac:dyDescent="0.2">
      <c r="A2109" s="27" t="str">
        <f>[1]SUMMARY!A2110</f>
        <v>215</v>
      </c>
      <c r="B2109" s="17">
        <f>[1]SUMMARY!B2110</f>
        <v>75</v>
      </c>
      <c r="C2109" s="17">
        <f>[1]SUMMARY!C2110</f>
        <v>17.5</v>
      </c>
      <c r="D2109" s="25" t="str">
        <f>[1]SUMMARY!D2110</f>
        <v>VIKRANT</v>
      </c>
      <c r="E2109" s="25" t="str">
        <f>[1]SUMMARY!E2110</f>
        <v>VUL3 TL</v>
      </c>
      <c r="F2109" s="20"/>
      <c r="G2109" s="20">
        <v>12</v>
      </c>
      <c r="H2109" s="20">
        <v>12</v>
      </c>
      <c r="I2109" s="21">
        <f t="shared" si="22"/>
        <v>0</v>
      </c>
      <c r="J2109" s="22">
        <f>[1]SUMMARY!N2110</f>
        <v>6516</v>
      </c>
      <c r="K2109" s="23">
        <f t="shared" si="23"/>
        <v>0</v>
      </c>
      <c r="L2109" s="8"/>
      <c r="M2109" s="8"/>
    </row>
    <row r="2110" spans="1:13" x14ac:dyDescent="0.2">
      <c r="A2110" s="17">
        <f>[1]SUMMARY!A2111</f>
        <v>11</v>
      </c>
      <c r="B2110" s="17">
        <f>[1]SUMMARY!B2111</f>
        <v>0</v>
      </c>
      <c r="C2110" s="17" t="str">
        <f>[1]SUMMARY!C2111</f>
        <v>R22.5</v>
      </c>
      <c r="D2110" s="25" t="str">
        <f>[1]SUMMARY!D2111</f>
        <v>VIKRANT</v>
      </c>
      <c r="E2110" s="25" t="str">
        <f>[1]SUMMARY!E2111</f>
        <v>VUH5 RIB</v>
      </c>
      <c r="F2110" s="20"/>
      <c r="G2110" s="20">
        <v>12</v>
      </c>
      <c r="H2110" s="20">
        <v>8</v>
      </c>
      <c r="I2110" s="21">
        <f t="shared" si="22"/>
        <v>4</v>
      </c>
      <c r="J2110" s="22">
        <f>[1]SUMMARY!N2111</f>
        <v>13440</v>
      </c>
      <c r="K2110" s="23">
        <f t="shared" si="23"/>
        <v>53760</v>
      </c>
      <c r="L2110" s="28">
        <f>SUM(K2107:K2110)</f>
        <v>81500</v>
      </c>
      <c r="M2110" s="29" t="s">
        <v>134</v>
      </c>
    </row>
    <row r="2111" spans="1:13" x14ac:dyDescent="0.2">
      <c r="A2111" s="17">
        <f>[1]SUMMARY!A2112</f>
        <v>225</v>
      </c>
      <c r="B2111" s="17">
        <f>[1]SUMMARY!B2112</f>
        <v>80</v>
      </c>
      <c r="C2111" s="17">
        <f>[1]SUMMARY!C2112</f>
        <v>17.5</v>
      </c>
      <c r="D2111" s="25" t="str">
        <f>[1]SUMMARY!D2112</f>
        <v>WANLI (CH)</v>
      </c>
      <c r="E2111" s="25" t="str">
        <f>[1]SUMMARY!E2112</f>
        <v>16PR SFR628</v>
      </c>
      <c r="F2111" s="20"/>
      <c r="G2111" s="20"/>
      <c r="H2111" s="20"/>
      <c r="I2111" s="21">
        <f t="shared" si="22"/>
        <v>0</v>
      </c>
      <c r="J2111" s="22">
        <f>[1]SUMMARY!N2112</f>
        <v>5850</v>
      </c>
      <c r="K2111" s="23">
        <f t="shared" si="23"/>
        <v>0</v>
      </c>
      <c r="L2111" s="8"/>
      <c r="M2111" s="8"/>
    </row>
    <row r="2112" spans="1:13" x14ac:dyDescent="0.2">
      <c r="A2112" s="17">
        <f>[1]SUMMARY!A2113</f>
        <v>245</v>
      </c>
      <c r="B2112" s="17">
        <f>[1]SUMMARY!B2113</f>
        <v>70</v>
      </c>
      <c r="C2112" s="17" t="str">
        <f>[1]SUMMARY!C2113</f>
        <v>R19.5</v>
      </c>
      <c r="D2112" s="25" t="str">
        <f>[1]SUMMARY!D2113</f>
        <v>WANLI (CH)</v>
      </c>
      <c r="E2112" s="25" t="str">
        <f>[1]SUMMARY!E2113</f>
        <v>18PR SAH01</v>
      </c>
      <c r="F2112" s="20"/>
      <c r="G2112" s="20">
        <v>10</v>
      </c>
      <c r="H2112" s="20">
        <v>10</v>
      </c>
      <c r="I2112" s="21">
        <f t="shared" si="22"/>
        <v>0</v>
      </c>
      <c r="J2112" s="22">
        <f>[1]SUMMARY!N2113</f>
        <v>5800</v>
      </c>
      <c r="K2112" s="23">
        <f t="shared" si="23"/>
        <v>0</v>
      </c>
      <c r="L2112" s="8"/>
      <c r="M2112" s="8"/>
    </row>
    <row r="2113" spans="1:13" x14ac:dyDescent="0.2">
      <c r="A2113" s="17">
        <f>[1]SUMMARY!A2114</f>
        <v>275</v>
      </c>
      <c r="B2113" s="17">
        <f>[1]SUMMARY!B2114</f>
        <v>80</v>
      </c>
      <c r="C2113" s="17" t="str">
        <f>[1]SUMMARY!C2114</f>
        <v>R22.5</v>
      </c>
      <c r="D2113" s="25" t="str">
        <f>[1]SUMMARY!D2114</f>
        <v>WANLI (CH)</v>
      </c>
      <c r="E2113" s="25" t="str">
        <f>[1]SUMMARY!E2114</f>
        <v>18PR SFR01</v>
      </c>
      <c r="F2113" s="20"/>
      <c r="G2113" s="20">
        <v>2</v>
      </c>
      <c r="H2113" s="20">
        <v>2</v>
      </c>
      <c r="I2113" s="21">
        <f t="shared" si="22"/>
        <v>0</v>
      </c>
      <c r="J2113" s="22">
        <f>[1]SUMMARY!N2114</f>
        <v>9069.51</v>
      </c>
      <c r="K2113" s="23">
        <f t="shared" si="23"/>
        <v>0</v>
      </c>
      <c r="L2113" s="8"/>
      <c r="M2113" s="8"/>
    </row>
    <row r="2114" spans="1:13" x14ac:dyDescent="0.2">
      <c r="A2114" s="17">
        <f>[1]SUMMARY!A2115</f>
        <v>7</v>
      </c>
      <c r="B2114" s="17">
        <f>[1]SUMMARY!B2115</f>
        <v>0</v>
      </c>
      <c r="C2114" s="17" t="str">
        <f>[1]SUMMARY!C2115</f>
        <v>R15</v>
      </c>
      <c r="D2114" s="25" t="str">
        <f>[1]SUMMARY!D2115</f>
        <v>WANLI (CH)</v>
      </c>
      <c r="E2114" s="25" t="str">
        <f>[1]SUMMARY!E2115</f>
        <v>12PR S2021 RIB</v>
      </c>
      <c r="F2114" s="92"/>
      <c r="G2114" s="92"/>
      <c r="H2114" s="92"/>
      <c r="I2114" s="21">
        <f t="shared" si="22"/>
        <v>0</v>
      </c>
      <c r="J2114" s="22">
        <f>[1]SUMMARY!N2115</f>
        <v>4150</v>
      </c>
      <c r="K2114" s="23">
        <f t="shared" si="23"/>
        <v>0</v>
      </c>
      <c r="L2114" s="8"/>
      <c r="M2114" s="8"/>
    </row>
    <row r="2115" spans="1:13" x14ac:dyDescent="0.2">
      <c r="A2115" s="27" t="str">
        <f>[1]SUMMARY!A2116</f>
        <v>7.50</v>
      </c>
      <c r="B2115" s="17">
        <f>[1]SUMMARY!B2116</f>
        <v>0</v>
      </c>
      <c r="C2115" s="17" t="str">
        <f>[1]SUMMARY!C2116</f>
        <v>R16</v>
      </c>
      <c r="D2115" s="25" t="str">
        <f>[1]SUMMARY!D2116</f>
        <v>WANLI (CH)</v>
      </c>
      <c r="E2115" s="25" t="str">
        <f>[1]SUMMARY!E2116</f>
        <v>14PR S2055+ RIB</v>
      </c>
      <c r="F2115" s="20"/>
      <c r="G2115" s="20"/>
      <c r="H2115" s="20"/>
      <c r="I2115" s="21">
        <f t="shared" si="22"/>
        <v>0</v>
      </c>
      <c r="J2115" s="22">
        <f>[1]SUMMARY!N2116</f>
        <v>4650</v>
      </c>
      <c r="K2115" s="23">
        <f t="shared" si="23"/>
        <v>0</v>
      </c>
      <c r="L2115" s="8"/>
      <c r="M2115" s="8"/>
    </row>
    <row r="2116" spans="1:13" x14ac:dyDescent="0.2">
      <c r="A2116" s="17" t="str">
        <f>[1]SUMMARY!A2117</f>
        <v>6.40/6.50</v>
      </c>
      <c r="B2116" s="17">
        <f>[1]SUMMARY!B2117</f>
        <v>0</v>
      </c>
      <c r="C2116" s="17">
        <f>[1]SUMMARY!C2117</f>
        <v>13</v>
      </c>
      <c r="D2116" s="25" t="str">
        <f>[1]SUMMARY!D2117</f>
        <v>WESTLAKE</v>
      </c>
      <c r="E2116" s="25" t="str">
        <f>[1]SUMMARY!E2117</f>
        <v>CM882 6PR</v>
      </c>
      <c r="F2116" s="20"/>
      <c r="G2116" s="20"/>
      <c r="H2116" s="20"/>
      <c r="I2116" s="21">
        <f t="shared" si="22"/>
        <v>0</v>
      </c>
      <c r="J2116" s="22">
        <f>[1]SUMMARY!N2117</f>
        <v>2759</v>
      </c>
      <c r="K2116" s="23">
        <f t="shared" si="23"/>
        <v>0</v>
      </c>
      <c r="L2116" s="28">
        <f>SUM(K2111:K2116)</f>
        <v>0</v>
      </c>
      <c r="M2116" s="29" t="s">
        <v>86</v>
      </c>
    </row>
    <row r="2117" spans="1:13" x14ac:dyDescent="0.2">
      <c r="A2117" s="17">
        <f>[1]SUMMARY!A2118</f>
        <v>7</v>
      </c>
      <c r="B2117" s="17">
        <f>[1]SUMMARY!B2118</f>
        <v>0</v>
      </c>
      <c r="C2117" s="17">
        <f>[1]SUMMARY!C2118</f>
        <v>15</v>
      </c>
      <c r="D2117" s="25" t="str">
        <f>[1]SUMMARY!D2118</f>
        <v>WESTLAKE</v>
      </c>
      <c r="E2117" s="25" t="str">
        <f>[1]SUMMARY!E2118</f>
        <v xml:space="preserve">RIB CR892 </v>
      </c>
      <c r="F2117" s="20"/>
      <c r="G2117" s="20"/>
      <c r="H2117" s="20"/>
      <c r="I2117" s="21">
        <f t="shared" si="22"/>
        <v>0</v>
      </c>
      <c r="J2117" s="22">
        <f>[1]SUMMARY!N2118</f>
        <v>3054</v>
      </c>
      <c r="K2117" s="23">
        <f t="shared" si="23"/>
        <v>0</v>
      </c>
      <c r="L2117" s="8"/>
      <c r="M2117" s="8"/>
    </row>
    <row r="2118" spans="1:13" x14ac:dyDescent="0.2">
      <c r="A2118" s="17">
        <f>[1]SUMMARY!A2119</f>
        <v>7.5</v>
      </c>
      <c r="B2118" s="17">
        <f>[1]SUMMARY!B2119</f>
        <v>0</v>
      </c>
      <c r="C2118" s="17">
        <f>[1]SUMMARY!C2119</f>
        <v>15</v>
      </c>
      <c r="D2118" s="25" t="str">
        <f>[1]SUMMARY!D2119</f>
        <v>WESTLAKE</v>
      </c>
      <c r="E2118" s="25" t="str">
        <f>[1]SUMMARY!E2119</f>
        <v>14PR RIB CR852</v>
      </c>
      <c r="F2118" s="20"/>
      <c r="G2118" s="20"/>
      <c r="H2118" s="20"/>
      <c r="I2118" s="21">
        <f t="shared" si="22"/>
        <v>0</v>
      </c>
      <c r="J2118" s="22">
        <f>[1]SUMMARY!N2119</f>
        <v>4800</v>
      </c>
      <c r="K2118" s="23">
        <f t="shared" si="23"/>
        <v>0</v>
      </c>
      <c r="L2118" s="8"/>
      <c r="M2118" s="8"/>
    </row>
    <row r="2119" spans="1:13" x14ac:dyDescent="0.2">
      <c r="A2119" s="17">
        <f>[1]SUMMARY!A2120</f>
        <v>7</v>
      </c>
      <c r="B2119" s="17">
        <f>[1]SUMMARY!B2120</f>
        <v>0</v>
      </c>
      <c r="C2119" s="17" t="str">
        <f>[1]SUMMARY!C2120</f>
        <v>R16</v>
      </c>
      <c r="D2119" s="25" t="str">
        <f>[1]SUMMARY!D2120</f>
        <v>WESTLAKE</v>
      </c>
      <c r="E2119" s="25" t="str">
        <f>[1]SUMMARY!E2120</f>
        <v>14PR RIB EZ525</v>
      </c>
      <c r="F2119" s="20"/>
      <c r="G2119" s="20">
        <v>6</v>
      </c>
      <c r="H2119" s="20">
        <v>6</v>
      </c>
      <c r="I2119" s="21">
        <f t="shared" si="22"/>
        <v>0</v>
      </c>
      <c r="J2119" s="22">
        <f>[1]SUMMARY!N2120</f>
        <v>4717</v>
      </c>
      <c r="K2119" s="23">
        <f t="shared" si="23"/>
        <v>0</v>
      </c>
      <c r="L2119" s="8"/>
      <c r="M2119" s="8"/>
    </row>
    <row r="2120" spans="1:13" x14ac:dyDescent="0.2">
      <c r="A2120" s="17">
        <f>[1]SUMMARY!A2121</f>
        <v>225</v>
      </c>
      <c r="B2120" s="17">
        <f>[1]SUMMARY!B2121</f>
        <v>80</v>
      </c>
      <c r="C2120" s="17">
        <f>[1]SUMMARY!C2121</f>
        <v>17.5</v>
      </c>
      <c r="D2120" s="25" t="str">
        <f>[1]SUMMARY!D2121</f>
        <v>WESTLAKE</v>
      </c>
      <c r="E2120" s="25" t="str">
        <f>[1]SUMMARY!E2121</f>
        <v>16PR RIB CM958</v>
      </c>
      <c r="F2120" s="20"/>
      <c r="G2120" s="20"/>
      <c r="H2120" s="20"/>
      <c r="I2120" s="21">
        <f t="shared" si="22"/>
        <v>0</v>
      </c>
      <c r="J2120" s="22">
        <f>[1]SUMMARY!N2121</f>
        <v>7120</v>
      </c>
      <c r="K2120" s="23">
        <f t="shared" si="23"/>
        <v>0</v>
      </c>
      <c r="L2120" s="28">
        <f>SUM(K2117:K2120)</f>
        <v>0</v>
      </c>
      <c r="M2120" s="29" t="s">
        <v>87</v>
      </c>
    </row>
    <row r="2121" spans="1:13" x14ac:dyDescent="0.2">
      <c r="A2121" s="17">
        <f>[1]SUMMARY!A2122</f>
        <v>225</v>
      </c>
      <c r="B2121" s="17">
        <f>[1]SUMMARY!B2122</f>
        <v>80</v>
      </c>
      <c r="C2121" s="17">
        <f>[1]SUMMARY!C2122</f>
        <v>17.5</v>
      </c>
      <c r="D2121" s="25" t="str">
        <f>[1]SUMMARY!D2122</f>
        <v>WESTLAKE</v>
      </c>
      <c r="E2121" s="25" t="str">
        <f>[1]SUMMARY!E2122</f>
        <v>AZ53416PR RIB</v>
      </c>
      <c r="F2121" s="20"/>
      <c r="G2121" s="20"/>
      <c r="H2121" s="20"/>
      <c r="I2121" s="21">
        <f t="shared" si="22"/>
        <v>0</v>
      </c>
      <c r="J2121" s="22">
        <f>[1]SUMMARY!N2122</f>
        <v>6641.75</v>
      </c>
      <c r="K2121" s="23">
        <f t="shared" si="23"/>
        <v>0</v>
      </c>
      <c r="L2121" s="8"/>
      <c r="M2121" s="8"/>
    </row>
    <row r="2122" spans="1:13" x14ac:dyDescent="0.2">
      <c r="A2122" s="17" t="str">
        <f>[1]SUMMARY!A2123</f>
        <v>11</v>
      </c>
      <c r="B2122" s="17" t="str">
        <f>[1]SUMMARY!B2123</f>
        <v xml:space="preserve"> </v>
      </c>
      <c r="C2122" s="17" t="str">
        <f>[1]SUMMARY!C2123</f>
        <v>R22.5</v>
      </c>
      <c r="D2122" s="25" t="str">
        <f>[1]SUMMARY!D2123</f>
        <v>WOSEN</v>
      </c>
      <c r="E2122" s="25" t="str">
        <f>[1]SUMMARY!E2123</f>
        <v>18PR WS712 RIB</v>
      </c>
      <c r="F2122" s="20"/>
      <c r="G2122" s="20">
        <v>88</v>
      </c>
      <c r="H2122" s="20">
        <v>88</v>
      </c>
      <c r="I2122" s="21">
        <f t="shared" si="22"/>
        <v>0</v>
      </c>
      <c r="J2122" s="22">
        <f>[1]SUMMARY!N2123</f>
        <v>8521.5</v>
      </c>
      <c r="K2122" s="23">
        <f t="shared" si="23"/>
        <v>0</v>
      </c>
      <c r="L2122" s="8"/>
      <c r="M2122" s="8"/>
    </row>
    <row r="2123" spans="1:13" x14ac:dyDescent="0.2">
      <c r="A2123" s="17" t="str">
        <f>[1]SUMMARY!A2124</f>
        <v>11</v>
      </c>
      <c r="B2123" s="17">
        <f>[1]SUMMARY!B2124</f>
        <v>0</v>
      </c>
      <c r="C2123" s="17" t="str">
        <f>[1]SUMMARY!C2124</f>
        <v>R22.5</v>
      </c>
      <c r="D2123" s="25" t="str">
        <f>[1]SUMMARY!D2124</f>
        <v>WOSEN</v>
      </c>
      <c r="E2123" s="25" t="str">
        <f>[1]SUMMARY!E2124</f>
        <v>WS712RIB 16PR</v>
      </c>
      <c r="F2123" s="20"/>
      <c r="G2123" s="20"/>
      <c r="H2123" s="20"/>
      <c r="I2123" s="21">
        <f t="shared" si="22"/>
        <v>0</v>
      </c>
      <c r="J2123" s="22">
        <f>[1]SUMMARY!N2124</f>
        <v>7753</v>
      </c>
      <c r="K2123" s="23">
        <f t="shared" si="23"/>
        <v>0</v>
      </c>
      <c r="L2123" s="8"/>
      <c r="M2123" s="8"/>
    </row>
    <row r="2124" spans="1:13" x14ac:dyDescent="0.2">
      <c r="A2124" s="17" t="str">
        <f>[1]SUMMARY!A2125</f>
        <v>11</v>
      </c>
      <c r="B2124" s="17">
        <f>[1]SUMMARY!B2125</f>
        <v>0</v>
      </c>
      <c r="C2124" s="17" t="str">
        <f>[1]SUMMARY!C2125</f>
        <v>R22.5</v>
      </c>
      <c r="D2124" s="25" t="str">
        <f>[1]SUMMARY!D2125</f>
        <v>WOSEN</v>
      </c>
      <c r="E2124" s="25" t="str">
        <f>[1]SUMMARY!E2125</f>
        <v>16PR WS118 MIX</v>
      </c>
      <c r="F2124" s="20"/>
      <c r="G2124" s="20">
        <v>43</v>
      </c>
      <c r="H2124" s="20">
        <v>43</v>
      </c>
      <c r="I2124" s="21">
        <f t="shared" si="22"/>
        <v>0</v>
      </c>
      <c r="J2124" s="22">
        <f>[1]SUMMARY!N2125</f>
        <v>8550</v>
      </c>
      <c r="K2124" s="23">
        <f t="shared" si="23"/>
        <v>0</v>
      </c>
      <c r="L2124" s="8"/>
      <c r="M2124" s="8"/>
    </row>
    <row r="2125" spans="1:13" x14ac:dyDescent="0.2">
      <c r="A2125" s="17" t="str">
        <f>[1]SUMMARY!A2126</f>
        <v>11</v>
      </c>
      <c r="B2125" s="17">
        <f>[1]SUMMARY!B2126</f>
        <v>0</v>
      </c>
      <c r="C2125" s="17">
        <f>[1]SUMMARY!C2126</f>
        <v>22.5</v>
      </c>
      <c r="D2125" s="25" t="str">
        <f>[1]SUMMARY!D2126</f>
        <v>WOSEN</v>
      </c>
      <c r="E2125" s="25" t="str">
        <f>[1]SUMMARY!E2126</f>
        <v>16PR WS826 MINING LUG</v>
      </c>
      <c r="F2125" s="20"/>
      <c r="G2125" s="20"/>
      <c r="H2125" s="20"/>
      <c r="I2125" s="21">
        <f t="shared" si="22"/>
        <v>0</v>
      </c>
      <c r="J2125" s="22">
        <f>[1]SUMMARY!N2126</f>
        <v>9034.5</v>
      </c>
      <c r="K2125" s="23">
        <f t="shared" si="23"/>
        <v>0</v>
      </c>
      <c r="L2125" s="8"/>
      <c r="M2125" s="8"/>
    </row>
    <row r="2126" spans="1:13" x14ac:dyDescent="0.2">
      <c r="A2126" s="17" t="str">
        <f>[1]SUMMARY!A2127</f>
        <v>11</v>
      </c>
      <c r="B2126" s="17">
        <f>[1]SUMMARY!B2127</f>
        <v>0</v>
      </c>
      <c r="C2126" s="17">
        <f>[1]SUMMARY!C2127</f>
        <v>22.5</v>
      </c>
      <c r="D2126" s="25" t="str">
        <f>[1]SUMMARY!D2127</f>
        <v>WOSEN</v>
      </c>
      <c r="E2126" s="25" t="str">
        <f>[1]SUMMARY!E2127</f>
        <v>16PR WS806</v>
      </c>
      <c r="F2126" s="20"/>
      <c r="G2126" s="20">
        <v>12</v>
      </c>
      <c r="H2126" s="20">
        <v>12</v>
      </c>
      <c r="I2126" s="21">
        <f t="shared" si="22"/>
        <v>0</v>
      </c>
      <c r="J2126" s="22">
        <f>[1]SUMMARY!N2127</f>
        <v>8740</v>
      </c>
      <c r="K2126" s="23">
        <f t="shared" si="23"/>
        <v>0</v>
      </c>
      <c r="L2126" s="8"/>
      <c r="M2126" s="8"/>
    </row>
    <row r="2127" spans="1:13" x14ac:dyDescent="0.2">
      <c r="A2127" s="17" t="str">
        <f>[1]SUMMARY!A2128</f>
        <v>12.00</v>
      </c>
      <c r="B2127" s="17">
        <f>[1]SUMMARY!B2128</f>
        <v>0</v>
      </c>
      <c r="C2127" s="17">
        <f>[1]SUMMARY!C2128</f>
        <v>20</v>
      </c>
      <c r="D2127" s="25" t="str">
        <f>[1]SUMMARY!D2128</f>
        <v>WOSEN</v>
      </c>
      <c r="E2127" s="25" t="str">
        <f>[1]SUMMARY!E2128</f>
        <v>WS118</v>
      </c>
      <c r="F2127" s="20"/>
      <c r="G2127" s="20"/>
      <c r="H2127" s="20"/>
      <c r="I2127" s="21">
        <f t="shared" si="22"/>
        <v>0</v>
      </c>
      <c r="J2127" s="22">
        <f>[1]SUMMARY!N2128</f>
        <v>11580</v>
      </c>
      <c r="K2127" s="23">
        <f t="shared" si="23"/>
        <v>0</v>
      </c>
      <c r="L2127" s="28">
        <f>SUM(K2122:K2127)</f>
        <v>0</v>
      </c>
      <c r="M2127" s="29" t="s">
        <v>135</v>
      </c>
    </row>
    <row r="2128" spans="1:13" x14ac:dyDescent="0.2">
      <c r="A2128" s="17" t="str">
        <f>[1]SUMMARY!A2129</f>
        <v>205</v>
      </c>
      <c r="B2128" s="17">
        <f>[1]SUMMARY!B2129</f>
        <v>85</v>
      </c>
      <c r="C2128" s="17">
        <f>[1]SUMMARY!C2129</f>
        <v>16</v>
      </c>
      <c r="D2128" s="25" t="str">
        <f>[1]SUMMARY!D2129</f>
        <v>YOKOHAMA</v>
      </c>
      <c r="E2128" s="25" t="str">
        <f>[1]SUMMARY!E2129</f>
        <v>12PR LT151R</v>
      </c>
      <c r="F2128" s="20"/>
      <c r="G2128" s="20">
        <v>23</v>
      </c>
      <c r="H2128" s="20">
        <v>23</v>
      </c>
      <c r="I2128" s="21">
        <f t="shared" si="22"/>
        <v>0</v>
      </c>
      <c r="J2128" s="22">
        <f>[1]SUMMARY!N2129</f>
        <v>8053.5</v>
      </c>
      <c r="K2128" s="23">
        <f t="shared" si="23"/>
        <v>0</v>
      </c>
      <c r="L2128" s="8"/>
      <c r="M2128" s="8"/>
    </row>
    <row r="2129" spans="1:13" x14ac:dyDescent="0.2">
      <c r="A2129" s="17" t="str">
        <f>[1]SUMMARY!A2130</f>
        <v>7.00</v>
      </c>
      <c r="B2129" s="17">
        <f>[1]SUMMARY!B2130</f>
        <v>0</v>
      </c>
      <c r="C2129" s="17">
        <f>[1]SUMMARY!C2130</f>
        <v>15</v>
      </c>
      <c r="D2129" s="25" t="str">
        <f>[1]SUMMARY!D2130</f>
        <v>YOKOHAMA</v>
      </c>
      <c r="E2129" s="25" t="str">
        <f>[1]SUMMARY!E2130</f>
        <v>12PR Y45 RIB</v>
      </c>
      <c r="F2129" s="20"/>
      <c r="G2129" s="20">
        <v>40</v>
      </c>
      <c r="H2129" s="20">
        <v>40</v>
      </c>
      <c r="I2129" s="21">
        <f t="shared" si="22"/>
        <v>0</v>
      </c>
      <c r="J2129" s="22">
        <f>[1]SUMMARY!N2130</f>
        <v>4543.5</v>
      </c>
      <c r="K2129" s="23">
        <f t="shared" si="23"/>
        <v>0</v>
      </c>
      <c r="L2129" s="8"/>
      <c r="M2129" s="8"/>
    </row>
    <row r="2130" spans="1:13" x14ac:dyDescent="0.2">
      <c r="A2130" s="17" t="str">
        <f>[1]SUMMARY!A2131</f>
        <v>7.50</v>
      </c>
      <c r="B2130" s="17">
        <f>[1]SUMMARY!B2131</f>
        <v>0</v>
      </c>
      <c r="C2130" s="17">
        <f>[1]SUMMARY!C2131</f>
        <v>15</v>
      </c>
      <c r="D2130" s="25" t="str">
        <f>[1]SUMMARY!D2131</f>
        <v>YOKOHAMA</v>
      </c>
      <c r="E2130" s="25" t="str">
        <f>[1]SUMMARY!E2131</f>
        <v>12PR Y45 RIB</v>
      </c>
      <c r="F2130" s="20"/>
      <c r="G2130" s="20">
        <v>38</v>
      </c>
      <c r="H2130" s="20">
        <v>38</v>
      </c>
      <c r="I2130" s="21">
        <f t="shared" si="22"/>
        <v>0</v>
      </c>
      <c r="J2130" s="22">
        <f>[1]SUMMARY!N2131</f>
        <v>4842.5</v>
      </c>
      <c r="K2130" s="23">
        <f t="shared" si="23"/>
        <v>0</v>
      </c>
      <c r="L2130" s="8"/>
      <c r="M2130" s="8"/>
    </row>
    <row r="2131" spans="1:13" x14ac:dyDescent="0.2">
      <c r="A2131" s="17" t="str">
        <f>[1]SUMMARY!A2132</f>
        <v>7.00</v>
      </c>
      <c r="B2131" s="17">
        <f>[1]SUMMARY!B2132</f>
        <v>0</v>
      </c>
      <c r="C2131" s="17">
        <f>[1]SUMMARY!C2132</f>
        <v>16</v>
      </c>
      <c r="D2131" s="25" t="str">
        <f>[1]SUMMARY!D2132</f>
        <v>YOKOHAMA</v>
      </c>
      <c r="E2131" s="25" t="str">
        <f>[1]SUMMARY!E2132</f>
        <v>12PR Y755 RIB</v>
      </c>
      <c r="F2131" s="20"/>
      <c r="G2131" s="20">
        <v>30</v>
      </c>
      <c r="H2131" s="20">
        <v>30</v>
      </c>
      <c r="I2131" s="21">
        <f t="shared" si="22"/>
        <v>0</v>
      </c>
      <c r="J2131" s="22">
        <f>[1]SUMMARY!N2132</f>
        <v>4849</v>
      </c>
      <c r="K2131" s="23">
        <f t="shared" si="23"/>
        <v>0</v>
      </c>
      <c r="L2131" s="8"/>
      <c r="M2131" s="8"/>
    </row>
    <row r="2132" spans="1:13" x14ac:dyDescent="0.2">
      <c r="A2132" s="17" t="str">
        <f>[1]SUMMARY!A2133</f>
        <v>7.50</v>
      </c>
      <c r="B2132" s="17">
        <f>[1]SUMMARY!B2133</f>
        <v>0</v>
      </c>
      <c r="C2132" s="17">
        <f>[1]SUMMARY!C2133</f>
        <v>16</v>
      </c>
      <c r="D2132" s="25" t="str">
        <f>[1]SUMMARY!D2133</f>
        <v>YOKOHAMA</v>
      </c>
      <c r="E2132" s="25" t="str">
        <f>[1]SUMMARY!E2133</f>
        <v>14PR Y776 RIB</v>
      </c>
      <c r="F2132" s="20"/>
      <c r="G2132" s="20">
        <v>30</v>
      </c>
      <c r="H2132" s="20">
        <v>30</v>
      </c>
      <c r="I2132" s="21">
        <f t="shared" si="22"/>
        <v>0</v>
      </c>
      <c r="J2132" s="22">
        <f>[1]SUMMARY!N2133</f>
        <v>6071</v>
      </c>
      <c r="K2132" s="23">
        <f t="shared" si="23"/>
        <v>0</v>
      </c>
      <c r="L2132" s="28">
        <f>SUM(K2128:K2132)</f>
        <v>0</v>
      </c>
      <c r="M2132" s="29" t="s">
        <v>89</v>
      </c>
    </row>
    <row r="2133" spans="1:13" x14ac:dyDescent="0.2">
      <c r="A2133" s="93" t="s">
        <v>12</v>
      </c>
      <c r="B2133" s="93"/>
      <c r="C2133" s="93"/>
      <c r="D2133" s="94"/>
      <c r="E2133" s="95"/>
      <c r="I2133" s="96"/>
      <c r="L2133" s="8"/>
      <c r="M2133" s="8"/>
    </row>
    <row r="2134" spans="1:13" ht="34" x14ac:dyDescent="0.2">
      <c r="A2134" s="97"/>
      <c r="B2134" s="98"/>
      <c r="C2134" s="98"/>
      <c r="D2134" s="99"/>
      <c r="E2134" s="100" t="s">
        <v>136</v>
      </c>
      <c r="F2134" s="101">
        <f>SUM(F3:F2132)</f>
        <v>710</v>
      </c>
      <c r="G2134" s="101">
        <f>SUM(G3:G2132)</f>
        <v>53780</v>
      </c>
      <c r="H2134" s="101">
        <f>SUM(H3:H2132)</f>
        <v>52488</v>
      </c>
      <c r="I2134" s="102">
        <f>SUM(I3:I2132)</f>
        <v>2002</v>
      </c>
      <c r="J2134" s="103" t="s">
        <v>137</v>
      </c>
      <c r="K2134" s="83">
        <f>SUM(K3:K2132)</f>
        <v>9463468.5253649987</v>
      </c>
      <c r="L2134" s="104">
        <f>SUM(L3:L2132)</f>
        <v>9463468.5253650006</v>
      </c>
      <c r="M2134" s="9"/>
    </row>
    <row r="2135" spans="1:13" x14ac:dyDescent="0.2">
      <c r="A2135" s="97"/>
      <c r="B2135" s="98"/>
      <c r="C2135" s="98"/>
      <c r="D2135" s="99"/>
      <c r="E2135" s="105"/>
      <c r="F2135" s="106"/>
      <c r="G2135" s="106"/>
      <c r="H2135" s="106"/>
      <c r="I2135" s="107"/>
      <c r="J2135" s="103"/>
      <c r="K2135" s="108"/>
      <c r="L2135" s="109">
        <f>K2134-L2134</f>
        <v>0</v>
      </c>
      <c r="M2135" s="110" t="s">
        <v>138</v>
      </c>
    </row>
  </sheetData>
  <mergeCells count="1">
    <mergeCell ref="A1:E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Dinglasan Efren</dc:creator>
  <cp:lastModifiedBy>Dinglasan Efren</cp:lastModifiedBy>
  <dcterms:created xsi:type="dcterms:W3CDTF">2026-03-05T00:11:42Z</dcterms:created>
  <dcterms:modified xsi:type="dcterms:W3CDTF">2026-03-05T00:12:07Z</dcterms:modified>
</cp:coreProperties>
</file>